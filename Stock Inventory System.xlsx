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Users\JESSE\Downloads\"/>
    </mc:Choice>
  </mc:AlternateContent>
  <xr:revisionPtr revIDLastSave="0" documentId="13_ncr:1_{B3A15856-29B2-47A3-BBB7-76D716FC441C}" xr6:coauthVersionLast="47" xr6:coauthVersionMax="47" xr10:uidLastSave="{00000000-0000-0000-0000-000000000000}"/>
  <bookViews>
    <workbookView xWindow="-120" yWindow="-120" windowWidth="20730" windowHeight="11760" activeTab="2" xr2:uid="{00000000-000D-0000-FFFF-FFFF00000000}"/>
  </bookViews>
  <sheets>
    <sheet name="PRODUCT ENQUIRY" sheetId="2" r:id="rId1"/>
    <sheet name="REFERENCING &amp; DATABASE" sheetId="1" r:id="rId2"/>
    <sheet name="WHS STK MGT &amp; ALLOC." sheetId="3" r:id="rId3"/>
    <sheet name="STORE STK &amp; SALES MGT" sheetId="5" r:id="rId4"/>
    <sheet name="IN STORE SALES RECORD" sheetId="6" r:id="rId5"/>
    <sheet name="USER MANUAL" sheetId="9" r:id="rId6"/>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1" i="3" l="1"/>
  <c r="Y52" i="3"/>
  <c r="Y53" i="3"/>
  <c r="Y54" i="3"/>
  <c r="Y55" i="3"/>
  <c r="Y56" i="3"/>
  <c r="Y57" i="3"/>
  <c r="Y58" i="3"/>
  <c r="Y59" i="3"/>
  <c r="Y60" i="3"/>
  <c r="Y61" i="3"/>
  <c r="Y62" i="3"/>
  <c r="Y63" i="3"/>
  <c r="Y64" i="3"/>
  <c r="Y50" i="3"/>
  <c r="Y37" i="3"/>
  <c r="Y38" i="3"/>
  <c r="Y39" i="3"/>
  <c r="Y40" i="3"/>
  <c r="Y41" i="3"/>
  <c r="Y42" i="3"/>
  <c r="Y43" i="3"/>
  <c r="Y44" i="3"/>
  <c r="Y45" i="3"/>
  <c r="Y36" i="3"/>
  <c r="Y20" i="3"/>
  <c r="Y21" i="3"/>
  <c r="Y22" i="3"/>
  <c r="Y23" i="3"/>
  <c r="Y24" i="3"/>
  <c r="Y25" i="3"/>
  <c r="Y26" i="3"/>
  <c r="Y27" i="3"/>
  <c r="Y28" i="3"/>
  <c r="Y29" i="3"/>
  <c r="Y30" i="3"/>
  <c r="Y31" i="3"/>
  <c r="Y19" i="3"/>
  <c r="W20" i="3"/>
  <c r="W21" i="3"/>
  <c r="W22" i="3"/>
  <c r="W23" i="3"/>
  <c r="W24" i="3"/>
  <c r="W25" i="3"/>
  <c r="W26" i="3"/>
  <c r="W27" i="3"/>
  <c r="W28" i="3"/>
  <c r="W29" i="3"/>
  <c r="W30" i="3"/>
  <c r="W31" i="3"/>
  <c r="W37" i="3"/>
  <c r="W38" i="3"/>
  <c r="W39" i="3"/>
  <c r="W40" i="3"/>
  <c r="W41" i="3"/>
  <c r="W42" i="3"/>
  <c r="W43" i="3"/>
  <c r="W44" i="3"/>
  <c r="W45" i="3"/>
  <c r="W51" i="3"/>
  <c r="W52" i="3"/>
  <c r="W53" i="3"/>
  <c r="W54" i="3"/>
  <c r="W55" i="3"/>
  <c r="W56" i="3"/>
  <c r="W57" i="3"/>
  <c r="W58" i="3"/>
  <c r="W59" i="3"/>
  <c r="W60" i="3"/>
  <c r="W61" i="3"/>
  <c r="W62" i="3"/>
  <c r="W63" i="3"/>
  <c r="W64" i="3"/>
  <c r="W50" i="3"/>
  <c r="W36" i="3"/>
  <c r="W19" i="3"/>
  <c r="U37" i="3"/>
  <c r="U38" i="3"/>
  <c r="U39" i="3"/>
  <c r="U40" i="3"/>
  <c r="U41" i="3"/>
  <c r="U42" i="3"/>
  <c r="U43" i="3"/>
  <c r="U44" i="3"/>
  <c r="U45" i="3"/>
  <c r="U51" i="3"/>
  <c r="U52" i="3"/>
  <c r="U53" i="3"/>
  <c r="U54" i="3"/>
  <c r="U55" i="3"/>
  <c r="U56" i="3"/>
  <c r="U57" i="3"/>
  <c r="U58" i="3"/>
  <c r="U59" i="3"/>
  <c r="U60" i="3"/>
  <c r="U61" i="3"/>
  <c r="U62" i="3"/>
  <c r="U63" i="3"/>
  <c r="U64" i="3"/>
  <c r="U50" i="3"/>
  <c r="U36" i="3"/>
  <c r="U20" i="3"/>
  <c r="U21" i="3"/>
  <c r="U22" i="3"/>
  <c r="U23" i="3"/>
  <c r="U24" i="3"/>
  <c r="U25" i="3"/>
  <c r="U26" i="3"/>
  <c r="U27" i="3"/>
  <c r="U28" i="3"/>
  <c r="U29" i="3"/>
  <c r="U30" i="3"/>
  <c r="U31" i="3"/>
  <c r="U19" i="3"/>
  <c r="S20" i="3"/>
  <c r="S21" i="3"/>
  <c r="S22" i="3"/>
  <c r="S23" i="3"/>
  <c r="S24" i="3"/>
  <c r="S25" i="3"/>
  <c r="S26" i="3"/>
  <c r="S27" i="3"/>
  <c r="S28" i="3"/>
  <c r="S29" i="3"/>
  <c r="S30" i="3"/>
  <c r="S31" i="3"/>
  <c r="S37" i="3"/>
  <c r="S38" i="3"/>
  <c r="S39" i="3"/>
  <c r="S40" i="3"/>
  <c r="S41" i="3"/>
  <c r="S42" i="3"/>
  <c r="S43" i="3"/>
  <c r="S44" i="3"/>
  <c r="S45" i="3"/>
  <c r="S51" i="3"/>
  <c r="S52" i="3"/>
  <c r="S53" i="3"/>
  <c r="S54" i="3"/>
  <c r="S55" i="3"/>
  <c r="S56" i="3"/>
  <c r="S57" i="3"/>
  <c r="S58" i="3"/>
  <c r="S59" i="3"/>
  <c r="S60" i="3"/>
  <c r="S61" i="3"/>
  <c r="S62" i="3"/>
  <c r="S63" i="3"/>
  <c r="S64" i="3"/>
  <c r="S50" i="3"/>
  <c r="S36" i="3"/>
  <c r="S19" i="3"/>
  <c r="Q51" i="3"/>
  <c r="Q52" i="3"/>
  <c r="Q53" i="3"/>
  <c r="Q54" i="3"/>
  <c r="Q55" i="3"/>
  <c r="Q56" i="3"/>
  <c r="Q57" i="3"/>
  <c r="Q58" i="3"/>
  <c r="Q59" i="3"/>
  <c r="Q60" i="3"/>
  <c r="Q61" i="3"/>
  <c r="Q62" i="3"/>
  <c r="Q63" i="3"/>
  <c r="Q64" i="3"/>
  <c r="Q50" i="3"/>
  <c r="Q37" i="3"/>
  <c r="Q38" i="3"/>
  <c r="Q39" i="3"/>
  <c r="Q40" i="3"/>
  <c r="Q41" i="3"/>
  <c r="Q42" i="3"/>
  <c r="Q43" i="3"/>
  <c r="Q44" i="3"/>
  <c r="Q45" i="3"/>
  <c r="Q36" i="3"/>
  <c r="Q20" i="3"/>
  <c r="Q21" i="3"/>
  <c r="Q22" i="3"/>
  <c r="Q23" i="3"/>
  <c r="Q24" i="3"/>
  <c r="Q25" i="3"/>
  <c r="Q26" i="3"/>
  <c r="Q27" i="3"/>
  <c r="Q28" i="3"/>
  <c r="Q29" i="3"/>
  <c r="Q30" i="3"/>
  <c r="Q31" i="3"/>
  <c r="Q19" i="3"/>
  <c r="O20" i="3"/>
  <c r="O21" i="3"/>
  <c r="O22" i="3"/>
  <c r="O23" i="3"/>
  <c r="O24" i="3"/>
  <c r="O25" i="3"/>
  <c r="O26" i="3"/>
  <c r="O27" i="3"/>
  <c r="O28" i="3"/>
  <c r="O29" i="3"/>
  <c r="O30" i="3"/>
  <c r="O31" i="3"/>
  <c r="O37" i="3"/>
  <c r="O38" i="3"/>
  <c r="O39" i="3"/>
  <c r="O40" i="3"/>
  <c r="O41" i="3"/>
  <c r="O42" i="3"/>
  <c r="O43" i="3"/>
  <c r="O44" i="3"/>
  <c r="O45" i="3"/>
  <c r="O51" i="3"/>
  <c r="O52" i="3"/>
  <c r="O53" i="3"/>
  <c r="O54" i="3"/>
  <c r="O55" i="3"/>
  <c r="O56" i="3"/>
  <c r="O57" i="3"/>
  <c r="O58" i="3"/>
  <c r="O59" i="3"/>
  <c r="O60" i="3"/>
  <c r="O61" i="3"/>
  <c r="O62" i="3"/>
  <c r="O63" i="3"/>
  <c r="O64" i="3"/>
  <c r="O50" i="3"/>
  <c r="O36" i="3"/>
  <c r="O19" i="3"/>
  <c r="M37" i="3"/>
  <c r="M38" i="3"/>
  <c r="M39" i="3"/>
  <c r="M40" i="3"/>
  <c r="M41" i="3"/>
  <c r="M42" i="3"/>
  <c r="M43" i="3"/>
  <c r="M44" i="3"/>
  <c r="M45" i="3"/>
  <c r="M51" i="3"/>
  <c r="M52" i="3"/>
  <c r="M53" i="3"/>
  <c r="M54" i="3"/>
  <c r="M55" i="3"/>
  <c r="M56" i="3"/>
  <c r="M57" i="3"/>
  <c r="M58" i="3"/>
  <c r="M59" i="3"/>
  <c r="M60" i="3"/>
  <c r="M61" i="3"/>
  <c r="M62" i="3"/>
  <c r="M63" i="3"/>
  <c r="M64" i="3"/>
  <c r="M50" i="3"/>
  <c r="M36" i="3"/>
  <c r="M20" i="3"/>
  <c r="M21" i="3"/>
  <c r="M22" i="3"/>
  <c r="M23" i="3"/>
  <c r="M24" i="3"/>
  <c r="M25" i="3"/>
  <c r="M26" i="3"/>
  <c r="M27" i="3"/>
  <c r="M28" i="3"/>
  <c r="M29" i="3"/>
  <c r="M30" i="3"/>
  <c r="M31" i="3"/>
  <c r="M19" i="3"/>
  <c r="S8" i="3"/>
  <c r="S9" i="3"/>
  <c r="S10" i="3"/>
  <c r="S11" i="3"/>
  <c r="S12" i="3"/>
  <c r="S13" i="3"/>
  <c r="S14" i="3"/>
  <c r="Q8" i="3"/>
  <c r="Q9" i="3"/>
  <c r="Q10" i="3"/>
  <c r="Q11" i="3"/>
  <c r="Q12" i="3"/>
  <c r="Q13" i="3"/>
  <c r="Q14" i="3"/>
  <c r="O8" i="3"/>
  <c r="O9" i="3"/>
  <c r="O10" i="3"/>
  <c r="O11" i="3"/>
  <c r="O12" i="3"/>
  <c r="O13" i="3"/>
  <c r="O14" i="3"/>
  <c r="M8" i="3"/>
  <c r="M9" i="3"/>
  <c r="M10" i="3"/>
  <c r="M11" i="3"/>
  <c r="M12" i="3"/>
  <c r="M13" i="3"/>
  <c r="M14" i="3"/>
  <c r="M7" i="3"/>
  <c r="O7" i="3"/>
  <c r="Q7" i="3"/>
  <c r="S7" i="3"/>
  <c r="Y8" i="3"/>
  <c r="Y9" i="3"/>
  <c r="Y10" i="3"/>
  <c r="Y11" i="3"/>
  <c r="Y12" i="3"/>
  <c r="Y13" i="3"/>
  <c r="Y14" i="3"/>
  <c r="Y7" i="3"/>
  <c r="W8" i="3"/>
  <c r="W9" i="3"/>
  <c r="W10" i="3"/>
  <c r="W11" i="3"/>
  <c r="W12" i="3"/>
  <c r="W13" i="3"/>
  <c r="W14" i="3"/>
  <c r="W7" i="3"/>
  <c r="U8" i="3"/>
  <c r="U9" i="3"/>
  <c r="U10" i="3"/>
  <c r="U11" i="3"/>
  <c r="U12" i="3"/>
  <c r="U13" i="3"/>
  <c r="U14" i="3"/>
  <c r="U7" i="3"/>
  <c r="I9" i="3"/>
  <c r="A49" i="9"/>
  <c r="T9" i="5"/>
  <c r="T10" i="5"/>
  <c r="T11" i="5"/>
  <c r="T12" i="5"/>
  <c r="T13" i="5"/>
  <c r="T14" i="5"/>
  <c r="T7" i="5"/>
  <c r="T20" i="5"/>
  <c r="T21" i="5"/>
  <c r="T22" i="5"/>
  <c r="T23" i="5"/>
  <c r="T24" i="5"/>
  <c r="T25" i="5"/>
  <c r="T26" i="5"/>
  <c r="T27" i="5"/>
  <c r="T28" i="5"/>
  <c r="T29" i="5"/>
  <c r="T30" i="5"/>
  <c r="T31" i="5"/>
  <c r="T37" i="5"/>
  <c r="T38" i="5"/>
  <c r="T39" i="5"/>
  <c r="T40" i="5"/>
  <c r="T41" i="5"/>
  <c r="T42" i="5"/>
  <c r="T43" i="5"/>
  <c r="T44" i="5"/>
  <c r="T45" i="5"/>
  <c r="T36" i="5"/>
  <c r="U51" i="5"/>
  <c r="U53" i="5"/>
  <c r="U54" i="5"/>
  <c r="U55" i="5"/>
  <c r="U56" i="5"/>
  <c r="U57" i="5"/>
  <c r="U58" i="5"/>
  <c r="U59" i="5"/>
  <c r="U61" i="5"/>
  <c r="U62" i="5"/>
  <c r="U64" i="5"/>
  <c r="U50" i="5"/>
  <c r="U37" i="5"/>
  <c r="U38" i="5"/>
  <c r="U39" i="5"/>
  <c r="U40" i="5"/>
  <c r="U41" i="5"/>
  <c r="U42" i="5"/>
  <c r="U43" i="5"/>
  <c r="U45" i="5"/>
  <c r="U36" i="5"/>
  <c r="U10" i="5"/>
  <c r="U12" i="5"/>
  <c r="U13" i="5"/>
  <c r="U14" i="5"/>
  <c r="U23" i="5"/>
  <c r="U24" i="5"/>
  <c r="U25" i="5"/>
  <c r="U26" i="5"/>
  <c r="U27" i="5"/>
  <c r="U28" i="5"/>
  <c r="U29" i="5"/>
  <c r="Q37" i="5"/>
  <c r="Q38" i="5"/>
  <c r="Q39" i="5"/>
  <c r="Q40" i="5"/>
  <c r="Q41" i="5"/>
  <c r="Q42" i="5"/>
  <c r="Q43" i="5"/>
  <c r="Q44" i="5"/>
  <c r="Q45" i="5"/>
  <c r="P37" i="5"/>
  <c r="P38" i="5"/>
  <c r="P39" i="5"/>
  <c r="P40" i="5"/>
  <c r="P41" i="5"/>
  <c r="P42" i="5"/>
  <c r="P43" i="5"/>
  <c r="P44" i="5"/>
  <c r="P45" i="5"/>
  <c r="J61" i="5"/>
  <c r="K61" i="5"/>
  <c r="P61" i="5"/>
  <c r="Q61" i="5"/>
  <c r="J62" i="5"/>
  <c r="K62" i="5"/>
  <c r="P62" i="5"/>
  <c r="Q62" i="5"/>
  <c r="J63" i="5"/>
  <c r="P63" i="5"/>
  <c r="Q63" i="5"/>
  <c r="J64" i="5"/>
  <c r="K64" i="5"/>
  <c r="P64" i="5"/>
  <c r="Q64" i="5"/>
  <c r="J55" i="5"/>
  <c r="K55" i="5"/>
  <c r="P55" i="5"/>
  <c r="Q55" i="5"/>
  <c r="J56" i="5"/>
  <c r="K56" i="5"/>
  <c r="P56" i="5"/>
  <c r="Q56" i="5"/>
  <c r="J57" i="5"/>
  <c r="K57" i="5"/>
  <c r="P57" i="5"/>
  <c r="Q57" i="5"/>
  <c r="J58" i="5"/>
  <c r="K58" i="5"/>
  <c r="P58" i="5"/>
  <c r="Q58" i="5"/>
  <c r="J39" i="5"/>
  <c r="K39" i="5"/>
  <c r="J40" i="5"/>
  <c r="K40" i="5"/>
  <c r="J41" i="5"/>
  <c r="K41" i="5"/>
  <c r="J42" i="5"/>
  <c r="K42" i="5"/>
  <c r="J43" i="5"/>
  <c r="K43" i="5"/>
  <c r="J44" i="5"/>
  <c r="J45" i="5"/>
  <c r="K45" i="5"/>
  <c r="K59" i="5"/>
  <c r="K51" i="5"/>
  <c r="K53" i="5"/>
  <c r="K54" i="5"/>
  <c r="K50" i="5"/>
  <c r="K37" i="5"/>
  <c r="K38" i="5"/>
  <c r="K36" i="5"/>
  <c r="K23" i="5"/>
  <c r="K24" i="5"/>
  <c r="K25" i="5"/>
  <c r="K26" i="5"/>
  <c r="K27" i="5"/>
  <c r="K28" i="5"/>
  <c r="K29" i="5"/>
  <c r="K10" i="5"/>
  <c r="K12" i="5"/>
  <c r="K13" i="5"/>
  <c r="K14" i="5"/>
  <c r="J24" i="5"/>
  <c r="P24" i="5"/>
  <c r="Q24" i="5"/>
  <c r="J25" i="5"/>
  <c r="P25" i="5"/>
  <c r="Q25" i="5"/>
  <c r="J26" i="5"/>
  <c r="P26" i="5"/>
  <c r="Q26" i="5"/>
  <c r="J27" i="5"/>
  <c r="P27" i="5"/>
  <c r="Q27" i="5"/>
  <c r="J28" i="5"/>
  <c r="P28" i="5"/>
  <c r="Q28" i="5"/>
  <c r="J29" i="5"/>
  <c r="P29" i="5"/>
  <c r="Q29" i="5"/>
  <c r="J30" i="5"/>
  <c r="P30" i="5"/>
  <c r="J31" i="5"/>
  <c r="P31" i="5"/>
  <c r="J23" i="5"/>
  <c r="P23" i="5"/>
  <c r="Q23" i="5"/>
  <c r="J11" i="5"/>
  <c r="P11" i="5"/>
  <c r="Q11" i="5"/>
  <c r="J12" i="5"/>
  <c r="P12" i="5"/>
  <c r="Q12" i="5"/>
  <c r="J13" i="5"/>
  <c r="P13" i="5"/>
  <c r="Q13" i="5"/>
  <c r="J14" i="5"/>
  <c r="P14" i="5"/>
  <c r="Q14" i="5"/>
  <c r="D57" i="1"/>
  <c r="D58" i="1"/>
  <c r="D59" i="1"/>
  <c r="D60" i="1"/>
  <c r="D61" i="1"/>
  <c r="D62" i="1"/>
  <c r="D63" i="1"/>
  <c r="D64" i="1"/>
  <c r="D65" i="1"/>
  <c r="D66" i="1"/>
  <c r="D67" i="1"/>
  <c r="D68" i="1"/>
  <c r="D69" i="1"/>
  <c r="D70" i="1"/>
  <c r="A49" i="3"/>
  <c r="B49" i="3"/>
  <c r="C49" i="3"/>
  <c r="D49" i="3"/>
  <c r="E49" i="3"/>
  <c r="F49" i="3"/>
  <c r="G49" i="3"/>
  <c r="H49" i="3"/>
  <c r="I49" i="3"/>
  <c r="J49" i="3"/>
  <c r="K49" i="3"/>
  <c r="L49" i="3"/>
  <c r="M49" i="3"/>
  <c r="N49" i="3"/>
  <c r="O49" i="3"/>
  <c r="P49" i="3"/>
  <c r="Q49" i="3"/>
  <c r="K24" i="3"/>
  <c r="N24" i="5" a="1"/>
  <c r="N24" i="5"/>
  <c r="B39" i="1"/>
  <c r="J67" i="1"/>
  <c r="J68" i="1"/>
  <c r="J69" i="1"/>
  <c r="J70" i="1"/>
  <c r="J64" i="1"/>
  <c r="J63" i="1"/>
  <c r="J62" i="1"/>
  <c r="J57" i="1"/>
  <c r="J58" i="1"/>
  <c r="J59" i="1"/>
  <c r="J60" i="1"/>
  <c r="J49" i="1"/>
  <c r="J50" i="1"/>
  <c r="D49" i="1"/>
  <c r="D50" i="1"/>
  <c r="J47" i="1"/>
  <c r="J46" i="1"/>
  <c r="D46" i="1"/>
  <c r="D47" i="1"/>
  <c r="D42" i="1"/>
  <c r="D43" i="1"/>
  <c r="D44" i="1"/>
  <c r="D45" i="1"/>
  <c r="D48" i="1"/>
  <c r="D41" i="1"/>
  <c r="J42" i="1"/>
  <c r="J43" i="1"/>
  <c r="J44" i="1"/>
  <c r="D29" i="1"/>
  <c r="D30" i="1"/>
  <c r="D31" i="1"/>
  <c r="J29" i="1"/>
  <c r="J30" i="1"/>
  <c r="J31" i="1"/>
  <c r="J27" i="1"/>
  <c r="J26" i="1"/>
  <c r="J25" i="1"/>
  <c r="J24" i="1"/>
  <c r="D24" i="1"/>
  <c r="D25" i="1"/>
  <c r="D26" i="1"/>
  <c r="D27" i="1"/>
  <c r="J20" i="1"/>
  <c r="J21" i="1"/>
  <c r="J22" i="1"/>
  <c r="D20" i="1"/>
  <c r="D21" i="1"/>
  <c r="D22" i="1"/>
  <c r="D19" i="1"/>
  <c r="K11" i="3"/>
  <c r="N11" i="5" a="1"/>
  <c r="N11" i="5"/>
  <c r="K13" i="3"/>
  <c r="N13" i="5" a="1"/>
  <c r="N13" i="5"/>
  <c r="K14" i="3"/>
  <c r="N14" i="5" a="1"/>
  <c r="N14" i="5"/>
  <c r="A18" i="3"/>
  <c r="B18" i="3"/>
  <c r="C18" i="3"/>
  <c r="D18" i="3"/>
  <c r="E18" i="3"/>
  <c r="F18" i="3"/>
  <c r="G18" i="3"/>
  <c r="H18" i="3"/>
  <c r="I18" i="3"/>
  <c r="J18" i="3"/>
  <c r="K18" i="3"/>
  <c r="L18" i="3"/>
  <c r="M18" i="3"/>
  <c r="N18" i="3"/>
  <c r="O18" i="3"/>
  <c r="P18" i="3"/>
  <c r="Q18" i="3"/>
  <c r="J61" i="1"/>
  <c r="J65" i="1"/>
  <c r="J66" i="1"/>
  <c r="J56" i="1"/>
  <c r="J45" i="1"/>
  <c r="J48" i="1"/>
  <c r="J41" i="1"/>
  <c r="J23" i="1"/>
  <c r="J28" i="1"/>
  <c r="J19" i="1"/>
  <c r="J14" i="1"/>
  <c r="J7" i="1"/>
  <c r="J10" i="1"/>
  <c r="J11" i="1"/>
  <c r="J12" i="1"/>
  <c r="J13" i="1"/>
  <c r="J9" i="1"/>
  <c r="J8" i="1"/>
  <c r="D14" i="1"/>
  <c r="D12" i="1"/>
  <c r="D10" i="1"/>
  <c r="D8" i="1"/>
  <c r="C40" i="6"/>
  <c r="C41" i="6"/>
  <c r="C42" i="6"/>
  <c r="D56" i="1"/>
  <c r="D23" i="1"/>
  <c r="D28" i="1"/>
  <c r="D9" i="1"/>
  <c r="D11" i="1"/>
  <c r="D13" i="1"/>
  <c r="D7" i="1"/>
  <c r="J60" i="5"/>
  <c r="J59" i="5"/>
  <c r="J37" i="5"/>
  <c r="J38" i="5"/>
  <c r="J36" i="5"/>
  <c r="J20" i="5"/>
  <c r="J21" i="5"/>
  <c r="J22" i="5"/>
  <c r="J9" i="5"/>
  <c r="J10" i="5"/>
  <c r="J7" i="5"/>
  <c r="Q59" i="5"/>
  <c r="P60" i="5"/>
  <c r="P59" i="5"/>
  <c r="Q36" i="5"/>
  <c r="P36" i="5"/>
  <c r="Q20" i="5"/>
  <c r="P20" i="5"/>
  <c r="P21" i="5"/>
  <c r="P22" i="5"/>
  <c r="Q10" i="5"/>
  <c r="P9" i="5"/>
  <c r="P10" i="5"/>
  <c r="P7" i="5"/>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6" i="6"/>
  <c r="F35" i="3"/>
  <c r="G35" i="3"/>
  <c r="H35" i="3"/>
  <c r="I35" i="3"/>
  <c r="J35" i="3"/>
  <c r="K35" i="3"/>
  <c r="L35" i="3"/>
  <c r="M35" i="3"/>
  <c r="N35" i="3"/>
  <c r="O35" i="3"/>
  <c r="P35" i="3"/>
  <c r="Q35" i="3"/>
  <c r="C35" i="3"/>
  <c r="D35" i="3"/>
  <c r="E35" i="3"/>
  <c r="A35" i="3"/>
  <c r="B35" i="3"/>
  <c r="B17" i="1"/>
  <c r="B5" i="1"/>
  <c r="Q19" i="5"/>
  <c r="U19" i="5"/>
  <c r="P19" i="5"/>
  <c r="T19" i="5"/>
  <c r="K19" i="5"/>
  <c r="J19" i="5"/>
  <c r="D61" i="5"/>
  <c r="H24" i="3"/>
  <c r="N24" i="3"/>
  <c r="B11" i="5"/>
  <c r="E28" i="5"/>
  <c r="D45" i="5"/>
  <c r="C43" i="5"/>
  <c r="C42" i="5"/>
  <c r="C41" i="5"/>
  <c r="C40" i="5"/>
  <c r="C39" i="5"/>
  <c r="F58" i="5"/>
  <c r="D56" i="5"/>
  <c r="G55" i="5"/>
  <c r="B64" i="5"/>
  <c r="E63" i="5"/>
  <c r="C61" i="5"/>
  <c r="C23" i="5"/>
  <c r="C30" i="5"/>
  <c r="D29" i="5"/>
  <c r="F27" i="5"/>
  <c r="G26" i="5"/>
  <c r="B31" i="5"/>
  <c r="C29" i="5"/>
  <c r="E27" i="5"/>
  <c r="G25" i="5"/>
  <c r="C45" i="5"/>
  <c r="B44" i="5"/>
  <c r="B43" i="5"/>
  <c r="B42" i="5"/>
  <c r="B41" i="5"/>
  <c r="B40" i="5"/>
  <c r="B39" i="5"/>
  <c r="E58" i="5"/>
  <c r="G62" i="5"/>
  <c r="B61" i="5"/>
  <c r="F24" i="3"/>
  <c r="E14" i="5"/>
  <c r="F13" i="5"/>
  <c r="G12" i="5"/>
  <c r="B29" i="5"/>
  <c r="C28" i="5"/>
  <c r="D27" i="5"/>
  <c r="E26" i="5"/>
  <c r="F25" i="5"/>
  <c r="G24" i="5"/>
  <c r="B45" i="5"/>
  <c r="D58" i="5"/>
  <c r="G57" i="5"/>
  <c r="B56" i="5"/>
  <c r="E55" i="5"/>
  <c r="C63" i="5"/>
  <c r="F62" i="5"/>
  <c r="G14" i="5"/>
  <c r="C31" i="5"/>
  <c r="C44" i="5"/>
  <c r="G24" i="3"/>
  <c r="F14" i="5"/>
  <c r="G13" i="5"/>
  <c r="B23" i="5"/>
  <c r="B30" i="5"/>
  <c r="D28" i="5"/>
  <c r="F26" i="5"/>
  <c r="C56" i="5"/>
  <c r="F55" i="5"/>
  <c r="D63" i="5"/>
  <c r="E24" i="3"/>
  <c r="D14" i="5"/>
  <c r="E13" i="5"/>
  <c r="F12" i="5"/>
  <c r="G11" i="5"/>
  <c r="B28" i="5"/>
  <c r="C27" i="5"/>
  <c r="D26" i="5"/>
  <c r="E25" i="5"/>
  <c r="F24" i="5"/>
  <c r="C58" i="5"/>
  <c r="F57" i="5"/>
  <c r="D55" i="5"/>
  <c r="G64" i="5"/>
  <c r="B63" i="5"/>
  <c r="E62" i="5"/>
  <c r="E24" i="5"/>
  <c r="D24" i="3"/>
  <c r="E12" i="5"/>
  <c r="G23" i="5"/>
  <c r="G30" i="5"/>
  <c r="C26" i="5"/>
  <c r="G43" i="5"/>
  <c r="G41" i="5"/>
  <c r="G40" i="5"/>
  <c r="G39" i="5"/>
  <c r="B58" i="5"/>
  <c r="E57" i="5"/>
  <c r="F44" i="5"/>
  <c r="F42" i="5"/>
  <c r="F41" i="5"/>
  <c r="F40" i="5"/>
  <c r="F39" i="5"/>
  <c r="D57" i="5"/>
  <c r="G56" i="5"/>
  <c r="B55" i="5"/>
  <c r="C62" i="5"/>
  <c r="F61" i="5"/>
  <c r="B27" i="5"/>
  <c r="D25" i="5"/>
  <c r="G44" i="5"/>
  <c r="G42" i="5"/>
  <c r="C55" i="5"/>
  <c r="F64" i="5"/>
  <c r="D62" i="5"/>
  <c r="G61" i="5"/>
  <c r="C24" i="3"/>
  <c r="B14" i="5"/>
  <c r="C13" i="5"/>
  <c r="D12" i="5"/>
  <c r="E11" i="5"/>
  <c r="F23" i="5"/>
  <c r="F31" i="5"/>
  <c r="F30" i="5"/>
  <c r="G29" i="5"/>
  <c r="B26" i="5"/>
  <c r="C25" i="5"/>
  <c r="D24" i="5"/>
  <c r="G45" i="5"/>
  <c r="F43" i="5"/>
  <c r="E64" i="5"/>
  <c r="B24" i="3"/>
  <c r="B13" i="5"/>
  <c r="C12" i="5"/>
  <c r="D11" i="5"/>
  <c r="E23" i="5"/>
  <c r="E31" i="5"/>
  <c r="E30" i="5"/>
  <c r="F29" i="5"/>
  <c r="G28" i="5"/>
  <c r="B25" i="5"/>
  <c r="C24" i="5"/>
  <c r="F45" i="5"/>
  <c r="E44" i="5"/>
  <c r="E43" i="5"/>
  <c r="E42" i="5"/>
  <c r="E41" i="5"/>
  <c r="E40" i="5"/>
  <c r="E39" i="5"/>
  <c r="C57" i="5"/>
  <c r="F56" i="5"/>
  <c r="D64" i="5"/>
  <c r="G63" i="5"/>
  <c r="B62" i="5"/>
  <c r="E61" i="5"/>
  <c r="C14" i="5"/>
  <c r="D13" i="5"/>
  <c r="F11" i="5"/>
  <c r="G31" i="5"/>
  <c r="B12" i="5"/>
  <c r="C11" i="5"/>
  <c r="D23" i="5"/>
  <c r="D31" i="5"/>
  <c r="D30" i="5"/>
  <c r="E29" i="5"/>
  <c r="F28" i="5"/>
  <c r="G27" i="5"/>
  <c r="B24" i="5"/>
  <c r="E45" i="5"/>
  <c r="D44" i="5"/>
  <c r="D43" i="5"/>
  <c r="D42" i="5"/>
  <c r="D41" i="5"/>
  <c r="D40" i="5"/>
  <c r="D39" i="5"/>
  <c r="G58" i="5"/>
  <c r="B57" i="5"/>
  <c r="E56" i="5"/>
  <c r="C64" i="5"/>
  <c r="F63" i="5"/>
  <c r="I13" i="5"/>
  <c r="M13" i="5"/>
  <c r="I24" i="5"/>
  <c r="M24" i="5"/>
  <c r="I14" i="5"/>
  <c r="M14" i="5"/>
  <c r="I11" i="5"/>
  <c r="M11" i="5"/>
  <c r="V24" i="3"/>
  <c r="H11" i="3"/>
  <c r="H13" i="3"/>
  <c r="D11" i="3"/>
  <c r="E13" i="3"/>
  <c r="C11" i="3"/>
  <c r="E11" i="3"/>
  <c r="G11" i="3"/>
  <c r="B11" i="3"/>
  <c r="F11" i="3"/>
  <c r="C14" i="3"/>
  <c r="G14" i="3"/>
  <c r="C13" i="3"/>
  <c r="G13" i="3"/>
  <c r="B14" i="3"/>
  <c r="D14" i="3"/>
  <c r="F14" i="3"/>
  <c r="H14" i="3"/>
  <c r="E14" i="3"/>
  <c r="B13" i="3"/>
  <c r="D13" i="3"/>
  <c r="F13" i="3"/>
  <c r="G22" i="5"/>
  <c r="C38" i="5"/>
  <c r="D36" i="5"/>
  <c r="D20" i="5"/>
  <c r="D38" i="5"/>
  <c r="G20" i="5"/>
  <c r="E38" i="5"/>
  <c r="C9" i="5"/>
  <c r="D21" i="5"/>
  <c r="E36" i="5"/>
  <c r="B19" i="5"/>
  <c r="G37" i="5"/>
  <c r="E19" i="5"/>
  <c r="F19" i="5"/>
  <c r="C10" i="5"/>
  <c r="C22" i="5"/>
  <c r="E9" i="5"/>
  <c r="B22" i="5"/>
  <c r="E37" i="5"/>
  <c r="G21" i="5"/>
  <c r="D59" i="5"/>
  <c r="C60" i="5"/>
  <c r="D60" i="5"/>
  <c r="C37" i="5"/>
  <c r="F10" i="5"/>
  <c r="C21" i="5"/>
  <c r="F22" i="5"/>
  <c r="D37" i="5"/>
  <c r="E59" i="5"/>
  <c r="F9" i="5"/>
  <c r="C20" i="5"/>
  <c r="E60" i="5"/>
  <c r="F20" i="5"/>
  <c r="G60" i="5"/>
  <c r="D19" i="5"/>
  <c r="F21" i="5"/>
  <c r="F36" i="5"/>
  <c r="F59" i="5"/>
  <c r="G10" i="5"/>
  <c r="B38" i="5"/>
  <c r="F38" i="5"/>
  <c r="F60" i="5"/>
  <c r="B10" i="5"/>
  <c r="G9" i="5"/>
  <c r="C19" i="5"/>
  <c r="D22" i="5"/>
  <c r="E21" i="5"/>
  <c r="G19" i="5"/>
  <c r="B37" i="5"/>
  <c r="B59" i="5"/>
  <c r="F37" i="5"/>
  <c r="G36" i="5"/>
  <c r="G59" i="5"/>
  <c r="D10" i="5"/>
  <c r="B21" i="5"/>
  <c r="E22" i="5"/>
  <c r="B36" i="5"/>
  <c r="D9" i="5"/>
  <c r="B20" i="5"/>
  <c r="B9" i="5"/>
  <c r="E10" i="5"/>
  <c r="E20" i="5"/>
  <c r="C36" i="5"/>
  <c r="C59" i="5"/>
  <c r="B60" i="5"/>
  <c r="G38" i="5"/>
  <c r="F37" i="6"/>
  <c r="C11" i="2"/>
  <c r="F7" i="5"/>
  <c r="F8" i="6"/>
  <c r="G13" i="6"/>
  <c r="H13" i="6"/>
  <c r="F16" i="6"/>
  <c r="G21" i="6"/>
  <c r="H21" i="6"/>
  <c r="F24" i="6"/>
  <c r="G29" i="6"/>
  <c r="H29" i="6"/>
  <c r="F32" i="6"/>
  <c r="G37" i="6"/>
  <c r="H37" i="6"/>
  <c r="C12" i="2"/>
  <c r="G7" i="5"/>
  <c r="G8" i="6"/>
  <c r="H8" i="6"/>
  <c r="G16" i="6"/>
  <c r="H16" i="6"/>
  <c r="F19" i="6"/>
  <c r="G24" i="6"/>
  <c r="H24" i="6"/>
  <c r="F27" i="6"/>
  <c r="G32" i="6"/>
  <c r="H32" i="6"/>
  <c r="F35" i="6"/>
  <c r="F6" i="6"/>
  <c r="F14" i="6"/>
  <c r="G19" i="6"/>
  <c r="H19" i="6"/>
  <c r="F22" i="6"/>
  <c r="G27" i="6"/>
  <c r="H27" i="6"/>
  <c r="F30" i="6"/>
  <c r="G35" i="6"/>
  <c r="H35" i="6"/>
  <c r="F38" i="6"/>
  <c r="G6" i="6"/>
  <c r="H6" i="6"/>
  <c r="U7" i="5"/>
  <c r="F9" i="6"/>
  <c r="G14" i="6"/>
  <c r="F17" i="6"/>
  <c r="G22" i="6"/>
  <c r="H22" i="6"/>
  <c r="F25" i="6"/>
  <c r="G30" i="6"/>
  <c r="H30" i="6"/>
  <c r="F33" i="6"/>
  <c r="G38" i="6"/>
  <c r="H38" i="6"/>
  <c r="B7" i="5"/>
  <c r="G9" i="6"/>
  <c r="H9" i="6"/>
  <c r="F12" i="6"/>
  <c r="G17" i="6"/>
  <c r="H17" i="6"/>
  <c r="F20" i="6"/>
  <c r="G25" i="6"/>
  <c r="H25" i="6"/>
  <c r="F28" i="6"/>
  <c r="G33" i="6"/>
  <c r="H33" i="6"/>
  <c r="F36" i="6"/>
  <c r="C8" i="2"/>
  <c r="C7" i="5"/>
  <c r="F7" i="6"/>
  <c r="G12" i="6"/>
  <c r="H12" i="6"/>
  <c r="F15" i="6"/>
  <c r="G20" i="6"/>
  <c r="H20" i="6"/>
  <c r="F23" i="6"/>
  <c r="G28" i="6"/>
  <c r="H28" i="6"/>
  <c r="F31" i="6"/>
  <c r="G36" i="6"/>
  <c r="H36" i="6"/>
  <c r="F39" i="6"/>
  <c r="C9" i="2"/>
  <c r="D7" i="5"/>
  <c r="G7" i="6"/>
  <c r="H7" i="6"/>
  <c r="F10" i="6"/>
  <c r="G15" i="6"/>
  <c r="H15" i="6"/>
  <c r="F18" i="6"/>
  <c r="G23" i="6"/>
  <c r="H23" i="6"/>
  <c r="F26" i="6"/>
  <c r="G31" i="6"/>
  <c r="H31" i="6"/>
  <c r="F34" i="6"/>
  <c r="G39" i="6"/>
  <c r="H39" i="6"/>
  <c r="C10" i="2"/>
  <c r="E7" i="5"/>
  <c r="G10" i="6"/>
  <c r="H10" i="6"/>
  <c r="F13" i="6"/>
  <c r="G18" i="6"/>
  <c r="H18" i="6"/>
  <c r="F21" i="6"/>
  <c r="G26" i="6"/>
  <c r="H26" i="6"/>
  <c r="F29" i="6"/>
  <c r="G34" i="6"/>
  <c r="H34" i="6"/>
  <c r="U20" i="5"/>
  <c r="K20" i="5"/>
  <c r="K11" i="5"/>
  <c r="U11" i="5"/>
  <c r="U63" i="5"/>
  <c r="K63" i="5"/>
  <c r="Q9" i="5"/>
  <c r="K9" i="5"/>
  <c r="U9" i="5"/>
  <c r="Q60" i="5"/>
  <c r="K60" i="5"/>
  <c r="U60" i="5"/>
  <c r="K52" i="5"/>
  <c r="U52" i="5"/>
  <c r="P24" i="3"/>
  <c r="J24" i="3"/>
  <c r="L24" i="3"/>
  <c r="O24" i="5" a="1"/>
  <c r="O24" i="5"/>
  <c r="R24" i="3"/>
  <c r="T24" i="3"/>
  <c r="S24" i="5" a="1"/>
  <c r="S24" i="5"/>
  <c r="I24" i="3"/>
  <c r="X24" i="3"/>
  <c r="U31" i="5"/>
  <c r="Q30" i="5"/>
  <c r="U30" i="5"/>
  <c r="K44" i="5"/>
  <c r="U44" i="5"/>
  <c r="K30" i="5"/>
  <c r="Q31" i="5"/>
  <c r="K31" i="5"/>
  <c r="P14" i="3"/>
  <c r="S14" i="5" a="1"/>
  <c r="S14" i="5"/>
  <c r="O14" i="5" a="1"/>
  <c r="O14" i="5"/>
  <c r="P13" i="3"/>
  <c r="O13" i="5" a="1"/>
  <c r="O13" i="5"/>
  <c r="S13" i="5" a="1"/>
  <c r="S13" i="5"/>
  <c r="L11" i="3"/>
  <c r="S11" i="5" a="1"/>
  <c r="S11" i="5"/>
  <c r="O11" i="5" a="1"/>
  <c r="O11" i="5"/>
  <c r="V11" i="3"/>
  <c r="N13" i="3"/>
  <c r="J11" i="3"/>
  <c r="N11" i="3"/>
  <c r="I11" i="3"/>
  <c r="H11" i="5"/>
  <c r="V13" i="3"/>
  <c r="R11" i="3"/>
  <c r="P11" i="3"/>
  <c r="X11" i="3"/>
  <c r="R13" i="3"/>
  <c r="T11" i="3"/>
  <c r="T13" i="3"/>
  <c r="I13" i="3"/>
  <c r="N14" i="3"/>
  <c r="X13" i="3"/>
  <c r="J13" i="3"/>
  <c r="L13" i="3"/>
  <c r="T14" i="3"/>
  <c r="V14" i="3"/>
  <c r="R14" i="3"/>
  <c r="I14" i="3"/>
  <c r="L14" i="3"/>
  <c r="X14" i="3"/>
  <c r="J14" i="3"/>
  <c r="K7" i="5"/>
  <c r="Q7" i="5"/>
  <c r="G11" i="6"/>
  <c r="H11" i="6"/>
  <c r="F11" i="6"/>
  <c r="U22" i="5"/>
  <c r="Q22" i="5"/>
  <c r="K22" i="5"/>
  <c r="U21" i="5"/>
  <c r="Q21" i="5"/>
  <c r="R21" i="5"/>
  <c r="K21" i="5"/>
  <c r="R41" i="5"/>
  <c r="R11" i="5"/>
  <c r="R24" i="5"/>
  <c r="R59" i="5"/>
  <c r="R27" i="5"/>
  <c r="R20" i="5"/>
  <c r="R19" i="5"/>
  <c r="R22" i="5"/>
  <c r="R57" i="5"/>
  <c r="R45" i="5"/>
  <c r="R61" i="5"/>
  <c r="R64" i="5"/>
  <c r="R26" i="5"/>
  <c r="R13" i="5"/>
  <c r="R56" i="5"/>
  <c r="R40" i="5"/>
  <c r="R42" i="5"/>
  <c r="R39" i="5"/>
  <c r="R12" i="5"/>
  <c r="R36" i="5"/>
  <c r="R9" i="5"/>
  <c r="R37" i="5"/>
  <c r="R63" i="5"/>
  <c r="R29" i="5"/>
  <c r="R38" i="5"/>
  <c r="R62" i="5"/>
  <c r="R25" i="5"/>
  <c r="R43" i="5"/>
  <c r="R28" i="5"/>
  <c r="R23" i="5"/>
  <c r="R55" i="5"/>
  <c r="R58" i="5"/>
  <c r="R30" i="5"/>
  <c r="R14" i="5"/>
  <c r="R60" i="5"/>
  <c r="R10" i="5"/>
  <c r="R44" i="5"/>
  <c r="R31" i="5"/>
  <c r="R7" i="5"/>
  <c r="Q52" i="5"/>
  <c r="R52" i="5"/>
  <c r="J52" i="5"/>
  <c r="D52" i="5"/>
  <c r="E52" i="5"/>
  <c r="C52" i="5"/>
  <c r="G52" i="5"/>
  <c r="P52" i="5"/>
  <c r="F52" i="5"/>
  <c r="B52" i="5"/>
  <c r="J51" i="5"/>
  <c r="Q51" i="5"/>
  <c r="R51" i="5"/>
  <c r="D51" i="5"/>
  <c r="E51" i="5"/>
  <c r="G51" i="5"/>
  <c r="P51" i="5"/>
  <c r="F51" i="5"/>
  <c r="B51" i="5"/>
  <c r="C51" i="5"/>
  <c r="Q50" i="5"/>
  <c r="R50" i="5"/>
  <c r="J50" i="5"/>
  <c r="F50" i="5"/>
  <c r="E50" i="5"/>
  <c r="D50" i="5"/>
  <c r="G50" i="5"/>
  <c r="C50" i="5"/>
  <c r="P50" i="5"/>
  <c r="B50" i="5"/>
  <c r="Q53" i="5"/>
  <c r="R53" i="5"/>
  <c r="J53" i="5"/>
  <c r="D53" i="5"/>
  <c r="F53" i="5"/>
  <c r="P53" i="5"/>
  <c r="C53" i="5"/>
  <c r="G53" i="5"/>
  <c r="E53" i="5"/>
  <c r="B53" i="5"/>
  <c r="J54" i="5"/>
  <c r="C54" i="5"/>
  <c r="F54" i="5"/>
  <c r="G54" i="5"/>
  <c r="D54" i="5"/>
  <c r="P54" i="5"/>
  <c r="E54" i="5"/>
  <c r="B54" i="5"/>
  <c r="Q54" i="5"/>
  <c r="R54" i="5"/>
  <c r="H10" i="3"/>
  <c r="K8" i="3"/>
  <c r="H9" i="3"/>
  <c r="K9" i="3"/>
  <c r="N9" i="5" a="1"/>
  <c r="N9" i="5"/>
  <c r="H8" i="3"/>
  <c r="K10" i="3"/>
  <c r="K7" i="3"/>
  <c r="N7" i="5" a="1"/>
  <c r="N7" i="5"/>
  <c r="G10" i="3"/>
  <c r="F10" i="3"/>
  <c r="E10" i="3"/>
  <c r="C10" i="3"/>
  <c r="B10" i="3"/>
  <c r="D10" i="3"/>
  <c r="F9" i="3"/>
  <c r="E9" i="3"/>
  <c r="G9" i="3"/>
  <c r="C9" i="3"/>
  <c r="B9" i="3"/>
  <c r="D9" i="3"/>
  <c r="G8" i="3"/>
  <c r="D8" i="3"/>
  <c r="C8" i="3"/>
  <c r="F8" i="3"/>
  <c r="B8" i="3"/>
  <c r="E8" i="3"/>
  <c r="H7" i="3"/>
  <c r="G7" i="3"/>
  <c r="F7" i="3"/>
  <c r="C7" i="3"/>
  <c r="E7" i="3"/>
  <c r="B7" i="3"/>
  <c r="D7" i="3"/>
  <c r="J10" i="3"/>
  <c r="J8" i="3"/>
  <c r="J7" i="3"/>
  <c r="L8" i="3"/>
  <c r="O10" i="5" a="1"/>
  <c r="O10" i="5"/>
  <c r="I9" i="5"/>
  <c r="M9" i="5"/>
  <c r="S8" i="5" a="1"/>
  <c r="S8" i="5"/>
  <c r="N7" i="3"/>
  <c r="S7" i="5" a="1"/>
  <c r="S7" i="5"/>
  <c r="P7" i="3"/>
  <c r="N10" i="3"/>
  <c r="V8" i="3"/>
  <c r="T9" i="3"/>
  <c r="R10" i="3"/>
  <c r="L7" i="3"/>
  <c r="O9" i="5" a="1"/>
  <c r="O9" i="5"/>
  <c r="R8" i="3"/>
  <c r="P10" i="3"/>
  <c r="V7" i="3"/>
  <c r="X8" i="3"/>
  <c r="P8" i="3"/>
  <c r="O8" i="5" a="1"/>
  <c r="O8" i="5"/>
  <c r="R9" i="3"/>
  <c r="V9" i="3"/>
  <c r="J9" i="3"/>
  <c r="I8" i="5"/>
  <c r="X9" i="3"/>
  <c r="X7" i="3"/>
  <c r="N8" i="3"/>
  <c r="T7" i="3"/>
  <c r="N10" i="5" a="1"/>
  <c r="N10" i="5"/>
  <c r="V10" i="3"/>
  <c r="P9" i="3"/>
  <c r="I7" i="3"/>
  <c r="N9" i="3"/>
  <c r="T10" i="3"/>
  <c r="S10" i="5" a="1"/>
  <c r="S10" i="5"/>
  <c r="X10" i="3"/>
  <c r="R7" i="3"/>
  <c r="T8" i="3"/>
  <c r="I10" i="3"/>
  <c r="I8" i="3"/>
  <c r="N8" i="5" a="1"/>
  <c r="N8" i="5"/>
  <c r="L10" i="3"/>
  <c r="I10" i="5"/>
  <c r="M10" i="5"/>
  <c r="S9" i="5" a="1"/>
  <c r="S9" i="5"/>
  <c r="L9" i="3"/>
  <c r="I7" i="5"/>
  <c r="M7" i="5"/>
  <c r="O7" i="5" a="1"/>
  <c r="O7" i="5"/>
  <c r="B54" i="1"/>
  <c r="K21" i="3"/>
  <c r="N21" i="5" a="1"/>
  <c r="N21" i="5"/>
  <c r="H21" i="3"/>
  <c r="H20" i="3"/>
  <c r="K20" i="3"/>
  <c r="G22" i="3"/>
  <c r="C22" i="3"/>
  <c r="F22" i="3"/>
  <c r="D22" i="3"/>
  <c r="E22" i="3"/>
  <c r="E21" i="3"/>
  <c r="D21" i="3"/>
  <c r="F21" i="3"/>
  <c r="C21" i="3"/>
  <c r="B21" i="3"/>
  <c r="G21" i="3"/>
  <c r="F19" i="3"/>
  <c r="C19" i="3"/>
  <c r="D19" i="3"/>
  <c r="E19" i="3"/>
  <c r="G19" i="3"/>
  <c r="K19" i="3"/>
  <c r="N19" i="5" a="1"/>
  <c r="N19" i="5"/>
  <c r="F20" i="3"/>
  <c r="E20" i="3"/>
  <c r="C20" i="3"/>
  <c r="G20" i="3"/>
  <c r="B20" i="3"/>
  <c r="D20" i="3"/>
  <c r="H22" i="3"/>
  <c r="B22" i="3"/>
  <c r="K22" i="3"/>
  <c r="B19" i="3"/>
  <c r="H19" i="3"/>
  <c r="J20" i="3"/>
  <c r="O21" i="5" a="1"/>
  <c r="O21" i="5"/>
  <c r="X22" i="3"/>
  <c r="T19" i="3"/>
  <c r="I20" i="3"/>
  <c r="J19" i="3"/>
  <c r="N20" i="5" a="1"/>
  <c r="N20" i="5"/>
  <c r="V21" i="3"/>
  <c r="T22" i="3"/>
  <c r="S21" i="5" a="1"/>
  <c r="S21" i="5"/>
  <c r="I21" i="5"/>
  <c r="M21" i="5"/>
  <c r="X21" i="3"/>
  <c r="V22" i="3"/>
  <c r="R21" i="3"/>
  <c r="P21" i="3"/>
  <c r="L21" i="3"/>
  <c r="R22" i="3"/>
  <c r="S19" i="5" a="1"/>
  <c r="S19" i="5"/>
  <c r="I22" i="5"/>
  <c r="M22" i="5"/>
  <c r="S22" i="5" a="1"/>
  <c r="S22" i="5"/>
  <c r="N22" i="3"/>
  <c r="P20" i="3"/>
  <c r="N20" i="3"/>
  <c r="O19" i="5" a="1"/>
  <c r="O19" i="5"/>
  <c r="L19" i="3"/>
  <c r="L22" i="3"/>
  <c r="X20" i="3"/>
  <c r="I20" i="5"/>
  <c r="M20" i="5"/>
  <c r="V19" i="3"/>
  <c r="V20" i="3"/>
  <c r="O22" i="5" a="1"/>
  <c r="O22" i="5"/>
  <c r="P22" i="3"/>
  <c r="T21" i="3"/>
  <c r="T20" i="3"/>
  <c r="R20" i="3"/>
  <c r="R19" i="3"/>
  <c r="X19" i="3"/>
  <c r="I21" i="3"/>
  <c r="S20" i="5" a="1"/>
  <c r="S20" i="5"/>
  <c r="I22" i="3"/>
  <c r="I19" i="3"/>
  <c r="N22" i="5" a="1"/>
  <c r="N22" i="5"/>
  <c r="O20" i="5" a="1"/>
  <c r="O20" i="5"/>
  <c r="J21" i="3"/>
  <c r="N19" i="3"/>
  <c r="N21" i="3"/>
  <c r="L20" i="3"/>
  <c r="I19" i="5"/>
  <c r="M19" i="5"/>
  <c r="J22" i="3"/>
  <c r="P19" i="3"/>
  <c r="K63" i="3"/>
  <c r="K57" i="3"/>
  <c r="N57" i="5" a="1"/>
  <c r="N57" i="5"/>
  <c r="H60" i="3"/>
  <c r="K60" i="3"/>
  <c r="N60" i="5" a="1"/>
  <c r="N60" i="5"/>
  <c r="H58" i="3"/>
  <c r="H54" i="3"/>
  <c r="K55" i="3"/>
  <c r="K58" i="3"/>
  <c r="N58" i="5" a="1"/>
  <c r="N58" i="5"/>
  <c r="K61" i="3"/>
  <c r="N61" i="5" a="1"/>
  <c r="N61" i="5"/>
  <c r="H52" i="3"/>
  <c r="H56" i="3"/>
  <c r="H55" i="3"/>
  <c r="H63" i="3"/>
  <c r="K62" i="3"/>
  <c r="N62" i="5" a="1"/>
  <c r="N62" i="5"/>
  <c r="K52" i="3"/>
  <c r="H53" i="3"/>
  <c r="K50" i="3"/>
  <c r="K53" i="3"/>
  <c r="F64" i="3"/>
  <c r="C64" i="3"/>
  <c r="D64" i="3"/>
  <c r="E64" i="3"/>
  <c r="G64" i="3"/>
  <c r="H62" i="3"/>
  <c r="H57" i="3"/>
  <c r="H59" i="3"/>
  <c r="K54" i="3"/>
  <c r="H61" i="3"/>
  <c r="H50" i="3"/>
  <c r="C56" i="3"/>
  <c r="E56" i="3"/>
  <c r="G56" i="3"/>
  <c r="F56" i="3"/>
  <c r="D56" i="3"/>
  <c r="H64" i="3"/>
  <c r="F53" i="3"/>
  <c r="E53" i="3"/>
  <c r="C53" i="3"/>
  <c r="D53" i="3"/>
  <c r="B53" i="3"/>
  <c r="G53" i="3"/>
  <c r="C55" i="3"/>
  <c r="G55" i="3"/>
  <c r="D55" i="3"/>
  <c r="F55" i="3"/>
  <c r="B55" i="3"/>
  <c r="E55" i="3"/>
  <c r="D57" i="3"/>
  <c r="E57" i="3"/>
  <c r="F57" i="3"/>
  <c r="G57" i="3"/>
  <c r="B57" i="3"/>
  <c r="C57" i="3"/>
  <c r="F52" i="3"/>
  <c r="C52" i="3"/>
  <c r="E52" i="3"/>
  <c r="D52" i="3"/>
  <c r="G52" i="3"/>
  <c r="B52" i="3"/>
  <c r="C54" i="3"/>
  <c r="D54" i="3"/>
  <c r="E54" i="3"/>
  <c r="G54" i="3"/>
  <c r="F54" i="3"/>
  <c r="B54" i="3"/>
  <c r="B56" i="3"/>
  <c r="K56" i="3"/>
  <c r="N56" i="5" a="1"/>
  <c r="N56" i="5"/>
  <c r="F59" i="3"/>
  <c r="C59" i="3"/>
  <c r="D59" i="3"/>
  <c r="E59" i="3"/>
  <c r="G59" i="3"/>
  <c r="B59" i="3"/>
  <c r="K59" i="3"/>
  <c r="D61" i="3"/>
  <c r="C61" i="3"/>
  <c r="F61" i="3"/>
  <c r="G61" i="3"/>
  <c r="E61" i="3"/>
  <c r="B61" i="3"/>
  <c r="F62" i="3"/>
  <c r="C62" i="3"/>
  <c r="G62" i="3"/>
  <c r="E62" i="3"/>
  <c r="D62" i="3"/>
  <c r="B62" i="3"/>
  <c r="B64" i="3"/>
  <c r="K64" i="3"/>
  <c r="N64" i="5" a="1"/>
  <c r="N64" i="5"/>
  <c r="F58" i="3"/>
  <c r="C58" i="3"/>
  <c r="E58" i="3"/>
  <c r="D58" i="3"/>
  <c r="B58" i="3"/>
  <c r="G58" i="3"/>
  <c r="F60" i="3"/>
  <c r="E60" i="3"/>
  <c r="D60" i="3"/>
  <c r="G60" i="3"/>
  <c r="B60" i="3"/>
  <c r="C60" i="3"/>
  <c r="C63" i="3"/>
  <c r="F63" i="3"/>
  <c r="E63" i="3"/>
  <c r="D63" i="3"/>
  <c r="B63" i="3"/>
  <c r="G63" i="3"/>
  <c r="H9" i="5"/>
  <c r="H10" i="5"/>
  <c r="F50" i="3"/>
  <c r="D50" i="3"/>
  <c r="H7" i="5"/>
  <c r="C50" i="3"/>
  <c r="E50" i="3"/>
  <c r="G50" i="3"/>
  <c r="B50" i="3"/>
  <c r="L63" i="3"/>
  <c r="V63" i="3"/>
  <c r="L53" i="3"/>
  <c r="L50" i="3"/>
  <c r="L61" i="3"/>
  <c r="P63" i="3"/>
  <c r="V55" i="3"/>
  <c r="L54" i="3"/>
  <c r="X55" i="3"/>
  <c r="P55" i="3"/>
  <c r="N60" i="3"/>
  <c r="T54" i="3"/>
  <c r="R64" i="3"/>
  <c r="R53" i="3"/>
  <c r="N53" i="5" a="1"/>
  <c r="N53" i="5"/>
  <c r="I62" i="5"/>
  <c r="M62" i="5"/>
  <c r="J56" i="3"/>
  <c r="S56" i="5" a="1"/>
  <c r="S56" i="5"/>
  <c r="I59" i="3"/>
  <c r="N59" i="5" a="1"/>
  <c r="N59" i="5"/>
  <c r="I64" i="3"/>
  <c r="O64" i="5" a="1"/>
  <c r="O64" i="5"/>
  <c r="S64" i="5" a="1"/>
  <c r="S64" i="5"/>
  <c r="V53" i="3"/>
  <c r="T50" i="3"/>
  <c r="I52" i="3"/>
  <c r="S52" i="5" a="1"/>
  <c r="S52" i="5"/>
  <c r="J55" i="3"/>
  <c r="I64" i="5"/>
  <c r="M64" i="5"/>
  <c r="N55" i="5" a="1"/>
  <c r="N55" i="5"/>
  <c r="X63" i="3"/>
  <c r="I60" i="3"/>
  <c r="O60" i="5" a="1"/>
  <c r="O60" i="5"/>
  <c r="S60" i="5" a="1"/>
  <c r="S60" i="5"/>
  <c r="V58" i="3"/>
  <c r="L64" i="3"/>
  <c r="R50" i="3"/>
  <c r="P59" i="3"/>
  <c r="R54" i="3"/>
  <c r="N55" i="3"/>
  <c r="X50" i="3"/>
  <c r="T59" i="3"/>
  <c r="I63" i="5"/>
  <c r="M63" i="5"/>
  <c r="N54" i="5" a="1"/>
  <c r="N54" i="5"/>
  <c r="S59" i="5" a="1"/>
  <c r="S59" i="5"/>
  <c r="N54" i="3"/>
  <c r="X64" i="3"/>
  <c r="S54" i="5" a="1"/>
  <c r="S54" i="5"/>
  <c r="I58" i="3"/>
  <c r="S58" i="5" a="1"/>
  <c r="S58" i="5"/>
  <c r="X54" i="3"/>
  <c r="S50" i="5" a="1"/>
  <c r="S50" i="5"/>
  <c r="J54" i="3"/>
  <c r="X57" i="3"/>
  <c r="S57" i="5" a="1"/>
  <c r="S57" i="5"/>
  <c r="L59" i="3"/>
  <c r="N63" i="3"/>
  <c r="P54" i="3"/>
  <c r="I54" i="3"/>
  <c r="R63" i="3"/>
  <c r="N59" i="3"/>
  <c r="N53" i="3"/>
  <c r="T63" i="3"/>
  <c r="P50" i="3"/>
  <c r="N62" i="3"/>
  <c r="S62" i="5" a="1"/>
  <c r="S62" i="5"/>
  <c r="O62" i="5" a="1"/>
  <c r="O62" i="5"/>
  <c r="L55" i="3"/>
  <c r="J50" i="3"/>
  <c r="N50" i="5" a="1"/>
  <c r="N50" i="5"/>
  <c r="V60" i="3"/>
  <c r="I63" i="3"/>
  <c r="S63" i="5" a="1"/>
  <c r="S63" i="5"/>
  <c r="R59" i="3"/>
  <c r="J60" i="3"/>
  <c r="I61" i="3"/>
  <c r="S61" i="5" a="1"/>
  <c r="S61" i="5"/>
  <c r="O61" i="5" a="1"/>
  <c r="O61" i="5"/>
  <c r="X60" i="3"/>
  <c r="T55" i="3"/>
  <c r="P53" i="3"/>
  <c r="S53" i="5" a="1"/>
  <c r="S53" i="5"/>
  <c r="I61" i="5"/>
  <c r="M61" i="5"/>
  <c r="N52" i="5" a="1"/>
  <c r="N52" i="5"/>
  <c r="I55" i="3"/>
  <c r="S55" i="5" a="1"/>
  <c r="S55" i="5"/>
  <c r="N61" i="3"/>
  <c r="J63" i="3"/>
  <c r="N63" i="5" a="1"/>
  <c r="N63" i="5"/>
  <c r="X52" i="3"/>
  <c r="L52" i="3"/>
  <c r="I57" i="3"/>
  <c r="R61" i="3"/>
  <c r="V61" i="3"/>
  <c r="I56" i="3"/>
  <c r="R57" i="3"/>
  <c r="P56" i="3"/>
  <c r="T62" i="3"/>
  <c r="N64" i="3"/>
  <c r="R58" i="3"/>
  <c r="L56" i="3"/>
  <c r="N52" i="3"/>
  <c r="L58" i="3"/>
  <c r="J53" i="3"/>
  <c r="X58" i="3"/>
  <c r="P60" i="3"/>
  <c r="V56" i="3"/>
  <c r="R56" i="3"/>
  <c r="V52" i="3"/>
  <c r="R62" i="3"/>
  <c r="N56" i="3"/>
  <c r="L60" i="3"/>
  <c r="R60" i="3"/>
  <c r="P57" i="3"/>
  <c r="T61" i="3"/>
  <c r="P58" i="3"/>
  <c r="N58" i="3"/>
  <c r="J57" i="3"/>
  <c r="X56" i="3"/>
  <c r="N57" i="3"/>
  <c r="X62" i="3"/>
  <c r="P61" i="3"/>
  <c r="P64" i="3"/>
  <c r="T56" i="3"/>
  <c r="X61" i="3"/>
  <c r="X53" i="3"/>
  <c r="T53" i="3"/>
  <c r="P52" i="3"/>
  <c r="R52" i="3"/>
  <c r="T60" i="3"/>
  <c r="J52" i="3"/>
  <c r="J61" i="3"/>
  <c r="V50" i="3"/>
  <c r="T57" i="3"/>
  <c r="I50" i="3"/>
  <c r="I59" i="5"/>
  <c r="M59" i="5"/>
  <c r="J59" i="3"/>
  <c r="I53" i="3"/>
  <c r="V59" i="3"/>
  <c r="J62" i="3"/>
  <c r="L62" i="3"/>
  <c r="X59" i="3"/>
  <c r="N50" i="3"/>
  <c r="I62" i="3"/>
  <c r="L57" i="3"/>
  <c r="V54" i="3"/>
  <c r="T52" i="3"/>
  <c r="R55" i="3"/>
  <c r="V64" i="3"/>
  <c r="V62" i="3"/>
  <c r="T64" i="3"/>
  <c r="J58" i="3"/>
  <c r="J64" i="3"/>
  <c r="P62" i="3"/>
  <c r="T58" i="3"/>
  <c r="V57" i="3"/>
  <c r="H42" i="3"/>
  <c r="K41" i="3"/>
  <c r="K44" i="3"/>
  <c r="H43" i="3"/>
  <c r="H45" i="3"/>
  <c r="H41" i="3"/>
  <c r="H39" i="3"/>
  <c r="K43" i="3"/>
  <c r="D45" i="3"/>
  <c r="G45" i="3"/>
  <c r="E45" i="3"/>
  <c r="C45" i="3"/>
  <c r="F45" i="3"/>
  <c r="H38" i="3"/>
  <c r="K42" i="3"/>
  <c r="K39" i="3"/>
  <c r="H44" i="3"/>
  <c r="F44" i="3"/>
  <c r="C44" i="3"/>
  <c r="E44" i="3"/>
  <c r="D44" i="3"/>
  <c r="B44" i="3"/>
  <c r="G44" i="3"/>
  <c r="F37" i="3"/>
  <c r="D37" i="3"/>
  <c r="E37" i="3"/>
  <c r="G37" i="3"/>
  <c r="C37" i="3"/>
  <c r="K45" i="3"/>
  <c r="B45" i="3"/>
  <c r="F42" i="3"/>
  <c r="C42" i="3"/>
  <c r="G42" i="3"/>
  <c r="E42" i="3"/>
  <c r="B42" i="3"/>
  <c r="D42" i="3"/>
  <c r="E39" i="3"/>
  <c r="D39" i="3"/>
  <c r="G39" i="3"/>
  <c r="F39" i="3"/>
  <c r="B39" i="3"/>
  <c r="C39" i="3"/>
  <c r="F38" i="3"/>
  <c r="D38" i="3"/>
  <c r="E38" i="3"/>
  <c r="C38" i="3"/>
  <c r="G38" i="3"/>
  <c r="C41" i="3"/>
  <c r="G41" i="3"/>
  <c r="F41" i="3"/>
  <c r="D41" i="3"/>
  <c r="B41" i="3"/>
  <c r="E41" i="3"/>
  <c r="K37" i="3"/>
  <c r="C36" i="3"/>
  <c r="F36" i="3"/>
  <c r="E36" i="3"/>
  <c r="G36" i="3"/>
  <c r="D36" i="3"/>
  <c r="K36" i="3"/>
  <c r="D40" i="3"/>
  <c r="G40" i="3"/>
  <c r="E40" i="3"/>
  <c r="F40" i="3"/>
  <c r="C40" i="3"/>
  <c r="C43" i="3"/>
  <c r="D43" i="3"/>
  <c r="E43" i="3"/>
  <c r="F43" i="3"/>
  <c r="B43" i="3"/>
  <c r="G43" i="3"/>
  <c r="K40" i="3"/>
  <c r="B38" i="3"/>
  <c r="K38" i="3"/>
  <c r="B37" i="3"/>
  <c r="H37" i="3"/>
  <c r="B40" i="3"/>
  <c r="H40" i="3"/>
  <c r="B36" i="3"/>
  <c r="H36" i="3"/>
  <c r="O42" i="5" a="1"/>
  <c r="O42" i="5"/>
  <c r="S42" i="5" a="1"/>
  <c r="S42" i="5"/>
  <c r="I42" i="5"/>
  <c r="M42" i="5"/>
  <c r="N42" i="5" a="1"/>
  <c r="N42" i="5"/>
  <c r="N36" i="5" a="1"/>
  <c r="N36" i="5"/>
  <c r="S36" i="5" a="1"/>
  <c r="S36" i="5"/>
  <c r="I36" i="5"/>
  <c r="M36" i="5"/>
  <c r="I40" i="5"/>
  <c r="M40" i="5"/>
  <c r="S40" i="5" a="1"/>
  <c r="S40" i="5"/>
  <c r="O40" i="5" a="1"/>
  <c r="O40" i="5"/>
  <c r="N40" i="5" a="1"/>
  <c r="N40" i="5"/>
  <c r="S39" i="5" a="1"/>
  <c r="S39" i="5"/>
  <c r="N39" i="5" a="1"/>
  <c r="N39" i="5"/>
  <c r="I39" i="5"/>
  <c r="M39" i="5"/>
  <c r="I37" i="5"/>
  <c r="M37" i="5"/>
  <c r="S37" i="5" a="1"/>
  <c r="S37" i="5"/>
  <c r="N37" i="5" a="1"/>
  <c r="N37" i="5"/>
  <c r="I43" i="5"/>
  <c r="M43" i="5"/>
  <c r="S43" i="5" a="1"/>
  <c r="S43" i="5"/>
  <c r="O43" i="5" a="1"/>
  <c r="O43" i="5"/>
  <c r="N43" i="5" a="1"/>
  <c r="N43" i="5"/>
  <c r="O44" i="5" a="1"/>
  <c r="O44" i="5"/>
  <c r="I44" i="5"/>
  <c r="M44" i="5"/>
  <c r="S44" i="5" a="1"/>
  <c r="S44" i="5"/>
  <c r="N44" i="5" a="1"/>
  <c r="N44" i="5"/>
  <c r="N45" i="5" a="1"/>
  <c r="N45" i="5"/>
  <c r="I45" i="5"/>
  <c r="M45" i="5"/>
  <c r="O45" i="5" a="1"/>
  <c r="O45" i="5"/>
  <c r="S45" i="5" a="1"/>
  <c r="S45" i="5"/>
  <c r="I41" i="5"/>
  <c r="M41" i="5"/>
  <c r="O41" i="5" a="1"/>
  <c r="O41" i="5"/>
  <c r="S41" i="5" a="1"/>
  <c r="S41" i="5"/>
  <c r="N41" i="5" a="1"/>
  <c r="N41" i="5"/>
  <c r="S38" i="5" a="1"/>
  <c r="S38" i="5"/>
  <c r="N38" i="5" a="1"/>
  <c r="N38" i="5"/>
  <c r="I38" i="5"/>
  <c r="M38" i="5"/>
  <c r="L45" i="3"/>
  <c r="P37" i="3"/>
  <c r="V38" i="3"/>
  <c r="R44" i="3"/>
  <c r="R43" i="3"/>
  <c r="X44" i="3"/>
  <c r="N45" i="3"/>
  <c r="R36" i="3"/>
  <c r="T40" i="3"/>
  <c r="N44" i="3"/>
  <c r="I54" i="5"/>
  <c r="M54" i="5"/>
  <c r="L43" i="3"/>
  <c r="T44" i="3"/>
  <c r="N42" i="3"/>
  <c r="J39" i="3"/>
  <c r="X41" i="3"/>
  <c r="L44" i="3"/>
  <c r="X40" i="3"/>
  <c r="I36" i="3"/>
  <c r="I45" i="3"/>
  <c r="P45" i="3"/>
  <c r="I58" i="5"/>
  <c r="M58" i="5"/>
  <c r="O55" i="5" a="1"/>
  <c r="O55" i="5"/>
  <c r="O50" i="5" a="1"/>
  <c r="O50" i="5"/>
  <c r="T43" i="3"/>
  <c r="V36" i="3"/>
  <c r="X45" i="3"/>
  <c r="P44" i="3"/>
  <c r="J44" i="3"/>
  <c r="V45" i="3"/>
  <c r="O52" i="5" a="1"/>
  <c r="O52" i="5"/>
  <c r="R41" i="3"/>
  <c r="J45" i="3"/>
  <c r="I44" i="3"/>
  <c r="I57" i="5"/>
  <c r="M57" i="5"/>
  <c r="X43" i="3"/>
  <c r="T38" i="3"/>
  <c r="L40" i="3"/>
  <c r="L42" i="3"/>
  <c r="T41" i="3"/>
  <c r="P40" i="3"/>
  <c r="P42" i="3"/>
  <c r="R42" i="3"/>
  <c r="J43" i="3"/>
  <c r="V44" i="3"/>
  <c r="I41" i="3"/>
  <c r="I50" i="5"/>
  <c r="M50" i="5"/>
  <c r="X38" i="3"/>
  <c r="L37" i="3"/>
  <c r="N36" i="3"/>
  <c r="N37" i="3"/>
  <c r="L39" i="3"/>
  <c r="R40" i="3"/>
  <c r="X36" i="3"/>
  <c r="O53" i="5" a="1"/>
  <c r="O53" i="5"/>
  <c r="O57" i="5" a="1"/>
  <c r="O57" i="5"/>
  <c r="O58" i="5" a="1"/>
  <c r="O58" i="5"/>
  <c r="O56" i="5" a="1"/>
  <c r="O56" i="5"/>
  <c r="I53" i="5"/>
  <c r="M53" i="5"/>
  <c r="T39" i="3"/>
  <c r="L38" i="3"/>
  <c r="N40" i="3"/>
  <c r="P43" i="3"/>
  <c r="O59" i="5" a="1"/>
  <c r="O59" i="5"/>
  <c r="J38" i="3"/>
  <c r="I56" i="5"/>
  <c r="M56" i="5"/>
  <c r="V40" i="3"/>
  <c r="R38" i="3"/>
  <c r="X42" i="3"/>
  <c r="J42" i="3"/>
  <c r="L41" i="3"/>
  <c r="I43" i="3"/>
  <c r="V43" i="3"/>
  <c r="T45" i="3"/>
  <c r="P41" i="3"/>
  <c r="I55" i="5"/>
  <c r="M55" i="5"/>
  <c r="O54" i="5" a="1"/>
  <c r="O54" i="5"/>
  <c r="T42" i="3"/>
  <c r="T37" i="3"/>
  <c r="R39" i="3"/>
  <c r="V37" i="3"/>
  <c r="L36" i="3"/>
  <c r="V39" i="3"/>
  <c r="N41" i="3"/>
  <c r="P39" i="3"/>
  <c r="R45" i="3"/>
  <c r="P38" i="3"/>
  <c r="X37" i="3"/>
  <c r="I42" i="3"/>
  <c r="N38" i="3"/>
  <c r="J40" i="3"/>
  <c r="I38" i="3"/>
  <c r="I52" i="5"/>
  <c r="M52" i="5"/>
  <c r="I39" i="3"/>
  <c r="V42" i="3"/>
  <c r="N39" i="3"/>
  <c r="N43" i="3"/>
  <c r="J41" i="3"/>
  <c r="J36" i="3"/>
  <c r="V41" i="3"/>
  <c r="X39" i="3"/>
  <c r="T36" i="3"/>
  <c r="R37" i="3"/>
  <c r="P36" i="3"/>
  <c r="I37" i="3"/>
  <c r="I40" i="3"/>
  <c r="I51" i="5"/>
  <c r="M51" i="5"/>
  <c r="J37" i="3"/>
  <c r="K23" i="3"/>
  <c r="H23" i="3"/>
  <c r="G23" i="3"/>
  <c r="E23" i="3"/>
  <c r="D23" i="3"/>
  <c r="F23" i="3"/>
  <c r="C23" i="3"/>
  <c r="C14" i="2"/>
  <c r="B23" i="3"/>
  <c r="O23" i="5" a="1"/>
  <c r="O23" i="5"/>
  <c r="N23" i="3"/>
  <c r="J23" i="3"/>
  <c r="X23" i="3"/>
  <c r="I23" i="5"/>
  <c r="M23" i="5"/>
  <c r="P23" i="3"/>
  <c r="V23" i="3"/>
  <c r="T23" i="3"/>
  <c r="S23" i="5" a="1"/>
  <c r="S23" i="5"/>
  <c r="L23" i="3"/>
  <c r="R23" i="3"/>
  <c r="I23" i="3"/>
  <c r="N23" i="5" a="1"/>
  <c r="N23" i="5"/>
  <c r="H12" i="3"/>
  <c r="K12" i="3"/>
  <c r="N12" i="5" a="1"/>
  <c r="N12" i="5"/>
  <c r="H23" i="5"/>
  <c r="H19" i="5"/>
  <c r="H22" i="5"/>
  <c r="H20" i="5"/>
  <c r="H24" i="5"/>
  <c r="H21" i="5"/>
  <c r="H14" i="5"/>
  <c r="H13" i="5"/>
  <c r="E12" i="3"/>
  <c r="F12" i="3"/>
  <c r="D12" i="3"/>
  <c r="G12" i="3"/>
  <c r="B12" i="3"/>
  <c r="C12" i="3"/>
  <c r="V12" i="3"/>
  <c r="L12" i="3"/>
  <c r="N12" i="3"/>
  <c r="X12" i="3"/>
  <c r="R12" i="3"/>
  <c r="T12" i="3"/>
  <c r="I12" i="5"/>
  <c r="M12" i="5"/>
  <c r="O12" i="5" a="1"/>
  <c r="O12" i="5"/>
  <c r="P12" i="3"/>
  <c r="J12" i="3"/>
  <c r="I12" i="3"/>
  <c r="S12" i="5" a="1"/>
  <c r="S12" i="5"/>
  <c r="H28" i="3"/>
  <c r="K30" i="3"/>
  <c r="N30" i="5" a="1"/>
  <c r="N30" i="5"/>
  <c r="K29" i="3"/>
  <c r="N29" i="5" a="1"/>
  <c r="N29" i="5"/>
  <c r="K28" i="3"/>
  <c r="J28" i="3"/>
  <c r="H29" i="3"/>
  <c r="H30" i="3"/>
  <c r="G29" i="3"/>
  <c r="D29" i="3"/>
  <c r="F29" i="3"/>
  <c r="C29" i="3"/>
  <c r="B29" i="3"/>
  <c r="E29" i="3"/>
  <c r="C30" i="3"/>
  <c r="D30" i="3"/>
  <c r="G30" i="3"/>
  <c r="F30" i="3"/>
  <c r="B30" i="3"/>
  <c r="E30" i="3"/>
  <c r="E28" i="3"/>
  <c r="F28" i="3"/>
  <c r="G28" i="3"/>
  <c r="D28" i="3"/>
  <c r="B28" i="3"/>
  <c r="C28" i="3"/>
  <c r="H25" i="3"/>
  <c r="H27" i="3"/>
  <c r="K27" i="3"/>
  <c r="H31" i="3"/>
  <c r="H26" i="3"/>
  <c r="K26" i="3"/>
  <c r="N26" i="5" a="1"/>
  <c r="N26" i="5"/>
  <c r="K25" i="3"/>
  <c r="J25" i="3"/>
  <c r="K31" i="3"/>
  <c r="E27" i="3"/>
  <c r="G27" i="3"/>
  <c r="F27" i="3"/>
  <c r="C27" i="3"/>
  <c r="B27" i="3"/>
  <c r="D27" i="3"/>
  <c r="D26" i="3"/>
  <c r="E26" i="3"/>
  <c r="C26" i="3"/>
  <c r="F26" i="3"/>
  <c r="B26" i="3"/>
  <c r="G26" i="3"/>
  <c r="H40" i="5"/>
  <c r="H43" i="5"/>
  <c r="H44" i="5"/>
  <c r="H41" i="5"/>
  <c r="H45" i="5"/>
  <c r="H42" i="5"/>
  <c r="H36" i="5"/>
  <c r="H39" i="5"/>
  <c r="H38" i="5"/>
  <c r="H50" i="5"/>
  <c r="H37" i="5"/>
  <c r="E25" i="3"/>
  <c r="F25" i="3"/>
  <c r="G25" i="3"/>
  <c r="D25" i="3"/>
  <c r="B25" i="3"/>
  <c r="C25" i="3"/>
  <c r="C31" i="3"/>
  <c r="G31" i="3"/>
  <c r="F31" i="3"/>
  <c r="D31" i="3"/>
  <c r="B31" i="3"/>
  <c r="E31" i="3"/>
  <c r="R30" i="3"/>
  <c r="V26" i="3"/>
  <c r="N30" i="3"/>
  <c r="N25" i="5" a="1"/>
  <c r="N25" i="5"/>
  <c r="P26" i="3"/>
  <c r="T31" i="3"/>
  <c r="X29" i="3"/>
  <c r="P25" i="3"/>
  <c r="O26" i="5" a="1"/>
  <c r="O26" i="5"/>
  <c r="V27" i="3"/>
  <c r="L31" i="3"/>
  <c r="V29" i="3"/>
  <c r="L30" i="3"/>
  <c r="S27" i="5" a="1"/>
  <c r="S27" i="5"/>
  <c r="I29" i="3"/>
  <c r="H29" i="5"/>
  <c r="R28" i="3"/>
  <c r="S28" i="5" a="1"/>
  <c r="S28" i="5"/>
  <c r="P27" i="3"/>
  <c r="O28" i="5" a="1"/>
  <c r="O28" i="5"/>
  <c r="P31" i="3"/>
  <c r="V30" i="3"/>
  <c r="I31" i="3"/>
  <c r="H31" i="5"/>
  <c r="S25" i="5" a="1"/>
  <c r="S25" i="5"/>
  <c r="I28" i="5"/>
  <c r="M28" i="5"/>
  <c r="X27" i="3"/>
  <c r="V28" i="3"/>
  <c r="T27" i="3"/>
  <c r="N31" i="3"/>
  <c r="R31" i="3"/>
  <c r="V25" i="3"/>
  <c r="L29" i="3"/>
  <c r="J29" i="3"/>
  <c r="T29" i="3"/>
  <c r="R29" i="3"/>
  <c r="T25" i="3"/>
  <c r="T28" i="3"/>
  <c r="N28" i="3"/>
  <c r="L27" i="3"/>
  <c r="I30" i="5"/>
  <c r="M30" i="5"/>
  <c r="X26" i="3"/>
  <c r="R26" i="3"/>
  <c r="I28" i="3"/>
  <c r="H28" i="5"/>
  <c r="S30" i="5" a="1"/>
  <c r="S30" i="5"/>
  <c r="T30" i="3"/>
  <c r="X28" i="3"/>
  <c r="I26" i="3"/>
  <c r="H26" i="5"/>
  <c r="I31" i="5"/>
  <c r="M31" i="5"/>
  <c r="T26" i="3"/>
  <c r="N28" i="5" a="1"/>
  <c r="N28" i="5"/>
  <c r="X25" i="3"/>
  <c r="P28" i="3"/>
  <c r="O31" i="5" a="1"/>
  <c r="O31" i="5"/>
  <c r="I27" i="5"/>
  <c r="M27" i="5"/>
  <c r="O25" i="5" a="1"/>
  <c r="O25" i="5"/>
  <c r="V31" i="3"/>
  <c r="P30" i="3"/>
  <c r="O29" i="5" a="1"/>
  <c r="O29" i="5"/>
  <c r="N29" i="3"/>
  <c r="X30" i="3"/>
  <c r="R27" i="3"/>
  <c r="N25" i="3"/>
  <c r="I29" i="5"/>
  <c r="M29" i="5"/>
  <c r="O38" i="5" a="1"/>
  <c r="O38" i="5"/>
  <c r="O36" i="5" a="1"/>
  <c r="O36" i="5"/>
  <c r="O30" i="5" a="1"/>
  <c r="O30" i="5"/>
  <c r="J31" i="3"/>
  <c r="I26" i="5"/>
  <c r="M26" i="5"/>
  <c r="S31" i="5" a="1"/>
  <c r="S31" i="5"/>
  <c r="L28" i="3"/>
  <c r="J30" i="3"/>
  <c r="I30" i="3"/>
  <c r="H30" i="5"/>
  <c r="O37" i="5" a="1"/>
  <c r="O37" i="5"/>
  <c r="O27" i="5" a="1"/>
  <c r="O27" i="5"/>
  <c r="S29" i="5" a="1"/>
  <c r="S29" i="5"/>
  <c r="N27" i="3"/>
  <c r="J27" i="3"/>
  <c r="N26" i="3"/>
  <c r="L26" i="3"/>
  <c r="X31" i="3"/>
  <c r="R25" i="3"/>
  <c r="I25" i="5"/>
  <c r="M25" i="5"/>
  <c r="O39" i="5" a="1"/>
  <c r="O39" i="5"/>
  <c r="I25" i="3"/>
  <c r="H25" i="5"/>
  <c r="L25" i="3"/>
  <c r="P29" i="3"/>
  <c r="N27" i="5" a="1"/>
  <c r="N27" i="5"/>
  <c r="I27" i="3"/>
  <c r="H27" i="5"/>
  <c r="N31" i="5" a="1"/>
  <c r="N31" i="5"/>
  <c r="J26" i="3"/>
  <c r="S26" i="5" a="1"/>
  <c r="S26" i="5"/>
  <c r="H51" i="3"/>
  <c r="N51" i="3"/>
  <c r="K51" i="3"/>
  <c r="N51" i="5" a="1"/>
  <c r="N51" i="5"/>
  <c r="H53" i="5"/>
  <c r="H55" i="5"/>
  <c r="H12" i="5"/>
  <c r="H58" i="5"/>
  <c r="H64" i="5"/>
  <c r="H57" i="5"/>
  <c r="H63" i="5"/>
  <c r="H54" i="5"/>
  <c r="H61" i="5"/>
  <c r="H56" i="5"/>
  <c r="H52" i="5"/>
  <c r="H60" i="5"/>
  <c r="H59" i="5"/>
  <c r="H62" i="5"/>
  <c r="F51" i="3"/>
  <c r="G51" i="3"/>
  <c r="C51" i="3"/>
  <c r="E51" i="3"/>
  <c r="B51" i="3"/>
  <c r="D51" i="3"/>
  <c r="O63" i="5" a="1"/>
  <c r="O63" i="5"/>
  <c r="O51" i="5" a="1"/>
  <c r="O51" i="5"/>
  <c r="X51" i="3"/>
  <c r="V51" i="3"/>
  <c r="I60" i="5"/>
  <c r="M60" i="5"/>
  <c r="T51" i="3"/>
  <c r="R51" i="3"/>
  <c r="P51" i="3"/>
  <c r="S51" i="5" a="1"/>
  <c r="S51" i="5"/>
  <c r="L51" i="3"/>
  <c r="I51" i="3"/>
  <c r="H51" i="5"/>
  <c r="J51" i="3"/>
  <c r="J8" i="5"/>
  <c r="M8" i="5"/>
  <c r="L64" i="5"/>
  <c r="L20" i="5"/>
  <c r="K8" i="5"/>
  <c r="L40" i="5"/>
  <c r="Q8" i="5"/>
  <c r="R8" i="5"/>
  <c r="H8" i="5"/>
  <c r="C13" i="2"/>
  <c r="T54" i="5"/>
  <c r="V20" i="5"/>
  <c r="V12" i="5"/>
  <c r="V62" i="5"/>
  <c r="V64" i="5"/>
  <c r="V55" i="5"/>
  <c r="V43" i="5"/>
  <c r="V58" i="5"/>
  <c r="T59" i="5"/>
  <c r="V56" i="5"/>
  <c r="V40" i="5"/>
  <c r="V21" i="5"/>
  <c r="V39" i="5"/>
  <c r="V59" i="5"/>
  <c r="T50" i="5"/>
  <c r="V44" i="5"/>
  <c r="V63" i="5"/>
  <c r="V53" i="5"/>
  <c r="V8" i="5"/>
  <c r="V28" i="5"/>
  <c r="V37" i="5"/>
  <c r="T52" i="5"/>
  <c r="V54" i="5"/>
  <c r="V11" i="5"/>
  <c r="V26" i="5"/>
  <c r="V10" i="5"/>
  <c r="V45" i="5"/>
  <c r="V52" i="5"/>
  <c r="T53" i="5"/>
  <c r="T51" i="5"/>
  <c r="V22" i="5"/>
  <c r="V61" i="5"/>
  <c r="V41" i="5"/>
  <c r="V57" i="5"/>
  <c r="V60" i="5"/>
  <c r="V36" i="5"/>
  <c r="V38" i="5"/>
  <c r="V9" i="5"/>
  <c r="V29" i="5"/>
  <c r="V27" i="5"/>
  <c r="V23" i="5"/>
  <c r="V19" i="5"/>
  <c r="V24" i="5"/>
  <c r="V13" i="5"/>
  <c r="V7" i="5"/>
  <c r="V14" i="5"/>
  <c r="T60" i="5"/>
  <c r="V42" i="5"/>
  <c r="V25" i="5"/>
  <c r="V30" i="5"/>
  <c r="V51" i="5"/>
  <c r="V50" i="5"/>
  <c r="V31" i="5"/>
  <c r="T63" i="5"/>
  <c r="D8" i="5"/>
  <c r="T57" i="5"/>
  <c r="T64" i="5"/>
  <c r="F8" i="5"/>
  <c r="T55" i="5"/>
  <c r="T56" i="5"/>
  <c r="C8" i="5"/>
  <c r="T58" i="5"/>
  <c r="G8" i="5"/>
  <c r="E8" i="5"/>
  <c r="T62" i="5"/>
  <c r="T61" i="5"/>
  <c r="T8" i="5"/>
  <c r="U8" i="5"/>
  <c r="B8" i="5"/>
  <c r="P8" i="5"/>
  <c r="L54" i="5"/>
  <c r="L8" i="5"/>
  <c r="L14" i="5"/>
  <c r="L38" i="5"/>
  <c r="L41" i="5"/>
  <c r="L9" i="5"/>
  <c r="L60" i="5"/>
  <c r="L7" i="5"/>
  <c r="L30" i="5"/>
  <c r="L28" i="5"/>
  <c r="L11" i="5"/>
  <c r="L62" i="5"/>
  <c r="L10" i="5"/>
  <c r="L45" i="5"/>
  <c r="L51" i="5"/>
  <c r="L13" i="5"/>
  <c r="L59" i="5"/>
  <c r="L50" i="5"/>
  <c r="L37" i="5"/>
  <c r="L57" i="5"/>
  <c r="L63" i="5"/>
  <c r="L58" i="5"/>
  <c r="L42" i="5"/>
  <c r="L36" i="5"/>
  <c r="L21" i="5"/>
  <c r="L56" i="5"/>
  <c r="L43" i="5"/>
  <c r="L12" i="5"/>
  <c r="L29" i="5"/>
  <c r="L55" i="5"/>
  <c r="L22" i="5"/>
  <c r="L27" i="5"/>
  <c r="L61" i="5"/>
  <c r="L39" i="5"/>
  <c r="L44" i="5"/>
  <c r="L31" i="5"/>
  <c r="L52" i="5"/>
  <c r="L53" i="5"/>
  <c r="L23" i="5"/>
  <c r="L25" i="5"/>
  <c r="L19" i="5"/>
  <c r="L26" i="5"/>
  <c r="L2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<sst xmlns="http://schemas.openxmlformats.org/spreadsheetml/2006/main" count="599" uniqueCount="270">
  <si>
    <t>REFERENCING &amp; DATABASE</t>
  </si>
  <si>
    <t>TOTAL NO OF PRODUCTS</t>
  </si>
  <si>
    <t>NO OF PRODUCTS</t>
  </si>
  <si>
    <t>CATEGORY</t>
  </si>
  <si>
    <t>SUB-CATEGORY</t>
  </si>
  <si>
    <t>REFERENCE</t>
  </si>
  <si>
    <t>PRODUCT NAME</t>
  </si>
  <si>
    <t>DESCRIPTION</t>
  </si>
  <si>
    <t>COLOUR</t>
  </si>
  <si>
    <t>SIZE</t>
  </si>
  <si>
    <t>COST PRICE (€)</t>
  </si>
  <si>
    <t>MARGIN (%)</t>
  </si>
  <si>
    <t>RETAIL PRICE  (€)</t>
  </si>
  <si>
    <t>Nude, Pink, Red</t>
  </si>
  <si>
    <t>Pink, Clear</t>
  </si>
  <si>
    <t>PRICE  (€)</t>
  </si>
  <si>
    <t>green, yellow and lavender</t>
  </si>
  <si>
    <t>light beige, medium beige, dark beige</t>
  </si>
  <si>
    <t>Black</t>
  </si>
  <si>
    <t>Multi-colors</t>
  </si>
  <si>
    <t xml:space="preserve">PRICE (€) </t>
  </si>
  <si>
    <t>red, yellow, brown, nude, pink, white, blue, green</t>
  </si>
  <si>
    <t>PRODUCT ENQUIRY</t>
  </si>
  <si>
    <t>Product:</t>
  </si>
  <si>
    <t>Description:</t>
  </si>
  <si>
    <t>Colour:</t>
  </si>
  <si>
    <t>Size:</t>
  </si>
  <si>
    <t>Price:</t>
  </si>
  <si>
    <t>Available stock in store:</t>
  </si>
  <si>
    <t>Available stock in warehouse:</t>
  </si>
  <si>
    <t>WAREHOUSE STOCK MANAGEMENT AND ALLOCATION</t>
  </si>
  <si>
    <t>WEEKLY STOCK ALLOCATION</t>
  </si>
  <si>
    <t>TOTAL STOCK</t>
  </si>
  <si>
    <t>REMANING STOCK</t>
  </si>
  <si>
    <t>1ST WEEK % ALLOCATION</t>
  </si>
  <si>
    <t>1ST WEEK</t>
  </si>
  <si>
    <t>2ND WEEK</t>
  </si>
  <si>
    <t>3RD WEEK</t>
  </si>
  <si>
    <t>4TH WEEK</t>
  </si>
  <si>
    <t>STORE STOCK &amp; SALES MANAGEMENT</t>
  </si>
  <si>
    <t>STORE STOCK</t>
  </si>
  <si>
    <t>SALES MANAGEMENT</t>
  </si>
  <si>
    <t xml:space="preserve">WEEKLY </t>
  </si>
  <si>
    <t>MONTHLY</t>
  </si>
  <si>
    <t>AVAILABLE WHS STOCK</t>
  </si>
  <si>
    <t>TOTAL STOCK ALLOCATED</t>
  </si>
  <si>
    <t xml:space="preserve">CUMULATIVE UNIT SALES </t>
  </si>
  <si>
    <t>CUMULATIVE SALES</t>
  </si>
  <si>
    <t>SALES MIX</t>
  </si>
  <si>
    <t>SELL THROUGH</t>
  </si>
  <si>
    <t>STOCK ALLOCATION - 1ST WEEK</t>
  </si>
  <si>
    <t>OPENING STOCK</t>
  </si>
  <si>
    <t xml:space="preserve">UNIT SALES </t>
  </si>
  <si>
    <t>SALES</t>
  </si>
  <si>
    <t>REMAINING STOCK</t>
  </si>
  <si>
    <t>TOTAL UNIT SALES</t>
  </si>
  <si>
    <t>TOTAL SALES</t>
  </si>
  <si>
    <t>TOTAL SALES MIX</t>
  </si>
  <si>
    <t>TOTAL UNIT</t>
  </si>
  <si>
    <t>IN STORE SALES RECORD</t>
  </si>
  <si>
    <t>WEEK</t>
  </si>
  <si>
    <t>DATES</t>
  </si>
  <si>
    <t>PRODUCT REFERENCE</t>
  </si>
  <si>
    <t>UNIT SALES ($)</t>
  </si>
  <si>
    <t>RETAIL PRICE</t>
  </si>
  <si>
    <t>TOTAL MONEY GENERATED</t>
  </si>
  <si>
    <t>WEEK 1</t>
  </si>
  <si>
    <t>WEEK 2</t>
  </si>
  <si>
    <t>WEEK 3</t>
  </si>
  <si>
    <t>WEEK 4</t>
  </si>
  <si>
    <t>WEEK 5</t>
  </si>
  <si>
    <t>PLEASE ENTER YOUR PRODUCT REFERENCE CODE</t>
  </si>
  <si>
    <t>2ND WEEK % ALLOCATION</t>
  </si>
  <si>
    <t>3RD WEEK % ALLOCATION</t>
  </si>
  <si>
    <t>4TH WEEK % ALLOCATION</t>
  </si>
  <si>
    <t xml:space="preserve">STOCK ALLOCATION </t>
  </si>
  <si>
    <t>THE IN STORE SALES TAB GIVES INFORMATION ON THE PRODUCTS SOLD , IT CONTROLS THE DATA IN THE WAREHOUSE AND STORES TABS AS IT’S THE BASIS OF INFORMATION IN THOSE TABS</t>
  </si>
  <si>
    <t>5TH WEEK % ALLOCATION</t>
  </si>
  <si>
    <t>5TH WEEK</t>
  </si>
  <si>
    <t>MONTH NUMBER</t>
  </si>
  <si>
    <t>WEEK 6</t>
  </si>
  <si>
    <t>WEEK 7</t>
  </si>
  <si>
    <t>WEEK 8</t>
  </si>
  <si>
    <t>6TH WEEK % ALLOCATION</t>
  </si>
  <si>
    <t>6TH WEEK</t>
  </si>
  <si>
    <t>7TH WEEK % ALLOCATION</t>
  </si>
  <si>
    <t>7TH WEEK</t>
  </si>
  <si>
    <t>8TH WEEK % ALLOCATION</t>
  </si>
  <si>
    <t>8TH WEEK</t>
  </si>
  <si>
    <t>TOPS</t>
  </si>
  <si>
    <t>TEES</t>
  </si>
  <si>
    <t>SHIRTS</t>
  </si>
  <si>
    <t>SWEATERS</t>
  </si>
  <si>
    <t>JACKETS</t>
  </si>
  <si>
    <t>Cozy Comfort Tee</t>
  </si>
  <si>
    <t>Graphic Statement Tee</t>
  </si>
  <si>
    <t xml:space="preserve"> A relaxed-fit tee made from super-soft cotton, perfect for everyday wear. 
</t>
  </si>
  <si>
    <t xml:space="preserve">
A bold graphic tee that expresses your unique style. </t>
  </si>
  <si>
    <t>Grey,Black,Blue</t>
  </si>
  <si>
    <t>TO-TE-CO-GR-58</t>
  </si>
  <si>
    <t>Cozy Cable-Knit Sweater</t>
  </si>
  <si>
    <t>Hooded Sweatshirt</t>
  </si>
  <si>
    <t>A warm and stylish sweater for cooler days.</t>
  </si>
  <si>
    <t>A comfortable and casual sweatshirt perfect for lounging or layering.</t>
  </si>
  <si>
    <t>Denim Jacket</t>
  </si>
  <si>
    <t>Lightweight Puffer Jacket</t>
  </si>
  <si>
    <t>: A warm and packable jacket for all your adventures.</t>
  </si>
  <si>
    <t>A timeless and versatile jacket that adds an edge to any outfit.</t>
  </si>
  <si>
    <t>Linen Blend Shirt</t>
  </si>
  <si>
    <t>Classic Button-Down Shirt</t>
  </si>
  <si>
    <t xml:space="preserve">A lightweight and breathable shirt for warmer weather. </t>
  </si>
  <si>
    <t>A timeless and versatile shirt for work or casual occasions.</t>
  </si>
  <si>
    <t>BOTTOMS</t>
  </si>
  <si>
    <t>TO-SH-CL-PI-10</t>
  </si>
  <si>
    <t>TO-SH-LI-PI-10</t>
  </si>
  <si>
    <t>TO-SW-CO-NU-10</t>
  </si>
  <si>
    <t>TO-JA-DE-NU-10</t>
  </si>
  <si>
    <t>TO-JA-LI-NU-10</t>
  </si>
  <si>
    <t>Classic Straight Leg Jeans</t>
  </si>
  <si>
    <t>Skinny Fit Jeans</t>
  </si>
  <si>
    <t>Bootcut Jeans</t>
  </si>
  <si>
    <t>High-Waisted Jeans</t>
  </si>
  <si>
    <t>JEANS</t>
  </si>
  <si>
    <t xml:space="preserve">A timeless and versatile style that flatters all body types. </t>
  </si>
  <si>
    <t>A form-fitting silhouette that hugs your curves.</t>
  </si>
  <si>
    <t xml:space="preserve"> A flattering style that flares slightly at the ankle. </t>
  </si>
  <si>
    <t>A high-rise silhouette that elongates your legs and flatters your figure.</t>
  </si>
  <si>
    <t>Khaki Chinos</t>
  </si>
  <si>
    <t>Slim-Fit Dress Pants</t>
  </si>
  <si>
    <t>Utility Cargo Pants</t>
  </si>
  <si>
    <t>Cozy Joggers</t>
  </si>
  <si>
    <t>Tech Fleece Track Pants</t>
  </si>
  <si>
    <t>PANTS</t>
  </si>
  <si>
    <t>Breathable and moisture-wicking pants for athletic activities or everyday wear.</t>
  </si>
  <si>
    <t>A comfortable and relaxed-fit style for lounging or exercising.</t>
  </si>
  <si>
    <t>A functional and stylish option with multiple pockets.</t>
  </si>
  <si>
    <t>A polished and professional style for work or special occasions.</t>
  </si>
  <si>
    <t>A versatile and comfortable option for work or casual wear.</t>
  </si>
  <si>
    <t>Distressed Denim Shorts</t>
  </si>
  <si>
    <t>Khaki Chino Shorts</t>
  </si>
  <si>
    <t>Performance Athletic Shorts</t>
  </si>
  <si>
    <t>Utility Cargo Shorts</t>
  </si>
  <si>
    <t>SHORTS</t>
  </si>
  <si>
    <t xml:space="preserve">Lightweight and breathable shorts for workouts or running. </t>
  </si>
  <si>
    <t>A versatile option for warmer weather.</t>
  </si>
  <si>
    <t xml:space="preserve">A classic and casual style with a relaxed fit. </t>
  </si>
  <si>
    <t>Functional and stylish shorts with multiple pockets.</t>
  </si>
  <si>
    <t>SLEEPWEAR</t>
  </si>
  <si>
    <t>PAJAMAS</t>
  </si>
  <si>
    <t>LOUNGEWEAR</t>
  </si>
  <si>
    <t>UNDERWEAR</t>
  </si>
  <si>
    <t>Cozy Flannel Pajama Set</t>
  </si>
  <si>
    <t>Modal Jersey PJ Set</t>
  </si>
  <si>
    <t>Striped Cotton Onesie</t>
  </si>
  <si>
    <t>Floral Lace Nightgown</t>
  </si>
  <si>
    <t>White,Grey</t>
  </si>
  <si>
    <t>A soft and warm set perfect for cooler nights.</t>
  </si>
  <si>
    <t>A lightweight and breathable set for year-round comfort.</t>
  </si>
  <si>
    <t xml:space="preserve">A comfortable and playful option for lounging or sleeping. </t>
  </si>
  <si>
    <t>A feminine and elegant nightgown for a luxurious feel.</t>
  </si>
  <si>
    <t>L,XL,XXL</t>
  </si>
  <si>
    <t>M,L,XL,XXL</t>
  </si>
  <si>
    <t>S,L,XL,XXL</t>
  </si>
  <si>
    <t>French Terry Loungewear Set</t>
  </si>
  <si>
    <t>Fleece Robe</t>
  </si>
  <si>
    <t>Memory Foam Slippers</t>
  </si>
  <si>
    <t>Black,Grey</t>
  </si>
  <si>
    <t>Black,Dark Red</t>
  </si>
  <si>
    <t>Supportive Sleep Bra</t>
  </si>
  <si>
    <t>Soft Modal Sleep Shorts</t>
  </si>
  <si>
    <t>Relaxed-Fit Sleep Shirt</t>
  </si>
  <si>
    <t>L,XL</t>
  </si>
  <si>
    <t>ACCESSORIES</t>
  </si>
  <si>
    <t>BAGS</t>
  </si>
  <si>
    <t>Spacious Tote Bag</t>
  </si>
  <si>
    <t>Functional Backpack</t>
  </si>
  <si>
    <t>Sleek Crossbody Bag</t>
  </si>
  <si>
    <t>Elegant Clutch</t>
  </si>
  <si>
    <t>Professional Briefcase</t>
  </si>
  <si>
    <t>BELTS</t>
  </si>
  <si>
    <t>Genuine Leather Belt</t>
  </si>
  <si>
    <t>Woven Canvas Belt</t>
  </si>
  <si>
    <t>Braided Leather Belt</t>
  </si>
  <si>
    <t>Slim Dress Belt</t>
  </si>
  <si>
    <t>Black,Brown</t>
  </si>
  <si>
    <t>Canvas Webbing Belt</t>
  </si>
  <si>
    <t>A versatile and adjustable belt for casual wear.</t>
  </si>
  <si>
    <t> A polished and sophisticated belt for formal occasions.</t>
  </si>
  <si>
    <t>Adds a touch of western-inspired style to your look.</t>
  </si>
  <si>
    <t>A casual and stylish belt perfect for summer outfits.</t>
  </si>
  <si>
    <t>A classic and durable belt for everyday use.</t>
  </si>
  <si>
    <t>A structured and durable bag for carrying work documents and laptops.</t>
  </si>
  <si>
    <t>A sophisticated and compact bag for formal occasions.</t>
  </si>
  <si>
    <t>Plush and comfortable slippers for ultimate relaxation.</t>
  </si>
  <si>
    <t>A warm and cozy robe perfect for mornings or evenings.</t>
  </si>
  <si>
    <t>A soft and stylish set for relaxing at home.</t>
  </si>
  <si>
    <t>Supportive Sleep Bra: Provides gentle support and comfort while sleeping.</t>
  </si>
  <si>
    <t>Breathable and lightweight shorts for a comfortable night's sleep.</t>
  </si>
  <si>
    <t>A comfortable and loose-fitting top for added comfort.</t>
  </si>
  <si>
    <t>Spacious Tote Bag: Perfect for carrying everyday essentials or larger items.</t>
  </si>
  <si>
    <t>Ideal for carrying school supplies, work essentials, or travel items.</t>
  </si>
  <si>
    <t>A stylish and convenient option for hands-free carrying.</t>
  </si>
  <si>
    <t>HATS</t>
  </si>
  <si>
    <t>Cozy Cable-Knit Beanie</t>
  </si>
  <si>
    <t>Classic Baseball Cap</t>
  </si>
  <si>
    <t>Reversible Bucket Hat</t>
  </si>
  <si>
    <t>Wide-Brim Sun Hat</t>
  </si>
  <si>
    <t>Felt Fedora</t>
  </si>
  <si>
    <t>: A sophisticated and stylish fedora for a classic look.</t>
  </si>
  <si>
    <t>: Provides shade and protection from the sun on hot days.</t>
  </si>
  <si>
    <t>: A trendy and practical bucket hat with two color options.</t>
  </si>
  <si>
    <t>: A timeless and versatile cap with an adjustable strap.</t>
  </si>
  <si>
    <t>: A warm and stylish beanie perfect for winter weather.</t>
  </si>
  <si>
    <t>Blue</t>
  </si>
  <si>
    <t>Grey,Orange</t>
  </si>
  <si>
    <t>Brown</t>
  </si>
  <si>
    <t>M</t>
  </si>
  <si>
    <t>BO-PA-SL-GR-10</t>
  </si>
  <si>
    <t>BO-PA-CO-GR-10</t>
  </si>
  <si>
    <t>BO-SH-DI-LI-30</t>
  </si>
  <si>
    <t>BO-SH-KH-LI-30</t>
  </si>
  <si>
    <t>SL-PA-CO-MU-L</t>
  </si>
  <si>
    <t>SL-PA-MO-MU-M</t>
  </si>
  <si>
    <t>SL-PA-ST-WH-L</t>
  </si>
  <si>
    <t>SL-PA-FL-MU-L</t>
  </si>
  <si>
    <t>SL-LO-FR-BL-S</t>
  </si>
  <si>
    <t>SL-LO-FL-BL-S</t>
  </si>
  <si>
    <t>SL-LO-ME-BL-1</t>
  </si>
  <si>
    <t>SL-UN-SU-MU-L</t>
  </si>
  <si>
    <t>SL-UN-SO-MU-L</t>
  </si>
  <si>
    <t>SL-UN-RE-MU-L</t>
  </si>
  <si>
    <t>AC-BA-SP-RE-M</t>
  </si>
  <si>
    <t>AC-BA-SL-RE-M</t>
  </si>
  <si>
    <t>AC-BA-EL-RE-M</t>
  </si>
  <si>
    <t>AC-BA-PR-RE-M</t>
  </si>
  <si>
    <t>AC-BE-GE-BL-35</t>
  </si>
  <si>
    <t>AC-BE-WO-BL-35</t>
  </si>
  <si>
    <t>AC-BE-BR-BL-35</t>
  </si>
  <si>
    <t>AC-BE-SL-BL-35</t>
  </si>
  <si>
    <t>AC-BE-CA-BL-35</t>
  </si>
  <si>
    <t>AC-HA-CO-BL-7</t>
  </si>
  <si>
    <t>AC-HA-CL-GR-7</t>
  </si>
  <si>
    <t>AC-HA-RE-BR-7</t>
  </si>
  <si>
    <t>AC-HA-WI-BR-7</t>
  </si>
  <si>
    <t>AC-HA-FE-BL-6</t>
  </si>
  <si>
    <t>Blue,Black,White</t>
  </si>
  <si>
    <t>Pink, Brown,Yellow</t>
  </si>
  <si>
    <t>Blue,Black,Grey</t>
  </si>
  <si>
    <t>Brown,Black</t>
  </si>
  <si>
    <t>TO-TE-GR-BL-58</t>
  </si>
  <si>
    <t>BO-JE-CL-BL-10</t>
  </si>
  <si>
    <t>BO-JE-SK-BL-10</t>
  </si>
  <si>
    <t>BO-JE-BO-BL-10</t>
  </si>
  <si>
    <t>BO-JE-HI-BL-10</t>
  </si>
  <si>
    <t>BO-PA-KH-BR-10</t>
  </si>
  <si>
    <t>light beige, Brown</t>
  </si>
  <si>
    <t>Green,Brown,Black</t>
  </si>
  <si>
    <t>Black,nude,red</t>
  </si>
  <si>
    <t>Grey</t>
  </si>
  <si>
    <t>Nude, Brown</t>
  </si>
  <si>
    <t>Nude, Purple</t>
  </si>
  <si>
    <t>TO-SW-HO-BL-10</t>
  </si>
  <si>
    <t>BO-PA-UT-BL-10</t>
  </si>
  <si>
    <t>BO-PA-TE-MU-10</t>
  </si>
  <si>
    <t>BO-SH-PE-MU-30</t>
  </si>
  <si>
    <t>BO-SH-UT-GR-30</t>
  </si>
  <si>
    <t>AC-BA-FU-BL-M</t>
  </si>
  <si>
    <t>THIS ENQUIRY TAB ENABLES THE USER TO SEARCH THE PRODUCT USING A CUSTOM GENERATED PRODUCT ID WHICH GIVES BASIC INFORMATION ON THE PRODUCT SUCH AS COST PRICE,SIZE,STOCK AVAILABLE IN THE STORE AND WAREHOUSE</t>
  </si>
  <si>
    <t>THE WHS STK MGT &amp; ALLOC. TAB SHOWS INFORMATION ON THE PRODUCTS AVAILABLE IN THE WAREHOUSE AND THEIR WEEKLY ALLOCATION(IT IS ASSUMED EACH PRODUCT MET DEMAND AND HAD AN EXCESS OF 10 UNITS AFTER THE FIRST WEEK). IT ALSO EQUIPS THE USER WITH KNOWLEDGE ON PRODUCTS WHICH ARE LOW IN QUANTITY IN THE WAREHOUSE(DENOTED BY RED TEXT)</t>
  </si>
  <si>
    <t xml:space="preserve">THE STORE MGT TAB EQUIPS THE USER WITH KNOWLEDGE OF THE GOODS AVAILABLE IN THE STORE AND ALSO WITH KNOWLEDGE OF THE ONES SOON TO BE EXHAUSTED(RED TEXT) AND THE SALES MGT. PART IS A SUMMARY OF THE WEEKLY AND MONTHLY SALES OF EACH PRODUCT THE WEEK AND THE MONTH CAN BE SPECIFIED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</si>
</sst>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2">
    <font>
      <sz val="11"/>
      <color theme="1"/>
      <name val="Calibri"/>
      <charset val="134"/>
      <scheme val="minor"/>
    </font>
    <font>
      <sz val="11"/>
      <color theme="1"/>
      <name val="Calibri"/>
      <family val="2"/>
      <scheme val="minor"/>
    </font>
    <font>
      <sz val="11"/>
      <color theme="1"/>
      <name val="Calibri"/>
      <family val="2"/>
      <scheme val="minor"/>
    </font>
    <font>
      <sz val="30"/>
      <color theme="1"/>
      <name val="Segoe UI Black"/>
      <family val="2"/>
    </font>
    <font>
      <sz val="12"/>
      <color theme="0"/>
      <name val="Calibri"/>
      <family val="2"/>
      <scheme val="minor"/>
    </font>
    <font>
      <sz val="30"/>
      <color theme="0"/>
      <name val="Segoe UI Black"/>
      <family val="2"/>
    </font>
    <font>
      <b/>
      <sz val="12"/>
      <color theme="0"/>
      <name val="Calibri"/>
      <family val="2"/>
      <scheme val="minor"/>
    </font>
    <font>
      <sz val="11"/>
      <color theme="7" tint="0.39994506668294322"/>
      <name val="Calibri"/>
      <family val="2"/>
      <scheme val="minor"/>
    </font>
    <font>
      <b/>
      <sz val="11"/>
      <color theme="7" tint="0.39994506668294322"/>
      <name val="Calibri"/>
      <family val="2"/>
      <scheme val="minor"/>
    </font>
    <font>
      <i/>
      <sz val="11"/>
      <color theme="7" tint="0.39994506668294322"/>
      <name val="Calibri"/>
      <family val="2"/>
      <scheme val="minor"/>
    </font>
    <font>
      <b/>
      <sz val="12"/>
      <color theme="1"/>
      <name val="Calibri"/>
      <family val="2"/>
      <scheme val="minor"/>
    </font>
    <font>
      <b/>
      <sz val="11"/>
      <color theme="0"/>
      <name val="Calibri"/>
      <family val="2"/>
      <scheme val="minor"/>
    </font>
    <font>
      <sz val="20"/>
      <color theme="0"/>
      <name val="Segoe UI Black"/>
      <family val="2"/>
    </font>
    <font>
      <b/>
      <sz val="15"/>
      <color theme="0"/>
      <name val="Calibri"/>
      <family val="2"/>
      <scheme val="minor"/>
    </font>
    <font>
      <sz val="11"/>
      <color theme="5" tint="-0.499984740745262"/>
      <name val="Calibri"/>
      <family val="2"/>
      <scheme val="minor"/>
    </font>
    <font>
      <b/>
      <sz val="12"/>
      <color theme="1" tint="0.14996795556505021"/>
      <name val="Arial"/>
      <family val="2"/>
    </font>
    <font>
      <sz val="11"/>
      <color theme="1"/>
      <name val="Calibri"/>
      <family val="2"/>
      <scheme val="minor"/>
    </font>
    <font>
      <sz val="8"/>
      <name val="Calibri"/>
      <family val="2"/>
      <scheme val="minor"/>
    </font>
    <font>
      <b/>
      <sz val="12"/>
      <color theme="0"/>
      <name val="Calibri"/>
      <family val="2"/>
      <scheme val="minor"/>
    </font>
    <font>
      <sz val="12"/>
      <color theme="0"/>
      <name val="Calibri"/>
      <family val="2"/>
      <scheme val="minor"/>
    </font>
    <font>
      <b/>
      <sz val="28"/>
      <color theme="0"/>
      <name val="Calibri"/>
      <family val="2"/>
      <scheme val="minor"/>
    </font>
    <font>
      <sz val="11"/>
      <color theme="7" tint="0.39997558519241921"/>
      <name val="Calibri"/>
      <family val="2"/>
      <scheme val="minor"/>
    </font>
    <font>
      <sz val="8"/>
      <name val="Calibri"/>
      <family val="2"/>
      <scheme val="minor"/>
    </font>
    <font>
      <sz val="11"/>
      <color theme="7" tint="0.39994506668294322"/>
      <name val="Calibri"/>
      <family val="2"/>
      <scheme val="minor"/>
    </font>
    <font>
      <i/>
      <sz val="11"/>
      <color theme="7" tint="0.39994506668294322"/>
      <name val="Calibri"/>
      <family val="2"/>
      <scheme val="minor"/>
    </font>
    <font>
      <b/>
      <sz val="10"/>
      <color theme="7" tint="0.39994506668294322"/>
      <name val="Calibri"/>
      <family val="2"/>
      <scheme val="minor"/>
    </font>
    <font>
      <sz val="10"/>
      <color theme="7" tint="0.39994506668294322"/>
      <name val="Calibri"/>
      <family val="2"/>
      <scheme val="minor"/>
    </font>
    <font>
      <b/>
      <sz val="16"/>
      <color theme="1"/>
      <name val="Calibri"/>
      <family val="2"/>
      <scheme val="minor"/>
    </font>
    <font>
      <sz val="10"/>
      <color theme="1"/>
      <name val="Calibri"/>
      <family val="2"/>
      <scheme val="minor"/>
    </font>
    <font>
      <b/>
      <sz val="10"/>
      <color theme="0"/>
      <name val="Calibri"/>
      <family val="2"/>
      <scheme val="minor"/>
    </font>
    <font>
      <b/>
      <sz val="11"/>
      <color theme="1"/>
      <name val="Calibri"/>
      <family val="2"/>
      <scheme val="minor"/>
    </font>
    <font>
      <b/>
      <sz val="12"/>
      <color theme="1"/>
      <name val="Calibri"/>
      <family val="2"/>
      <scheme val="minor"/>
    </font>
  </fonts>
  <fills count="10">
    <fill>
      <patternFill patternType="none"/>
    </fill>
    <fill>
      <patternFill patternType="gray125"/>
    </fill>
    <fill>
      <patternFill patternType="solid">
        <fgColor theme="0" tint="-0.499984740745262"/>
        <bgColor indexed="64"/>
      </patternFill>
    </fill>
    <fill>
      <patternFill patternType="solid">
        <fgColor theme="1" tint="0.34998626667073579"/>
        <bgColor indexed="64"/>
      </patternFill>
    </fill>
    <fill>
      <patternFill patternType="solid">
        <fgColor theme="1"/>
        <bgColor indexed="64"/>
      </patternFill>
    </fill>
    <fill>
      <patternFill patternType="solid">
        <fgColor theme="7" tint="-0.249977111117893"/>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theme="0"/>
        <bgColor indexed="64"/>
      </patternFill>
    </fill>
  </fills>
  <borders count="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s>
  <cellStyleXfs count="2">
    <xf numFmtId="0" fontId="0" fillId="0" borderId="0"/>
    <xf numFmtId="44" fontId="16" fillId="0" borderId="0" applyFont="0" applyFill="0" applyBorder="0" applyAlignment="0" applyProtection="0"/>
  </cellStyleXfs>
  <cellXfs count="132">
    <xf numFmtId="0" fontId="0" fillId="0" borderId="0" xfId="0"/>
    <xf numFmtId="0" fontId="3" fillId="2" borderId="0" xfId="0" applyFont="1" applyFill="1" applyAlignment="1">
      <alignment horizontal="left" vertical="center"/>
    </xf>
    <xf numFmtId="0" fontId="0" fillId="2" borderId="0" xfId="0" applyFill="1" applyAlignment="1">
      <alignment horizontal="left" vertical="center"/>
    </xf>
    <xf numFmtId="0" fontId="4" fillId="3" borderId="0" xfId="0" applyFont="1" applyFill="1" applyAlignment="1">
      <alignment horizontal="center" vertical="center"/>
    </xf>
    <xf numFmtId="0" fontId="0" fillId="2" borderId="1" xfId="0" applyFill="1" applyBorder="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0" fontId="6" fillId="3" borderId="0" xfId="0" applyFont="1" applyFill="1" applyAlignment="1">
      <alignment horizontal="center" vertical="center"/>
    </xf>
    <xf numFmtId="0" fontId="6" fillId="3" borderId="0" xfId="0" applyFont="1" applyFill="1" applyAlignment="1">
      <alignment horizontal="center" vertical="center" wrapText="1"/>
    </xf>
    <xf numFmtId="0" fontId="7" fillId="2" borderId="1" xfId="0" applyFont="1" applyFill="1" applyBorder="1" applyAlignment="1">
      <alignment horizontal="center" vertical="center"/>
    </xf>
    <xf numFmtId="14" fontId="7" fillId="2"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6" fillId="3" borderId="0" xfId="0" applyFont="1" applyFill="1"/>
    <xf numFmtId="0" fontId="0" fillId="3" borderId="0" xfId="0" applyFill="1"/>
    <xf numFmtId="0" fontId="0" fillId="2" borderId="0" xfId="0" applyFill="1"/>
    <xf numFmtId="0" fontId="0" fillId="2" borderId="0" xfId="0" applyFill="1" applyAlignment="1">
      <alignment wrapText="1"/>
    </xf>
    <xf numFmtId="0" fontId="6" fillId="3" borderId="0" xfId="0" applyFont="1" applyFill="1" applyAlignment="1">
      <alignment wrapText="1"/>
    </xf>
    <xf numFmtId="0" fontId="6" fillId="3" borderId="0" xfId="0" applyFont="1" applyFill="1" applyAlignment="1">
      <alignment vertical="center"/>
    </xf>
    <xf numFmtId="0" fontId="7" fillId="2" borderId="0" xfId="0" applyFont="1" applyFill="1"/>
    <xf numFmtId="0" fontId="10" fillId="2" borderId="0" xfId="0" applyFont="1" applyFill="1" applyAlignment="1">
      <alignment horizontal="left"/>
    </xf>
    <xf numFmtId="0" fontId="7" fillId="2" borderId="0" xfId="0" applyFont="1" applyFill="1" applyAlignment="1">
      <alignment horizontal="left"/>
    </xf>
    <xf numFmtId="0" fontId="10" fillId="2" borderId="0" xfId="0" applyFont="1" applyFill="1" applyAlignment="1">
      <alignment horizontal="left" vertical="center"/>
    </xf>
    <xf numFmtId="0" fontId="6" fillId="3" borderId="0" xfId="0" applyFont="1" applyFill="1" applyAlignment="1">
      <alignment horizontal="left" vertical="center"/>
    </xf>
    <xf numFmtId="0" fontId="8" fillId="2" borderId="1" xfId="0" applyFont="1" applyFill="1" applyBorder="1" applyAlignment="1">
      <alignment vertical="center" wrapText="1"/>
    </xf>
    <xf numFmtId="0" fontId="7" fillId="2" borderId="1" xfId="0" applyFont="1" applyFill="1" applyBorder="1" applyAlignment="1">
      <alignment vertical="center" wrapText="1"/>
    </xf>
    <xf numFmtId="0" fontId="9" fillId="2" borderId="1" xfId="0" applyFont="1" applyFill="1" applyBorder="1" applyAlignment="1">
      <alignment vertical="center" wrapText="1"/>
    </xf>
    <xf numFmtId="0" fontId="7" fillId="2" borderId="1" xfId="0" applyFont="1" applyFill="1" applyBorder="1"/>
    <xf numFmtId="0" fontId="7" fillId="2" borderId="1" xfId="0" applyFont="1" applyFill="1" applyBorder="1" applyAlignment="1">
      <alignment horizontal="left" vertical="center" wrapText="1"/>
    </xf>
    <xf numFmtId="0" fontId="7" fillId="2" borderId="2" xfId="0" applyFont="1" applyFill="1" applyBorder="1"/>
    <xf numFmtId="37" fontId="7" fillId="2" borderId="1" xfId="1" applyNumberFormat="1" applyFont="1" applyFill="1" applyBorder="1" applyAlignment="1">
      <alignment vertical="center" wrapText="1"/>
    </xf>
    <xf numFmtId="37" fontId="0" fillId="2" borderId="0" xfId="1" applyNumberFormat="1" applyFont="1" applyFill="1" applyBorder="1" applyAlignment="1">
      <alignment horizontal="center" vertical="center"/>
    </xf>
    <xf numFmtId="0" fontId="0" fillId="2" borderId="1" xfId="0" applyFill="1" applyBorder="1"/>
    <xf numFmtId="37" fontId="0" fillId="2" borderId="1" xfId="1" applyNumberFormat="1" applyFont="1" applyFill="1" applyBorder="1" applyAlignment="1">
      <alignment horizontal="center" vertical="center"/>
    </xf>
    <xf numFmtId="0" fontId="0" fillId="2" borderId="1" xfId="0" applyFill="1" applyBorder="1" applyAlignment="1">
      <alignment wrapText="1"/>
    </xf>
    <xf numFmtId="0" fontId="0" fillId="2" borderId="1" xfId="0" applyFill="1" applyBorder="1" applyAlignment="1">
      <alignment horizontal="left" vertical="center"/>
    </xf>
    <xf numFmtId="0" fontId="13" fillId="5" borderId="1" xfId="0" applyFont="1" applyFill="1" applyBorder="1" applyAlignment="1">
      <alignment vertical="center"/>
    </xf>
    <xf numFmtId="0" fontId="4" fillId="3" borderId="0" xfId="0" applyFont="1" applyFill="1"/>
    <xf numFmtId="0" fontId="7" fillId="3" borderId="0" xfId="0" applyFont="1" applyFill="1"/>
    <xf numFmtId="0" fontId="7" fillId="2" borderId="1" xfId="0" applyFont="1" applyFill="1" applyBorder="1" applyAlignment="1">
      <alignment horizontal="left" vertical="center"/>
    </xf>
    <xf numFmtId="0" fontId="8"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2" borderId="0" xfId="0" applyFont="1" applyFill="1"/>
    <xf numFmtId="0" fontId="0" fillId="2" borderId="0" xfId="0" applyFill="1" applyAlignment="1">
      <alignment horizontal="left"/>
    </xf>
    <xf numFmtId="0" fontId="10" fillId="2" borderId="1" xfId="0" applyFont="1" applyFill="1" applyBorder="1" applyAlignment="1">
      <alignment horizontal="left" vertical="center"/>
    </xf>
    <xf numFmtId="0" fontId="7" fillId="4"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5" fillId="2" borderId="1" xfId="0" applyFont="1" applyFill="1" applyBorder="1" applyAlignment="1">
      <alignment horizontal="left" vertical="center"/>
    </xf>
    <xf numFmtId="0" fontId="14" fillId="2" borderId="0" xfId="0" applyFont="1" applyFill="1" applyAlignment="1">
      <alignment wrapText="1"/>
    </xf>
    <xf numFmtId="0" fontId="6" fillId="7" borderId="1" xfId="0" applyFont="1" applyFill="1" applyBorder="1"/>
    <xf numFmtId="0" fontId="0" fillId="2" borderId="1" xfId="0" applyFill="1" applyBorder="1" applyAlignment="1">
      <alignment vertical="center" wrapText="1"/>
    </xf>
    <xf numFmtId="0" fontId="10" fillId="2" borderId="1" xfId="0" applyFont="1" applyFill="1" applyBorder="1" applyAlignment="1">
      <alignment horizontal="left"/>
    </xf>
    <xf numFmtId="0" fontId="0" fillId="2" borderId="0" xfId="0" applyFill="1" applyAlignment="1">
      <alignment horizontal="left" wrapText="1"/>
    </xf>
    <xf numFmtId="0" fontId="7" fillId="4" borderId="2" xfId="0" applyFont="1" applyFill="1" applyBorder="1" applyAlignment="1">
      <alignment horizontal="left"/>
    </xf>
    <xf numFmtId="0" fontId="6" fillId="7" borderId="1" xfId="0" applyFont="1" applyFill="1" applyBorder="1" applyAlignment="1">
      <alignment wrapText="1"/>
    </xf>
    <xf numFmtId="0" fontId="10" fillId="2" borderId="1" xfId="0" applyFont="1" applyFill="1" applyBorder="1"/>
    <xf numFmtId="0" fontId="7" fillId="4" borderId="1" xfId="0" applyFont="1" applyFill="1" applyBorder="1" applyAlignment="1">
      <alignment horizontal="left"/>
    </xf>
    <xf numFmtId="0" fontId="6" fillId="2" borderId="1" xfId="0" applyFont="1" applyFill="1" applyBorder="1"/>
    <xf numFmtId="0" fontId="11" fillId="7" borderId="1" xfId="0" applyFont="1" applyFill="1" applyBorder="1"/>
    <xf numFmtId="0" fontId="0" fillId="2" borderId="0" xfId="0" applyFill="1" applyAlignment="1">
      <alignment vertical="center"/>
    </xf>
    <xf numFmtId="0" fontId="7" fillId="2" borderId="1" xfId="0" applyFont="1" applyFill="1" applyBorder="1" applyAlignment="1">
      <alignment vertical="center"/>
    </xf>
    <xf numFmtId="0" fontId="7" fillId="2" borderId="0" xfId="0" applyFont="1" applyFill="1" applyAlignment="1">
      <alignment vertical="center"/>
    </xf>
    <xf numFmtId="0" fontId="18" fillId="3" borderId="0" xfId="0" applyFont="1" applyFill="1"/>
    <xf numFmtId="0" fontId="21" fillId="2" borderId="1" xfId="0" applyFont="1" applyFill="1" applyBorder="1"/>
    <xf numFmtId="0" fontId="7" fillId="2" borderId="0" xfId="0" applyFont="1" applyFill="1" applyAlignment="1">
      <alignment horizontal="left" vertical="center"/>
    </xf>
    <xf numFmtId="0" fontId="11" fillId="3" borderId="0" xfId="0" applyFont="1" applyFill="1" applyAlignment="1">
      <alignment horizontal="left" vertical="center"/>
    </xf>
    <xf numFmtId="0" fontId="7" fillId="4" borderId="1" xfId="0" applyFont="1" applyFill="1" applyBorder="1" applyAlignment="1">
      <alignment horizontal="center" vertical="center" wrapText="1"/>
    </xf>
    <xf numFmtId="0" fontId="0" fillId="8" borderId="0" xfId="0" applyFill="1"/>
    <xf numFmtId="0" fontId="19" fillId="3" borderId="0" xfId="0" applyFont="1" applyFill="1" applyAlignment="1">
      <alignment vertical="center"/>
    </xf>
    <xf numFmtId="0" fontId="23" fillId="4" borderId="1" xfId="0" applyFont="1" applyFill="1" applyBorder="1" applyAlignment="1">
      <alignment horizontal="center" vertical="center"/>
    </xf>
    <xf numFmtId="0" fontId="12" fillId="2" borderId="1" xfId="0" applyFont="1" applyFill="1" applyBorder="1" applyAlignment="1">
      <alignment vertical="center"/>
    </xf>
    <xf numFmtId="0" fontId="13" fillId="6" borderId="1" xfId="0" applyFont="1" applyFill="1" applyBorder="1" applyAlignment="1">
      <alignment vertical="center"/>
    </xf>
    <xf numFmtId="0" fontId="0" fillId="6" borderId="1" xfId="0" applyFill="1" applyBorder="1" applyAlignment="1">
      <alignment vertical="center"/>
    </xf>
    <xf numFmtId="0" fontId="6" fillId="3" borderId="0" xfId="0" applyFont="1" applyFill="1" applyAlignment="1">
      <alignment vertical="center" wrapText="1"/>
    </xf>
    <xf numFmtId="0" fontId="0" fillId="2" borderId="0" xfId="0" applyFill="1" applyAlignment="1">
      <alignment vertical="center" wrapText="1"/>
    </xf>
    <xf numFmtId="0" fontId="11" fillId="3" borderId="0" xfId="0" applyFont="1" applyFill="1" applyAlignment="1">
      <alignment vertical="center"/>
    </xf>
    <xf numFmtId="0" fontId="0" fillId="3" borderId="0" xfId="0" applyFill="1" applyAlignment="1">
      <alignment vertical="center"/>
    </xf>
    <xf numFmtId="0" fontId="0" fillId="2" borderId="1" xfId="0" applyFill="1" applyBorder="1" applyAlignment="1">
      <alignment vertical="center"/>
    </xf>
    <xf numFmtId="0" fontId="23" fillId="2" borderId="1" xfId="0" applyFont="1" applyFill="1" applyBorder="1" applyAlignment="1">
      <alignment vertical="center" wrapText="1"/>
    </xf>
    <xf numFmtId="0" fontId="23"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2" fillId="2" borderId="0" xfId="0" applyFont="1" applyFill="1" applyAlignment="1">
      <alignment vertical="center"/>
    </xf>
    <xf numFmtId="0" fontId="24" fillId="2" borderId="1" xfId="0" applyFont="1" applyFill="1" applyBorder="1" applyAlignment="1">
      <alignment vertical="center" wrapText="1"/>
    </xf>
    <xf numFmtId="0" fontId="25" fillId="2" borderId="1" xfId="0" applyFont="1" applyFill="1" applyBorder="1" applyAlignment="1">
      <alignment vertical="center" wrapText="1"/>
    </xf>
    <xf numFmtId="0" fontId="26" fillId="2" borderId="1" xfId="0" applyFont="1" applyFill="1" applyBorder="1" applyAlignment="1">
      <alignment vertical="center" wrapText="1"/>
    </xf>
    <xf numFmtId="0" fontId="7" fillId="2" borderId="5" xfId="0" applyFont="1" applyFill="1" applyBorder="1"/>
    <xf numFmtId="37" fontId="23" fillId="2" borderId="1" xfId="1" applyNumberFormat="1" applyFont="1" applyFill="1" applyBorder="1" applyAlignment="1">
      <alignment vertical="center" wrapText="1"/>
    </xf>
    <xf numFmtId="0" fontId="21" fillId="2" borderId="1" xfId="0" applyFont="1" applyFill="1" applyBorder="1" applyAlignment="1">
      <alignment wrapText="1"/>
    </xf>
    <xf numFmtId="0" fontId="7" fillId="2" borderId="4" xfId="0" applyFont="1" applyFill="1" applyBorder="1"/>
    <xf numFmtId="0" fontId="0" fillId="2" borderId="5" xfId="0" applyFill="1" applyBorder="1"/>
    <xf numFmtId="0" fontId="0" fillId="2" borderId="0" xfId="0" applyFill="1" applyAlignment="1">
      <alignment horizontal="center"/>
    </xf>
    <xf numFmtId="0" fontId="6" fillId="3" borderId="0" xfId="0" applyFont="1" applyFill="1" applyAlignment="1">
      <alignment horizontal="center"/>
    </xf>
    <xf numFmtId="0" fontId="7" fillId="2" borderId="0" xfId="0" applyFont="1" applyFill="1" applyAlignment="1">
      <alignment horizontal="center"/>
    </xf>
    <xf numFmtId="0" fontId="7" fillId="2" borderId="1" xfId="0" applyFont="1" applyFill="1" applyBorder="1" applyAlignment="1">
      <alignment horizontal="center"/>
    </xf>
    <xf numFmtId="0" fontId="21" fillId="2" borderId="1" xfId="0" applyFont="1" applyFill="1" applyBorder="1" applyAlignment="1">
      <alignment horizontal="center"/>
    </xf>
    <xf numFmtId="0" fontId="0" fillId="2" borderId="1" xfId="0" applyFill="1" applyBorder="1" applyAlignment="1">
      <alignment horizontal="center"/>
    </xf>
    <xf numFmtId="0" fontId="6" fillId="7" borderId="1" xfId="0" applyFont="1" applyFill="1" applyBorder="1" applyAlignment="1">
      <alignment horizontal="center"/>
    </xf>
    <xf numFmtId="0" fontId="23" fillId="2" borderId="1" xfId="0" applyFont="1" applyFill="1" applyBorder="1" applyAlignment="1">
      <alignment horizontal="center" vertical="center" wrapText="1"/>
    </xf>
    <xf numFmtId="0" fontId="23" fillId="2" borderId="1" xfId="0" applyFont="1" applyFill="1" applyBorder="1" applyAlignment="1">
      <alignment horizontal="left" vertical="center" wrapText="1"/>
    </xf>
    <xf numFmtId="0" fontId="21" fillId="2" borderId="1" xfId="0" applyFont="1" applyFill="1" applyBorder="1" applyAlignment="1">
      <alignment vertical="center"/>
    </xf>
    <xf numFmtId="0" fontId="23" fillId="2" borderId="0" xfId="0" applyFont="1" applyFill="1" applyAlignment="1">
      <alignment horizontal="left" vertical="center" wrapText="1"/>
    </xf>
    <xf numFmtId="0" fontId="7" fillId="2" borderId="0" xfId="0" applyFont="1" applyFill="1" applyAlignment="1">
      <alignment horizontal="left" vertical="center" wrapText="1"/>
    </xf>
    <xf numFmtId="0" fontId="9" fillId="2" borderId="0" xfId="0" applyFont="1" applyFill="1" applyAlignment="1">
      <alignment horizontal="left" vertical="center" wrapText="1"/>
    </xf>
    <xf numFmtId="0" fontId="21" fillId="2" borderId="0" xfId="0" applyFont="1" applyFill="1" applyAlignment="1">
      <alignment vertical="center"/>
    </xf>
    <xf numFmtId="0" fontId="7" fillId="2" borderId="0" xfId="0" applyFont="1" applyFill="1" applyAlignment="1">
      <alignment vertical="center" wrapText="1"/>
    </xf>
    <xf numFmtId="0" fontId="8" fillId="2" borderId="0" xfId="0" applyFont="1" applyFill="1" applyAlignment="1">
      <alignment vertical="center" wrapText="1"/>
    </xf>
    <xf numFmtId="37" fontId="7" fillId="2" borderId="0" xfId="1" applyNumberFormat="1" applyFont="1" applyFill="1" applyBorder="1" applyAlignment="1">
      <alignment vertical="center" wrapText="1"/>
    </xf>
    <xf numFmtId="0" fontId="9" fillId="2" borderId="0" xfId="0" applyFont="1" applyFill="1" applyAlignment="1">
      <alignment vertical="center" wrapText="1"/>
    </xf>
    <xf numFmtId="0" fontId="21" fillId="2" borderId="0" xfId="0" applyFont="1" applyFill="1" applyAlignment="1">
      <alignment horizontal="center"/>
    </xf>
    <xf numFmtId="0" fontId="8" fillId="2" borderId="0" xfId="0" applyFont="1" applyFill="1" applyAlignment="1">
      <alignment horizontal="left" vertical="center" wrapText="1"/>
    </xf>
    <xf numFmtId="0" fontId="7" fillId="2" borderId="0" xfId="0" applyFont="1" applyFill="1" applyAlignment="1">
      <alignment horizontal="center" vertical="center"/>
    </xf>
    <xf numFmtId="0" fontId="23" fillId="2" borderId="0" xfId="0" applyFont="1" applyFill="1" applyAlignment="1">
      <alignment vertical="center" wrapText="1"/>
    </xf>
    <xf numFmtId="0" fontId="0" fillId="4" borderId="0" xfId="0" applyFill="1" applyAlignment="1">
      <alignment horizontal="center" vertical="center"/>
    </xf>
    <xf numFmtId="0" fontId="27" fillId="2" borderId="1" xfId="0" applyFont="1" applyFill="1" applyBorder="1" applyAlignment="1">
      <alignment horizontal="left" vertical="center" wrapText="1"/>
    </xf>
    <xf numFmtId="0" fontId="28" fillId="2" borderId="0" xfId="0" applyFont="1" applyFill="1" applyAlignment="1">
      <alignment horizontal="center" wrapText="1"/>
    </xf>
    <xf numFmtId="0" fontId="29" fillId="7" borderId="1" xfId="0" applyFont="1" applyFill="1" applyBorder="1" applyAlignment="1">
      <alignment horizontal="center" wrapText="1"/>
    </xf>
    <xf numFmtId="0" fontId="26" fillId="2" borderId="1" xfId="0" applyFont="1" applyFill="1" applyBorder="1" applyAlignment="1">
      <alignment horizontal="center" vertical="center" wrapText="1"/>
    </xf>
    <xf numFmtId="0" fontId="28" fillId="2" borderId="1" xfId="0" applyFont="1" applyFill="1" applyBorder="1" applyAlignment="1">
      <alignment horizontal="center" wrapText="1"/>
    </xf>
    <xf numFmtId="0" fontId="28" fillId="2" borderId="1" xfId="0" applyFont="1" applyFill="1" applyBorder="1" applyAlignment="1">
      <alignment horizontal="center" vertical="center" wrapText="1"/>
    </xf>
    <xf numFmtId="0" fontId="1" fillId="9" borderId="0" xfId="0" applyFont="1" applyFill="1"/>
    <xf numFmtId="0" fontId="30" fillId="8" borderId="0" xfId="0" applyFont="1" applyFill="1" applyAlignment="1">
      <alignment wrapText="1"/>
    </xf>
    <xf numFmtId="0" fontId="3" fillId="2" borderId="0" xfId="0" applyFont="1" applyFill="1" applyAlignment="1">
      <alignment horizontal="left"/>
    </xf>
    <xf numFmtId="0" fontId="0" fillId="2" borderId="0" xfId="0" applyFill="1" applyAlignment="1">
      <alignment horizontal="left"/>
    </xf>
    <xf numFmtId="0" fontId="5" fillId="2" borderId="0" xfId="0" applyFont="1" applyFill="1" applyAlignment="1">
      <alignment horizontal="left"/>
    </xf>
    <xf numFmtId="0" fontId="20" fillId="3" borderId="0" xfId="0" applyFont="1" applyFill="1" applyAlignment="1">
      <alignment horizontal="center" vertical="center"/>
    </xf>
    <xf numFmtId="0" fontId="5" fillId="2" borderId="0" xfId="0" applyFont="1" applyFill="1" applyAlignment="1">
      <alignment horizontal="lef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0" fontId="3" fillId="2" borderId="3" xfId="0" applyFont="1" applyFill="1" applyBorder="1" applyAlignment="1">
      <alignment horizontal="center" vertical="center"/>
    </xf>
    <xf numFmtId="0" fontId="30" fillId="8" borderId="0" xfId="0" applyFont="1" applyFill="1" applyAlignment="1">
      <alignment horizontal="center" wrapText="1"/>
    </xf>
    <xf numFmtId="0" fontId="31" fillId="8" borderId="0" xfId="0" applyFont="1" applyFill="1" applyAlignment="1">
      <alignment horizontal="center" wrapText="1"/>
    </xf>
    <xf numFmtId="0" fontId="0" fillId="8" borderId="0" xfId="0" applyFill="1" applyAlignment="1">
      <alignment horizontal="center" wrapText="1"/>
    </xf>
  </cellXfs>
  <cellStyles count="2">
    <cellStyle name="Currency" xfId="1" builtinId="4"/>
    <cellStyle name="Normal" xfId="0" builtinId="0"/>
  </cellStyles>
  <dxfs count="3">
    <dxf>
      <font>
        <color rgb="FF9C0006"/>
      </font>
    </dxf>
    <dxf>
      <fill>
        <patternFill>
          <bgColor rgb="FFFFC7CE"/>
        </patternFill>
      </fill>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24</xdr:row>
      <xdr:rowOff>186641</xdr:rowOff>
    </xdr:from>
    <xdr:to>
      <xdr:col>13</xdr:col>
      <xdr:colOff>219076</xdr:colOff>
      <xdr:row>47</xdr:row>
      <xdr:rowOff>174982</xdr:rowOff>
    </xdr:to>
    <xdr:pic>
      <xdr:nvPicPr>
        <xdr:cNvPr id="3" name="Picture 2" descr="A screenshot of a computer&#10;&#10;Description automatically generated">
          <a:extLst>
            <a:ext uri="{FF2B5EF4-FFF2-40B4-BE49-F238E27FC236}">
              <a16:creationId xmlns:a16="http://schemas.microsoft.com/office/drawing/2014/main" id="{EF558BC1-A80B-3658-00FD-43CF7094DE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4997369"/>
          <a:ext cx="7808451" cy="4425303"/>
        </a:xfrm>
        <a:prstGeom prst="rect">
          <a:avLst/>
        </a:prstGeom>
      </xdr:spPr>
    </xdr:pic>
    <xdr:clientData/>
  </xdr:twoCellAnchor>
  <xdr:twoCellAnchor editAs="oneCell">
    <xdr:from>
      <xdr:col>0</xdr:col>
      <xdr:colOff>277309</xdr:colOff>
      <xdr:row>0</xdr:row>
      <xdr:rowOff>156740</xdr:rowOff>
    </xdr:from>
    <xdr:to>
      <xdr:col>13</xdr:col>
      <xdr:colOff>212684</xdr:colOff>
      <xdr:row>22</xdr:row>
      <xdr:rowOff>37864</xdr:rowOff>
    </xdr:to>
    <xdr:pic>
      <xdr:nvPicPr>
        <xdr:cNvPr id="4" name="Picture 3">
          <a:extLst>
            <a:ext uri="{FF2B5EF4-FFF2-40B4-BE49-F238E27FC236}">
              <a16:creationId xmlns:a16="http://schemas.microsoft.com/office/drawing/2014/main" id="{DA91B609-20F9-8ECC-9DE7-BF43F31BCB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309" y="156740"/>
          <a:ext cx="7772400" cy="4125175"/>
        </a:xfrm>
        <a:prstGeom prst="rect">
          <a:avLst/>
        </a:prstGeom>
      </xdr:spPr>
    </xdr:pic>
    <xdr:clientData/>
  </xdr:twoCellAnchor>
  <xdr:twoCellAnchor editAs="oneCell">
    <xdr:from>
      <xdr:col>0</xdr:col>
      <xdr:colOff>229082</xdr:colOff>
      <xdr:row>50</xdr:row>
      <xdr:rowOff>96454</xdr:rowOff>
    </xdr:from>
    <xdr:to>
      <xdr:col>13</xdr:col>
      <xdr:colOff>321622</xdr:colOff>
      <xdr:row>72</xdr:row>
      <xdr:rowOff>41572</xdr:rowOff>
    </xdr:to>
    <xdr:pic>
      <xdr:nvPicPr>
        <xdr:cNvPr id="6" name="Picture 5">
          <a:extLst>
            <a:ext uri="{FF2B5EF4-FFF2-40B4-BE49-F238E27FC236}">
              <a16:creationId xmlns:a16="http://schemas.microsoft.com/office/drawing/2014/main" id="{DA79D471-0655-0ED5-51A5-D6D1DAF4E4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082" y="9881227"/>
          <a:ext cx="7972313" cy="4027261"/>
        </a:xfrm>
        <a:prstGeom prst="rect">
          <a:avLst/>
        </a:prstGeom>
      </xdr:spPr>
    </xdr:pic>
    <xdr:clientData/>
  </xdr:twoCellAnchor>
  <xdr:twoCellAnchor editAs="oneCell">
    <xdr:from>
      <xdr:col>0</xdr:col>
      <xdr:colOff>111331</xdr:colOff>
      <xdr:row>76</xdr:row>
      <xdr:rowOff>49482</xdr:rowOff>
    </xdr:from>
    <xdr:to>
      <xdr:col>13</xdr:col>
      <xdr:colOff>3958</xdr:colOff>
      <xdr:row>98</xdr:row>
      <xdr:rowOff>64065</xdr:rowOff>
    </xdr:to>
    <xdr:pic>
      <xdr:nvPicPr>
        <xdr:cNvPr id="9" name="Picture 8">
          <a:extLst>
            <a:ext uri="{FF2B5EF4-FFF2-40B4-BE49-F238E27FC236}">
              <a16:creationId xmlns:a16="http://schemas.microsoft.com/office/drawing/2014/main" id="{4D6F1F30-8087-A329-4D0B-85E7C15224B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1331" y="14955488"/>
          <a:ext cx="7772400" cy="4096726"/>
        </a:xfrm>
        <a:prstGeom prst="rect">
          <a:avLst/>
        </a:prstGeom>
      </xdr:spPr>
    </xdr:pic>
    <xdr:clientData/>
  </xdr:twoCellAnchor>
  <xdr:twoCellAnchor editAs="oneCell">
    <xdr:from>
      <xdr:col>0</xdr:col>
      <xdr:colOff>0</xdr:colOff>
      <xdr:row>101</xdr:row>
      <xdr:rowOff>0</xdr:rowOff>
    </xdr:from>
    <xdr:to>
      <xdr:col>10</xdr:col>
      <xdr:colOff>417734</xdr:colOff>
      <xdr:row>120</xdr:row>
      <xdr:rowOff>12370</xdr:rowOff>
    </xdr:to>
    <xdr:pic>
      <xdr:nvPicPr>
        <xdr:cNvPr id="12" name="Picture 11">
          <a:extLst>
            <a:ext uri="{FF2B5EF4-FFF2-40B4-BE49-F238E27FC236}">
              <a16:creationId xmlns:a16="http://schemas.microsoft.com/office/drawing/2014/main" id="{7454278A-3105-83F4-0005-1C2C1C4CDC0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9792208"/>
          <a:ext cx="6479098" cy="3537857"/>
        </a:xfrm>
        <a:prstGeom prst="rect">
          <a:avLst/>
        </a:prstGeom>
      </xdr:spPr>
    </xdr:pic>
    <xdr:clientData/>
  </xdr:twoCellAnchor>
  <xdr:twoCellAnchor editAs="oneCell">
    <xdr:from>
      <xdr:col>10</xdr:col>
      <xdr:colOff>482435</xdr:colOff>
      <xdr:row>100</xdr:row>
      <xdr:rowOff>155397</xdr:rowOff>
    </xdr:from>
    <xdr:to>
      <xdr:col>27</xdr:col>
      <xdr:colOff>408215</xdr:colOff>
      <xdr:row>120</xdr:row>
      <xdr:rowOff>0</xdr:rowOff>
    </xdr:to>
    <xdr:pic>
      <xdr:nvPicPr>
        <xdr:cNvPr id="16" name="Picture 15">
          <a:extLst>
            <a:ext uri="{FF2B5EF4-FFF2-40B4-BE49-F238E27FC236}">
              <a16:creationId xmlns:a16="http://schemas.microsoft.com/office/drawing/2014/main" id="{6DB8C447-CFE8-EEBA-6238-77239B816DD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43799" y="19762053"/>
          <a:ext cx="7149935" cy="35556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zoomScale="85" workbookViewId="0">
      <selection activeCell="C14" sqref="C14"/>
    </sheetView>
  </sheetViews>
  <sheetFormatPr defaultColWidth="8.85546875" defaultRowHeight="15"/>
  <cols>
    <col min="1" max="1" width="45.7109375" style="15" customWidth="1"/>
    <col min="2" max="2" width="48.140625" style="15" customWidth="1"/>
    <col min="3" max="3" width="44.42578125" style="16" customWidth="1"/>
    <col min="4" max="16384" width="8.85546875" style="15"/>
  </cols>
  <sheetData>
    <row r="1" spans="1:3" s="122" customFormat="1">
      <c r="A1" s="121" t="s">
        <v>22</v>
      </c>
    </row>
    <row r="2" spans="1:3" s="122" customFormat="1"/>
    <row r="3" spans="1:3" s="122" customFormat="1"/>
    <row r="5" spans="1:3" ht="20.25" customHeight="1">
      <c r="B5" s="44"/>
      <c r="C5" s="113"/>
    </row>
    <row r="6" spans="1:3" ht="28.9" customHeight="1">
      <c r="B6" s="44" t="s">
        <v>71</v>
      </c>
      <c r="C6" s="45" t="s">
        <v>116</v>
      </c>
    </row>
    <row r="7" spans="1:3">
      <c r="B7" s="35"/>
      <c r="C7" s="46"/>
    </row>
    <row r="8" spans="1:3" ht="15.75">
      <c r="B8" s="47" t="s">
        <v>23</v>
      </c>
      <c r="C8" s="28" t="str">
        <f>IFERROR(VLOOKUP(C6,'REFERENCING &amp; DATABASE'!$D$2:$K$131,2,FALSE),"Reference code does not exist")</f>
        <v>Denim Jacket</v>
      </c>
    </row>
    <row r="9" spans="1:3" ht="120" customHeight="1">
      <c r="B9" s="47" t="s">
        <v>24</v>
      </c>
      <c r="C9" s="28" t="str">
        <f>IFERROR(VLOOKUP(C6,'REFERENCING &amp; DATABASE'!$D$2:$K$131,3,FALSE),"Reference code does not exist")</f>
        <v>A timeless and versatile jacket that adds an edge to any outfit.</v>
      </c>
    </row>
    <row r="10" spans="1:3" ht="15.75">
      <c r="B10" s="47" t="s">
        <v>25</v>
      </c>
      <c r="C10" s="28" t="str">
        <f>IFERROR(VLOOKUP(C6,'REFERENCING &amp; DATABASE'!$D$2:$K$131,4,FALSE),"Reference code does not exist")</f>
        <v>Nude, Purple</v>
      </c>
    </row>
    <row r="11" spans="1:3" ht="15.75">
      <c r="B11" s="47" t="s">
        <v>26</v>
      </c>
      <c r="C11" s="28">
        <f>IFERROR(VLOOKUP(C6,'REFERENCING &amp; DATABASE'!$D$2:$K$131,5,FALSE),"Reference code does not exist")</f>
        <v>10</v>
      </c>
    </row>
    <row r="12" spans="1:3" ht="15.75">
      <c r="B12" s="47" t="s">
        <v>27</v>
      </c>
      <c r="C12" s="28">
        <f>IFERROR(VLOOKUP(C6,'REFERENCING &amp; DATABASE'!$D$2:$K$131,6,FALSE),"Reference code does not exist")</f>
        <v>45</v>
      </c>
    </row>
    <row r="13" spans="1:3" ht="15.75">
      <c r="B13" s="47" t="s">
        <v>28</v>
      </c>
      <c r="C13" s="28">
        <f>IFERROR(VLOOKUP($C$6,'STORE STK &amp; SALES MGT'!$A2:$V514,9,FALSE)-VLOOKUP($C$6,'STORE STK &amp; SALES MGT'!$A2:$V514,10,FALSE),"Reference code does not exist")</f>
        <v>10</v>
      </c>
    </row>
    <row r="14" spans="1:3" ht="15.75">
      <c r="B14" s="47" t="s">
        <v>29</v>
      </c>
      <c r="C14" s="28">
        <f>IFERROR(VLOOKUP(C6,'WHS STK MGT &amp; ALLOC.'!$A$2:$K$105,9,FALSE),"Reference code does not exist")</f>
        <v>90</v>
      </c>
    </row>
    <row r="15" spans="1:3">
      <c r="C15" s="48"/>
    </row>
  </sheetData>
  <mergeCells count="1">
    <mergeCell ref="A1:XFD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729ABD9-015D-4734-BE75-130A23412D5D}">
          <x14:formula1>
            <xm:f>'REFERENCING &amp; DATABASE'!$D:$D</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43"/>
  <sheetViews>
    <sheetView zoomScale="59" workbookViewId="0">
      <selection activeCell="J7" sqref="J7"/>
    </sheetView>
  </sheetViews>
  <sheetFormatPr defaultColWidth="25.140625" defaultRowHeight="15"/>
  <cols>
    <col min="1" max="1" width="25.140625" style="15" customWidth="1"/>
    <col min="2" max="2" width="24.28515625" style="15" customWidth="1"/>
    <col min="3" max="3" width="17.140625" style="15" customWidth="1"/>
    <col min="4" max="4" width="18.5703125" style="15" customWidth="1"/>
    <col min="5" max="5" width="23.42578125" style="15" customWidth="1"/>
    <col min="6" max="6" width="36.85546875" style="16" customWidth="1"/>
    <col min="7" max="7" width="13.28515625" style="114" customWidth="1"/>
    <col min="8" max="8" width="11" style="90" customWidth="1"/>
    <col min="9" max="9" width="15.7109375" style="15" customWidth="1"/>
    <col min="10" max="10" width="14.7109375" style="15" customWidth="1"/>
    <col min="11" max="11" width="16.28515625" style="15" customWidth="1"/>
    <col min="12" max="12" width="25.140625" style="15"/>
    <col min="13" max="13" width="25.140625" style="15" customWidth="1"/>
    <col min="14" max="16384" width="25.140625" style="15"/>
  </cols>
  <sheetData>
    <row r="1" spans="1:73" s="123" customFormat="1" ht="14.45" customHeight="1">
      <c r="A1" s="123" t="s">
        <v>0</v>
      </c>
    </row>
    <row r="2" spans="1:73" s="123" customFormat="1" ht="14.45" customHeight="1"/>
    <row r="3" spans="1:73" s="123" customFormat="1" ht="15" customHeight="1"/>
    <row r="4" spans="1:73" s="43" customFormat="1" ht="15.75">
      <c r="A4" s="20"/>
      <c r="B4" s="51" t="s">
        <v>1</v>
      </c>
      <c r="F4" s="52"/>
      <c r="G4" s="114"/>
      <c r="H4" s="90"/>
    </row>
    <row r="5" spans="1:73" s="43" customFormat="1" ht="15.75">
      <c r="A5" s="20"/>
      <c r="B5" s="53">
        <f>SUM(A7:A13)</f>
        <v>2050</v>
      </c>
      <c r="F5" s="52"/>
      <c r="G5" s="114"/>
      <c r="H5" s="90"/>
    </row>
    <row r="6" spans="1:73" s="49" customFormat="1" ht="15.75">
      <c r="A6" s="49" t="s">
        <v>2</v>
      </c>
      <c r="B6" s="49" t="s">
        <v>3</v>
      </c>
      <c r="C6" s="49" t="s">
        <v>4</v>
      </c>
      <c r="D6" s="49" t="s">
        <v>5</v>
      </c>
      <c r="E6" s="49" t="s">
        <v>6</v>
      </c>
      <c r="F6" s="54" t="s">
        <v>7</v>
      </c>
      <c r="G6" s="115" t="s">
        <v>8</v>
      </c>
      <c r="H6" s="96" t="s">
        <v>9</v>
      </c>
      <c r="I6" s="49" t="s">
        <v>10</v>
      </c>
      <c r="J6" s="49" t="s">
        <v>11</v>
      </c>
      <c r="K6" s="49" t="s">
        <v>12</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row>
    <row r="7" spans="1:73" s="25" customFormat="1" ht="45">
      <c r="A7" s="25">
        <v>450</v>
      </c>
      <c r="B7" s="25" t="s">
        <v>89</v>
      </c>
      <c r="C7" s="25" t="s">
        <v>90</v>
      </c>
      <c r="D7" s="25" t="str">
        <f>CONCATENATE(UPPER(LEFT(B7,1)&amp;MID(B7,2,1)&amp;"-"&amp;LEFT(C7,1)&amp;MID(C7,2,1)&amp;"-"&amp;LEFT(E7,1)&amp;MID(E7,2,1)&amp;"-"&amp;LEFT(G7,1)&amp;MID(G7,2,1)&amp;"-"&amp;LEFT(H7,1)&amp;MID(H7,2,1)))</f>
        <v>TO-TE-CO-GR-58</v>
      </c>
      <c r="E7" s="83" t="s">
        <v>94</v>
      </c>
      <c r="F7" s="82" t="s">
        <v>96</v>
      </c>
      <c r="G7" s="116" t="s">
        <v>98</v>
      </c>
      <c r="H7" s="12">
        <v>58</v>
      </c>
      <c r="I7" s="30">
        <v>17</v>
      </c>
      <c r="J7" s="25">
        <f>ROUND((K7-I7)/I7*100,2)</f>
        <v>105.88</v>
      </c>
      <c r="K7" s="30">
        <v>35</v>
      </c>
    </row>
    <row r="8" spans="1:73" s="25" customFormat="1" ht="45">
      <c r="A8" s="25">
        <v>300</v>
      </c>
      <c r="B8" s="25" t="s">
        <v>89</v>
      </c>
      <c r="C8" s="25" t="s">
        <v>90</v>
      </c>
      <c r="D8" s="25" t="str">
        <f>CONCATENATE(UPPER(LEFT(B8,1)&amp;MID(B8,2,1)&amp;"-"&amp;LEFT(C8,1)&amp;MID(C8,2,1)&amp;"-"&amp;LEFT(E8,1)&amp;MID(E8,2,1)&amp;"-"&amp;LEFT(G8,1)&amp;MID(G8,2,1)&amp;"-"&amp;LEFT(H8,1)&amp;MID(H8,2,1)))</f>
        <v>TO-TE-GR-BL-58</v>
      </c>
      <c r="E8" s="83" t="s">
        <v>95</v>
      </c>
      <c r="F8" s="82" t="s">
        <v>97</v>
      </c>
      <c r="G8" s="116" t="s">
        <v>245</v>
      </c>
      <c r="H8" s="12">
        <v>58</v>
      </c>
      <c r="I8" s="30">
        <v>20</v>
      </c>
      <c r="J8" s="25">
        <f>ROUND((K8-I8)/I8*100,2)</f>
        <v>100</v>
      </c>
      <c r="K8" s="30">
        <v>40</v>
      </c>
    </row>
    <row r="9" spans="1:73" s="25" customFormat="1" ht="104.25" customHeight="1">
      <c r="A9" s="25">
        <v>300</v>
      </c>
      <c r="B9" s="25" t="s">
        <v>89</v>
      </c>
      <c r="C9" s="25" t="s">
        <v>91</v>
      </c>
      <c r="D9" s="25" t="str">
        <f t="shared" ref="D9:D13" si="0">CONCATENATE(UPPER(LEFT(B9,1)&amp;MID(B9,2,1)&amp;"-"&amp;LEFT(C9,1)&amp;MID(C9,2,1)&amp;"-"&amp;LEFT(E9,1)&amp;MID(E9,2,1)&amp;"-"&amp;LEFT(G9,1)&amp;MID(G9,2,1)&amp;"-"&amp;LEFT(H9,1)&amp;MID(H9,2,1)))</f>
        <v>TO-SH-CL-PI-10</v>
      </c>
      <c r="E9" s="83" t="s">
        <v>109</v>
      </c>
      <c r="F9" s="82" t="s">
        <v>111</v>
      </c>
      <c r="G9" s="116" t="s">
        <v>246</v>
      </c>
      <c r="H9" s="12">
        <v>10</v>
      </c>
      <c r="I9" s="30">
        <v>25</v>
      </c>
      <c r="J9" s="25">
        <f>ROUND((K9-I9)/I9*100,2)</f>
        <v>60</v>
      </c>
      <c r="K9" s="30">
        <v>40</v>
      </c>
    </row>
    <row r="10" spans="1:73" s="25" customFormat="1" ht="65.25" customHeight="1">
      <c r="A10" s="25">
        <v>400</v>
      </c>
      <c r="B10" s="25" t="s">
        <v>89</v>
      </c>
      <c r="C10" s="25" t="s">
        <v>91</v>
      </c>
      <c r="D10" s="25" t="str">
        <f t="shared" ref="D10" si="1">CONCATENATE(UPPER(LEFT(B10,1)&amp;MID(B10,2,1)&amp;"-"&amp;LEFT(C10,1)&amp;MID(C10,2,1)&amp;"-"&amp;LEFT(E10,1)&amp;MID(E10,2,1)&amp;"-"&amp;LEFT(G10,1)&amp;MID(G10,2,1)&amp;"-"&amp;LEFT(H10,1)&amp;MID(H10,2,1)))</f>
        <v>TO-SH-LI-PI-10</v>
      </c>
      <c r="E10" s="83" t="s">
        <v>108</v>
      </c>
      <c r="F10" s="82" t="s">
        <v>110</v>
      </c>
      <c r="G10" s="116" t="s">
        <v>14</v>
      </c>
      <c r="H10" s="12">
        <v>10</v>
      </c>
      <c r="I10" s="30">
        <v>25</v>
      </c>
      <c r="J10" s="25">
        <f t="shared" ref="J10:J14" si="2">ROUND((K10-I10)/I10*100,2)</f>
        <v>100</v>
      </c>
      <c r="K10" s="30">
        <v>50</v>
      </c>
    </row>
    <row r="11" spans="1:73" s="25" customFormat="1" ht="30">
      <c r="A11" s="25">
        <v>200</v>
      </c>
      <c r="B11" s="25" t="s">
        <v>89</v>
      </c>
      <c r="C11" s="25" t="s">
        <v>92</v>
      </c>
      <c r="D11" s="25" t="str">
        <f t="shared" si="0"/>
        <v>TO-SW-CO-NU-10</v>
      </c>
      <c r="E11" s="83" t="s">
        <v>100</v>
      </c>
      <c r="F11" s="82" t="s">
        <v>102</v>
      </c>
      <c r="G11" s="116" t="s">
        <v>259</v>
      </c>
      <c r="H11" s="12">
        <v>10</v>
      </c>
      <c r="I11" s="30">
        <v>40</v>
      </c>
      <c r="J11" s="25">
        <f t="shared" si="2"/>
        <v>75</v>
      </c>
      <c r="K11" s="30">
        <v>70</v>
      </c>
    </row>
    <row r="12" spans="1:73" s="25" customFormat="1" ht="30">
      <c r="A12" s="25">
        <v>300</v>
      </c>
      <c r="B12" s="25" t="s">
        <v>89</v>
      </c>
      <c r="C12" s="25" t="s">
        <v>92</v>
      </c>
      <c r="D12" s="25" t="str">
        <f t="shared" ref="D12" si="3">CONCATENATE(UPPER(LEFT(B12,1)&amp;MID(B12,2,1)&amp;"-"&amp;LEFT(C12,1)&amp;MID(C12,2,1)&amp;"-"&amp;LEFT(E12,1)&amp;MID(E12,2,1)&amp;"-"&amp;LEFT(G12,1)&amp;MID(G12,2,1)&amp;"-"&amp;LEFT(H12,1)&amp;MID(H12,2,1)))</f>
        <v>TO-SW-HO-BL-10</v>
      </c>
      <c r="E12" s="83" t="s">
        <v>101</v>
      </c>
      <c r="F12" s="82" t="s">
        <v>103</v>
      </c>
      <c r="G12" s="116" t="s">
        <v>166</v>
      </c>
      <c r="H12" s="12">
        <v>10</v>
      </c>
      <c r="I12" s="30">
        <v>45</v>
      </c>
      <c r="J12" s="25">
        <f t="shared" si="2"/>
        <v>51.11</v>
      </c>
      <c r="K12" s="30">
        <v>68</v>
      </c>
    </row>
    <row r="13" spans="1:73" s="25" customFormat="1" ht="30">
      <c r="A13" s="25">
        <v>100</v>
      </c>
      <c r="B13" s="25" t="s">
        <v>89</v>
      </c>
      <c r="C13" s="25" t="s">
        <v>93</v>
      </c>
      <c r="D13" s="25" t="str">
        <f t="shared" si="0"/>
        <v>TO-JA-DE-NU-10</v>
      </c>
      <c r="E13" s="83" t="s">
        <v>104</v>
      </c>
      <c r="F13" s="82" t="s">
        <v>107</v>
      </c>
      <c r="G13" s="116" t="s">
        <v>260</v>
      </c>
      <c r="H13" s="12">
        <v>10</v>
      </c>
      <c r="I13" s="30">
        <v>45</v>
      </c>
      <c r="J13" s="25">
        <f t="shared" si="2"/>
        <v>88.89</v>
      </c>
      <c r="K13" s="30">
        <v>85</v>
      </c>
    </row>
    <row r="14" spans="1:73" s="25" customFormat="1" ht="30">
      <c r="A14" s="25">
        <v>150</v>
      </c>
      <c r="B14" s="25" t="s">
        <v>89</v>
      </c>
      <c r="C14" s="25" t="s">
        <v>93</v>
      </c>
      <c r="D14" s="25" t="str">
        <f t="shared" ref="D14" si="4">CONCATENATE(UPPER(LEFT(B14,1)&amp;MID(B14,2,1)&amp;"-"&amp;LEFT(C14,1)&amp;MID(C14,2,1)&amp;"-"&amp;LEFT(E14,1)&amp;MID(E14,2,1)&amp;"-"&amp;LEFT(G14,1)&amp;MID(G14,2,1)&amp;"-"&amp;LEFT(H14,1)&amp;MID(H14,2,1)))</f>
        <v>TO-JA-LI-NU-10</v>
      </c>
      <c r="E14" s="83" t="s">
        <v>105</v>
      </c>
      <c r="F14" s="82" t="s">
        <v>106</v>
      </c>
      <c r="G14" s="116" t="s">
        <v>13</v>
      </c>
      <c r="H14" s="12">
        <v>10</v>
      </c>
      <c r="I14" s="30">
        <v>65</v>
      </c>
      <c r="J14" s="25">
        <f t="shared" si="2"/>
        <v>38.46</v>
      </c>
      <c r="K14" s="30">
        <v>90</v>
      </c>
    </row>
    <row r="15" spans="1:73" s="32" customFormat="1">
      <c r="F15" s="34"/>
      <c r="G15" s="117"/>
      <c r="H15" s="95"/>
      <c r="J15" s="27"/>
    </row>
    <row r="16" spans="1:73" s="32" customFormat="1" ht="15.75">
      <c r="B16" s="51" t="s">
        <v>1</v>
      </c>
      <c r="F16" s="34"/>
      <c r="G16" s="117"/>
      <c r="H16" s="95"/>
      <c r="J16" s="27"/>
    </row>
    <row r="17" spans="1:73" s="32" customFormat="1" ht="15.75">
      <c r="A17" s="55"/>
      <c r="B17" s="56">
        <f>SUM(A19:A35)</f>
        <v>7134</v>
      </c>
      <c r="F17" s="34"/>
      <c r="G17" s="117"/>
      <c r="H17" s="95"/>
      <c r="J17" s="27"/>
    </row>
    <row r="18" spans="1:73" s="49" customFormat="1" ht="15.75">
      <c r="A18" s="49" t="s">
        <v>2</v>
      </c>
      <c r="B18" s="49" t="s">
        <v>3</v>
      </c>
      <c r="C18" s="49" t="s">
        <v>4</v>
      </c>
      <c r="D18" s="49" t="s">
        <v>5</v>
      </c>
      <c r="E18" s="49" t="s">
        <v>6</v>
      </c>
      <c r="F18" s="54" t="s">
        <v>7</v>
      </c>
      <c r="G18" s="115" t="s">
        <v>8</v>
      </c>
      <c r="H18" s="96" t="s">
        <v>9</v>
      </c>
      <c r="I18" s="49" t="s">
        <v>10</v>
      </c>
      <c r="J18" s="58" t="s">
        <v>11</v>
      </c>
      <c r="K18" s="49" t="s">
        <v>15</v>
      </c>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row>
    <row r="19" spans="1:73" s="25" customFormat="1" ht="43.5" customHeight="1">
      <c r="A19" s="25">
        <v>626</v>
      </c>
      <c r="B19" s="84" t="s">
        <v>112</v>
      </c>
      <c r="C19" s="78" t="s">
        <v>122</v>
      </c>
      <c r="D19" s="25" t="str">
        <f t="shared" ref="D19:D31" si="5">CONCATENATE(UPPER(LEFT(B19,1)&amp;MID(B19,2,1)&amp;"-"&amp;LEFT(C19,1)&amp;MID(C19,2,1)&amp;"-"&amp;LEFT(E19,1)&amp;MID(E19,2,1)&amp;"-"&amp;LEFT(G19,1)&amp;MID(G19,2,1)&amp;"-"&amp;LEFT(H19,1)&amp;MID(H19,2,1)))</f>
        <v>BO-JE-CL-BL-10</v>
      </c>
      <c r="E19" s="24" t="s">
        <v>118</v>
      </c>
      <c r="F19" s="82" t="s">
        <v>123</v>
      </c>
      <c r="G19" s="116" t="s">
        <v>247</v>
      </c>
      <c r="H19" s="12">
        <v>10</v>
      </c>
      <c r="I19" s="30">
        <v>35</v>
      </c>
      <c r="J19" s="25">
        <f t="shared" ref="J19:J31" si="6">ROUND((K19-I19)/I19*100,2)</f>
        <v>42.86</v>
      </c>
      <c r="K19" s="30">
        <v>50</v>
      </c>
    </row>
    <row r="20" spans="1:73" s="25" customFormat="1" ht="43.5" customHeight="1">
      <c r="A20" s="25">
        <v>207</v>
      </c>
      <c r="B20" s="84" t="s">
        <v>112</v>
      </c>
      <c r="C20" s="78" t="s">
        <v>122</v>
      </c>
      <c r="D20" s="25" t="str">
        <f t="shared" si="5"/>
        <v>BO-JE-SK-BL-10</v>
      </c>
      <c r="E20" s="24" t="s">
        <v>119</v>
      </c>
      <c r="F20" s="82" t="s">
        <v>124</v>
      </c>
      <c r="G20" s="116" t="s">
        <v>247</v>
      </c>
      <c r="H20" s="12">
        <v>10</v>
      </c>
      <c r="I20" s="30">
        <v>30</v>
      </c>
      <c r="J20" s="25">
        <f t="shared" si="6"/>
        <v>50</v>
      </c>
      <c r="K20" s="30">
        <v>45</v>
      </c>
      <c r="M20" s="78"/>
    </row>
    <row r="21" spans="1:73" s="25" customFormat="1" ht="43.5" customHeight="1">
      <c r="A21" s="25">
        <v>644</v>
      </c>
      <c r="B21" s="84" t="s">
        <v>112</v>
      </c>
      <c r="C21" s="78" t="s">
        <v>122</v>
      </c>
      <c r="D21" s="25" t="str">
        <f t="shared" si="5"/>
        <v>BO-JE-BO-BL-10</v>
      </c>
      <c r="E21" s="24" t="s">
        <v>120</v>
      </c>
      <c r="F21" s="82" t="s">
        <v>125</v>
      </c>
      <c r="G21" s="116" t="s">
        <v>247</v>
      </c>
      <c r="H21" s="12">
        <v>10</v>
      </c>
      <c r="I21" s="30">
        <v>35</v>
      </c>
      <c r="J21" s="25">
        <f t="shared" si="6"/>
        <v>37.14</v>
      </c>
      <c r="K21" s="30">
        <v>48</v>
      </c>
    </row>
    <row r="22" spans="1:73" s="25" customFormat="1" ht="43.5" customHeight="1">
      <c r="A22" s="25">
        <v>585</v>
      </c>
      <c r="B22" s="84" t="s">
        <v>112</v>
      </c>
      <c r="C22" s="78" t="s">
        <v>122</v>
      </c>
      <c r="D22" s="25" t="str">
        <f t="shared" si="5"/>
        <v>BO-JE-HI-BL-10</v>
      </c>
      <c r="E22" s="24" t="s">
        <v>121</v>
      </c>
      <c r="F22" s="82" t="s">
        <v>126</v>
      </c>
      <c r="G22" s="116" t="s">
        <v>247</v>
      </c>
      <c r="H22" s="12">
        <v>10</v>
      </c>
      <c r="I22" s="30">
        <v>38</v>
      </c>
      <c r="J22" s="25">
        <f t="shared" si="6"/>
        <v>39.47</v>
      </c>
      <c r="K22" s="30">
        <v>53</v>
      </c>
    </row>
    <row r="23" spans="1:73" s="25" customFormat="1" ht="30">
      <c r="A23" s="25">
        <v>597</v>
      </c>
      <c r="B23" s="78" t="s">
        <v>112</v>
      </c>
      <c r="C23" s="78" t="s">
        <v>132</v>
      </c>
      <c r="D23" s="25" t="str">
        <f t="shared" si="5"/>
        <v>BO-PA-KH-BR-10</v>
      </c>
      <c r="E23" s="24" t="s">
        <v>127</v>
      </c>
      <c r="F23" s="82" t="s">
        <v>137</v>
      </c>
      <c r="G23" s="116" t="s">
        <v>248</v>
      </c>
      <c r="H23" s="12">
        <v>10</v>
      </c>
      <c r="I23" s="30">
        <v>30</v>
      </c>
      <c r="J23" s="25">
        <f t="shared" si="6"/>
        <v>33.33</v>
      </c>
      <c r="K23" s="30">
        <v>40</v>
      </c>
    </row>
    <row r="24" spans="1:73" s="25" customFormat="1" ht="30">
      <c r="A24" s="25">
        <v>638</v>
      </c>
      <c r="B24" s="78" t="s">
        <v>112</v>
      </c>
      <c r="C24" s="78" t="s">
        <v>132</v>
      </c>
      <c r="D24" s="25" t="str">
        <f t="shared" si="5"/>
        <v>BO-PA-SL-GR-10</v>
      </c>
      <c r="E24" s="24" t="s">
        <v>128</v>
      </c>
      <c r="F24" s="82" t="s">
        <v>136</v>
      </c>
      <c r="G24" s="116" t="s">
        <v>16</v>
      </c>
      <c r="H24" s="12">
        <v>10</v>
      </c>
      <c r="I24" s="30">
        <v>34</v>
      </c>
      <c r="J24" s="25">
        <f t="shared" si="6"/>
        <v>61.76</v>
      </c>
      <c r="K24" s="30">
        <v>55</v>
      </c>
    </row>
    <row r="25" spans="1:73" s="25" customFormat="1" ht="30">
      <c r="A25" s="25">
        <v>717</v>
      </c>
      <c r="B25" s="78" t="s">
        <v>112</v>
      </c>
      <c r="C25" s="78" t="s">
        <v>132</v>
      </c>
      <c r="D25" s="25" t="str">
        <f t="shared" si="5"/>
        <v>BO-PA-UT-BL-10</v>
      </c>
      <c r="E25" s="24" t="s">
        <v>129</v>
      </c>
      <c r="F25" s="82" t="s">
        <v>135</v>
      </c>
      <c r="G25" s="116" t="s">
        <v>247</v>
      </c>
      <c r="H25" s="12">
        <v>10</v>
      </c>
      <c r="I25" s="30">
        <v>25</v>
      </c>
      <c r="J25" s="25">
        <f t="shared" si="6"/>
        <v>92</v>
      </c>
      <c r="K25" s="30">
        <v>48</v>
      </c>
    </row>
    <row r="26" spans="1:73" s="25" customFormat="1" ht="30">
      <c r="A26" s="25">
        <v>755</v>
      </c>
      <c r="B26" s="78" t="s">
        <v>112</v>
      </c>
      <c r="C26" s="78" t="s">
        <v>132</v>
      </c>
      <c r="D26" s="25" t="str">
        <f t="shared" si="5"/>
        <v>BO-PA-CO-GR-10</v>
      </c>
      <c r="E26" s="24" t="s">
        <v>130</v>
      </c>
      <c r="F26" s="82" t="s">
        <v>134</v>
      </c>
      <c r="G26" s="116" t="s">
        <v>258</v>
      </c>
      <c r="H26" s="12">
        <v>10</v>
      </c>
      <c r="I26" s="30">
        <v>20</v>
      </c>
      <c r="J26" s="25">
        <f t="shared" si="6"/>
        <v>75</v>
      </c>
      <c r="K26" s="30">
        <v>35</v>
      </c>
    </row>
    <row r="27" spans="1:73" s="25" customFormat="1" ht="30">
      <c r="A27" s="25">
        <v>499</v>
      </c>
      <c r="B27" s="78" t="s">
        <v>112</v>
      </c>
      <c r="C27" s="78" t="s">
        <v>132</v>
      </c>
      <c r="D27" s="25" t="str">
        <f t="shared" si="5"/>
        <v>BO-PA-TE-MU-10</v>
      </c>
      <c r="E27" s="24" t="s">
        <v>131</v>
      </c>
      <c r="F27" s="82" t="s">
        <v>133</v>
      </c>
      <c r="G27" s="116" t="s">
        <v>19</v>
      </c>
      <c r="H27" s="12">
        <v>10</v>
      </c>
      <c r="I27" s="30">
        <v>23</v>
      </c>
      <c r="J27" s="25">
        <f t="shared" si="6"/>
        <v>86.96</v>
      </c>
      <c r="K27" s="30">
        <v>43</v>
      </c>
    </row>
    <row r="28" spans="1:73" s="25" customFormat="1" ht="38.25">
      <c r="A28" s="25">
        <v>625</v>
      </c>
      <c r="B28" s="78" t="s">
        <v>112</v>
      </c>
      <c r="C28" s="78" t="s">
        <v>142</v>
      </c>
      <c r="D28" s="25" t="str">
        <f t="shared" si="5"/>
        <v>BO-SH-DI-LI-30</v>
      </c>
      <c r="E28" s="24" t="s">
        <v>138</v>
      </c>
      <c r="F28" s="82" t="s">
        <v>145</v>
      </c>
      <c r="G28" s="116" t="s">
        <v>17</v>
      </c>
      <c r="H28" s="12">
        <v>30</v>
      </c>
      <c r="I28" s="30">
        <v>40</v>
      </c>
      <c r="J28" s="25">
        <f t="shared" si="6"/>
        <v>-25</v>
      </c>
      <c r="K28" s="30">
        <v>30</v>
      </c>
    </row>
    <row r="29" spans="1:73" s="25" customFormat="1" ht="25.5">
      <c r="A29" s="25">
        <v>488</v>
      </c>
      <c r="B29" s="78" t="s">
        <v>112</v>
      </c>
      <c r="C29" s="78" t="s">
        <v>142</v>
      </c>
      <c r="D29" s="25" t="str">
        <f t="shared" si="5"/>
        <v>BO-SH-KH-LI-30</v>
      </c>
      <c r="E29" s="24" t="s">
        <v>139</v>
      </c>
      <c r="F29" s="82" t="s">
        <v>144</v>
      </c>
      <c r="G29" s="116" t="s">
        <v>255</v>
      </c>
      <c r="H29" s="12">
        <v>30</v>
      </c>
      <c r="I29" s="30">
        <v>15</v>
      </c>
      <c r="J29" s="25">
        <f t="shared" si="6"/>
        <v>66.67</v>
      </c>
      <c r="K29" s="30">
        <v>25</v>
      </c>
    </row>
    <row r="30" spans="1:73" s="25" customFormat="1" ht="30">
      <c r="A30" s="25">
        <v>363</v>
      </c>
      <c r="B30" s="78" t="s">
        <v>112</v>
      </c>
      <c r="C30" s="78" t="s">
        <v>142</v>
      </c>
      <c r="D30" s="25" t="str">
        <f t="shared" si="5"/>
        <v>BO-SH-PE-MU-30</v>
      </c>
      <c r="E30" s="24" t="s">
        <v>140</v>
      </c>
      <c r="F30" s="82" t="s">
        <v>143</v>
      </c>
      <c r="G30" s="116" t="s">
        <v>19</v>
      </c>
      <c r="H30" s="12">
        <v>30</v>
      </c>
      <c r="I30" s="30">
        <v>17</v>
      </c>
      <c r="J30" s="25">
        <f t="shared" si="6"/>
        <v>94.12</v>
      </c>
      <c r="K30" s="30">
        <v>33</v>
      </c>
    </row>
    <row r="31" spans="1:73" s="25" customFormat="1" ht="30">
      <c r="A31" s="25">
        <v>390</v>
      </c>
      <c r="B31" s="78" t="s">
        <v>112</v>
      </c>
      <c r="C31" s="78" t="s">
        <v>142</v>
      </c>
      <c r="D31" s="25" t="str">
        <f t="shared" si="5"/>
        <v>BO-SH-UT-GR-30</v>
      </c>
      <c r="E31" s="24" t="s">
        <v>141</v>
      </c>
      <c r="F31" s="82" t="s">
        <v>146</v>
      </c>
      <c r="G31" s="116" t="s">
        <v>256</v>
      </c>
      <c r="H31" s="12">
        <v>30</v>
      </c>
      <c r="I31" s="30">
        <v>20</v>
      </c>
      <c r="J31" s="25">
        <f t="shared" si="6"/>
        <v>100</v>
      </c>
      <c r="K31" s="30">
        <v>40</v>
      </c>
    </row>
    <row r="32" spans="1:73" s="25" customFormat="1">
      <c r="B32" s="78"/>
      <c r="E32" s="24"/>
      <c r="F32" s="26"/>
      <c r="G32" s="116"/>
      <c r="H32" s="12"/>
      <c r="I32" s="30"/>
      <c r="K32" s="30"/>
    </row>
    <row r="33" spans="1:73" s="25" customFormat="1">
      <c r="B33" s="78"/>
      <c r="E33" s="24"/>
      <c r="F33" s="26"/>
      <c r="G33" s="116"/>
      <c r="H33" s="12"/>
      <c r="I33" s="30"/>
      <c r="K33" s="30"/>
    </row>
    <row r="34" spans="1:73" s="25" customFormat="1">
      <c r="B34" s="78"/>
      <c r="E34" s="24"/>
      <c r="F34" s="26"/>
      <c r="G34" s="116"/>
      <c r="H34" s="12"/>
      <c r="I34" s="30"/>
      <c r="K34" s="30"/>
    </row>
    <row r="35" spans="1:73" s="25" customFormat="1">
      <c r="B35" s="78"/>
      <c r="E35" s="24"/>
      <c r="F35" s="26"/>
      <c r="G35" s="116"/>
      <c r="H35" s="12"/>
      <c r="I35" s="30"/>
      <c r="K35" s="30"/>
    </row>
    <row r="36" spans="1:73" s="50" customFormat="1">
      <c r="G36" s="118"/>
      <c r="H36" s="80"/>
      <c r="J36" s="25"/>
    </row>
    <row r="37" spans="1:73" s="32" customFormat="1">
      <c r="F37" s="34"/>
      <c r="G37" s="117"/>
      <c r="H37" s="95"/>
      <c r="J37" s="27"/>
    </row>
    <row r="38" spans="1:73" s="32" customFormat="1" ht="15.75">
      <c r="B38" s="51" t="s">
        <v>1</v>
      </c>
      <c r="F38" s="34"/>
      <c r="G38" s="117"/>
      <c r="H38" s="95"/>
      <c r="J38" s="27"/>
    </row>
    <row r="39" spans="1:73" s="32" customFormat="1" ht="15.75">
      <c r="A39" s="55"/>
      <c r="B39" s="56">
        <f>SUM(A41:A48)</f>
        <v>3420</v>
      </c>
      <c r="F39" s="34"/>
      <c r="G39" s="117"/>
      <c r="H39" s="95"/>
      <c r="J39" s="27"/>
    </row>
    <row r="40" spans="1:73" s="49" customFormat="1" ht="15.75">
      <c r="A40" s="49" t="s">
        <v>2</v>
      </c>
      <c r="B40" s="49" t="s">
        <v>3</v>
      </c>
      <c r="C40" s="49" t="s">
        <v>4</v>
      </c>
      <c r="D40" s="49" t="s">
        <v>5</v>
      </c>
      <c r="E40" s="49" t="s">
        <v>6</v>
      </c>
      <c r="F40" s="54" t="s">
        <v>7</v>
      </c>
      <c r="G40" s="115" t="s">
        <v>8</v>
      </c>
      <c r="H40" s="96" t="s">
        <v>9</v>
      </c>
      <c r="I40" s="49" t="s">
        <v>10</v>
      </c>
      <c r="J40" s="58" t="s">
        <v>11</v>
      </c>
      <c r="K40" s="49" t="s">
        <v>15</v>
      </c>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row>
    <row r="41" spans="1:73" s="25" customFormat="1" ht="30">
      <c r="A41" s="25">
        <v>488</v>
      </c>
      <c r="B41" s="78" t="s">
        <v>147</v>
      </c>
      <c r="C41" s="86" t="s">
        <v>148</v>
      </c>
      <c r="D41" s="25" t="str">
        <f>CONCATENATE(UPPER(LEFT(B41,1)&amp;MID(B41,2,1)&amp;"-"&amp;LEFT(C41,1)&amp;MID(C41,2,1)&amp;"-"&amp;LEFT(E41,1)&amp;MID(E41,2,1)&amp;"-"&amp;LEFT(G41,1)&amp;MID(G41,2,1)&amp;"-"&amp;LEFT(H41,1)))</f>
        <v>SL-PA-CO-MU-L</v>
      </c>
      <c r="E41" s="24" t="s">
        <v>151</v>
      </c>
      <c r="F41" s="82" t="s">
        <v>156</v>
      </c>
      <c r="G41" s="116" t="s">
        <v>19</v>
      </c>
      <c r="H41" s="97" t="s">
        <v>160</v>
      </c>
      <c r="I41" s="30">
        <v>25</v>
      </c>
      <c r="J41" s="25">
        <f t="shared" ref="J41:J50" si="7">ROUND((K41-I41)/I41*100,2)</f>
        <v>60</v>
      </c>
      <c r="K41" s="30">
        <v>40</v>
      </c>
    </row>
    <row r="42" spans="1:73" s="25" customFormat="1" ht="30">
      <c r="A42" s="25">
        <v>267</v>
      </c>
      <c r="B42" s="78" t="s">
        <v>147</v>
      </c>
      <c r="C42" s="86" t="s">
        <v>148</v>
      </c>
      <c r="D42" s="25" t="str">
        <f t="shared" ref="D42:D50" si="8">CONCATENATE(UPPER(LEFT(B42,1)&amp;MID(B42,2,1)&amp;"-"&amp;LEFT(C42,1)&amp;MID(C42,2,1)&amp;"-"&amp;LEFT(E42,1)&amp;MID(E42,2,1)&amp;"-"&amp;LEFT(G42,1)&amp;MID(G42,2,1)&amp;"-"&amp;LEFT(H42,1)))</f>
        <v>SL-PA-MO-MU-M</v>
      </c>
      <c r="E42" s="24" t="s">
        <v>152</v>
      </c>
      <c r="F42" s="82" t="s">
        <v>157</v>
      </c>
      <c r="G42" s="116" t="s">
        <v>19</v>
      </c>
      <c r="H42" s="97" t="s">
        <v>161</v>
      </c>
      <c r="I42" s="30">
        <v>26</v>
      </c>
      <c r="J42" s="25">
        <f t="shared" si="7"/>
        <v>73.08</v>
      </c>
      <c r="K42" s="30">
        <v>45</v>
      </c>
    </row>
    <row r="43" spans="1:73" s="25" customFormat="1" ht="30">
      <c r="A43" s="25">
        <v>220</v>
      </c>
      <c r="B43" s="78" t="s">
        <v>147</v>
      </c>
      <c r="C43" s="86" t="s">
        <v>148</v>
      </c>
      <c r="D43" s="25" t="str">
        <f t="shared" si="8"/>
        <v>SL-PA-ST-WH-L</v>
      </c>
      <c r="E43" s="24" t="s">
        <v>153</v>
      </c>
      <c r="F43" s="82" t="s">
        <v>158</v>
      </c>
      <c r="G43" s="116" t="s">
        <v>155</v>
      </c>
      <c r="H43" s="97" t="s">
        <v>160</v>
      </c>
      <c r="I43" s="30">
        <v>19</v>
      </c>
      <c r="J43" s="25">
        <f t="shared" si="7"/>
        <v>57.89</v>
      </c>
      <c r="K43" s="30">
        <v>30</v>
      </c>
    </row>
    <row r="44" spans="1:73" s="25" customFormat="1" ht="30">
      <c r="A44" s="25">
        <v>541</v>
      </c>
      <c r="B44" s="78" t="s">
        <v>147</v>
      </c>
      <c r="C44" s="86" t="s">
        <v>148</v>
      </c>
      <c r="D44" s="25" t="str">
        <f t="shared" si="8"/>
        <v>SL-PA-FL-MU-L</v>
      </c>
      <c r="E44" s="24" t="s">
        <v>154</v>
      </c>
      <c r="F44" s="82" t="s">
        <v>159</v>
      </c>
      <c r="G44" s="116" t="s">
        <v>19</v>
      </c>
      <c r="H44" s="97" t="s">
        <v>160</v>
      </c>
      <c r="I44" s="30">
        <v>27</v>
      </c>
      <c r="J44" s="25">
        <f t="shared" si="7"/>
        <v>85.19</v>
      </c>
      <c r="K44" s="30">
        <v>50</v>
      </c>
    </row>
    <row r="45" spans="1:73" s="25" customFormat="1" ht="30">
      <c r="A45" s="25">
        <v>586</v>
      </c>
      <c r="B45" s="78" t="s">
        <v>147</v>
      </c>
      <c r="C45" s="86" t="s">
        <v>149</v>
      </c>
      <c r="D45" s="25" t="str">
        <f t="shared" si="8"/>
        <v>SL-LO-FR-BL-S</v>
      </c>
      <c r="E45" s="24" t="s">
        <v>163</v>
      </c>
      <c r="F45" s="82" t="s">
        <v>195</v>
      </c>
      <c r="G45" s="116" t="s">
        <v>167</v>
      </c>
      <c r="H45" s="97" t="s">
        <v>162</v>
      </c>
      <c r="I45" s="30">
        <v>24</v>
      </c>
      <c r="J45" s="25">
        <f t="shared" si="7"/>
        <v>79.17</v>
      </c>
      <c r="K45" s="30">
        <v>43</v>
      </c>
    </row>
    <row r="46" spans="1:73" s="25" customFormat="1" ht="30">
      <c r="A46" s="25">
        <v>529</v>
      </c>
      <c r="B46" s="78" t="s">
        <v>147</v>
      </c>
      <c r="C46" s="86" t="s">
        <v>149</v>
      </c>
      <c r="D46" s="25" t="str">
        <f t="shared" si="8"/>
        <v>SL-LO-FL-BL-S</v>
      </c>
      <c r="E46" s="24" t="s">
        <v>164</v>
      </c>
      <c r="F46" s="82" t="s">
        <v>194</v>
      </c>
      <c r="G46" s="116" t="s">
        <v>18</v>
      </c>
      <c r="H46" s="97" t="s">
        <v>162</v>
      </c>
      <c r="I46" s="30">
        <v>17</v>
      </c>
      <c r="J46" s="25">
        <f t="shared" si="7"/>
        <v>105.88</v>
      </c>
      <c r="K46" s="30">
        <v>35</v>
      </c>
    </row>
    <row r="47" spans="1:73" s="25" customFormat="1" ht="30">
      <c r="A47" s="25">
        <v>354</v>
      </c>
      <c r="B47" s="78" t="s">
        <v>147</v>
      </c>
      <c r="C47" s="86" t="s">
        <v>149</v>
      </c>
      <c r="D47" s="25" t="str">
        <f t="shared" si="8"/>
        <v>SL-LO-ME-BL-1</v>
      </c>
      <c r="E47" s="24" t="s">
        <v>165</v>
      </c>
      <c r="F47" s="82" t="s">
        <v>193</v>
      </c>
      <c r="G47" s="116" t="s">
        <v>166</v>
      </c>
      <c r="H47" s="97">
        <v>10</v>
      </c>
      <c r="I47" s="30">
        <v>14</v>
      </c>
      <c r="J47" s="25">
        <f t="shared" si="7"/>
        <v>78.569999999999993</v>
      </c>
      <c r="K47" s="30">
        <v>25</v>
      </c>
    </row>
    <row r="48" spans="1:73" s="25" customFormat="1" ht="30">
      <c r="A48" s="25">
        <v>435</v>
      </c>
      <c r="B48" s="78" t="s">
        <v>147</v>
      </c>
      <c r="C48" s="86" t="s">
        <v>150</v>
      </c>
      <c r="D48" s="25" t="str">
        <f t="shared" si="8"/>
        <v>SL-UN-SU-MU-L</v>
      </c>
      <c r="E48" s="24" t="s">
        <v>168</v>
      </c>
      <c r="F48" s="82" t="s">
        <v>196</v>
      </c>
      <c r="G48" s="116" t="s">
        <v>19</v>
      </c>
      <c r="H48" s="97" t="s">
        <v>171</v>
      </c>
      <c r="I48" s="30">
        <v>15</v>
      </c>
      <c r="J48" s="25">
        <f t="shared" si="7"/>
        <v>100</v>
      </c>
      <c r="K48" s="30">
        <v>30</v>
      </c>
    </row>
    <row r="49" spans="1:73" s="32" customFormat="1" ht="30">
      <c r="A49" s="63">
        <v>175</v>
      </c>
      <c r="B49" s="78" t="s">
        <v>147</v>
      </c>
      <c r="C49" s="86" t="s">
        <v>150</v>
      </c>
      <c r="D49" s="25" t="str">
        <f t="shared" si="8"/>
        <v>SL-UN-SO-MU-L</v>
      </c>
      <c r="E49" s="24" t="s">
        <v>169</v>
      </c>
      <c r="F49" s="87" t="s">
        <v>197</v>
      </c>
      <c r="G49" s="116" t="s">
        <v>19</v>
      </c>
      <c r="H49" s="97" t="s">
        <v>160</v>
      </c>
      <c r="I49" s="30">
        <v>12</v>
      </c>
      <c r="J49" s="25">
        <f t="shared" si="7"/>
        <v>66.67</v>
      </c>
      <c r="K49" s="30">
        <v>20</v>
      </c>
      <c r="M49" s="63"/>
    </row>
    <row r="50" spans="1:73" s="32" customFormat="1" ht="30">
      <c r="A50" s="63">
        <v>476</v>
      </c>
      <c r="B50" s="78" t="s">
        <v>147</v>
      </c>
      <c r="C50" s="86" t="s">
        <v>150</v>
      </c>
      <c r="D50" s="25" t="str">
        <f t="shared" si="8"/>
        <v>SL-UN-RE-MU-L</v>
      </c>
      <c r="E50" s="24" t="s">
        <v>170</v>
      </c>
      <c r="F50" s="87" t="s">
        <v>198</v>
      </c>
      <c r="G50" s="116" t="s">
        <v>19</v>
      </c>
      <c r="H50" s="97" t="s">
        <v>160</v>
      </c>
      <c r="I50" s="30">
        <v>13</v>
      </c>
      <c r="J50" s="25">
        <f t="shared" si="7"/>
        <v>76.92</v>
      </c>
      <c r="K50" s="30">
        <v>23</v>
      </c>
      <c r="M50" s="63"/>
    </row>
    <row r="51" spans="1:73" s="32" customFormat="1">
      <c r="B51" s="78"/>
      <c r="C51" s="86"/>
      <c r="D51" s="25"/>
      <c r="E51" s="24"/>
      <c r="F51" s="87"/>
      <c r="G51" s="116"/>
      <c r="H51" s="97"/>
      <c r="I51" s="30"/>
      <c r="J51" s="25"/>
      <c r="K51" s="30"/>
    </row>
    <row r="52" spans="1:73" s="32" customFormat="1">
      <c r="B52" s="78"/>
      <c r="C52" s="86"/>
      <c r="D52" s="25"/>
      <c r="E52" s="24"/>
      <c r="F52" s="87"/>
      <c r="G52" s="116"/>
      <c r="H52" s="97"/>
      <c r="I52" s="30"/>
      <c r="J52" s="25"/>
      <c r="K52" s="30"/>
    </row>
    <row r="53" spans="1:73" s="32" customFormat="1" ht="15.75">
      <c r="B53" s="51" t="s">
        <v>1</v>
      </c>
      <c r="C53" s="86"/>
      <c r="F53" s="34"/>
      <c r="G53" s="116"/>
      <c r="H53" s="95"/>
      <c r="J53" s="27"/>
    </row>
    <row r="54" spans="1:73" s="32" customFormat="1" ht="15.75">
      <c r="A54" s="55"/>
      <c r="B54" s="56">
        <f>SUM(A56:A71)</f>
        <v>5239</v>
      </c>
      <c r="C54" s="86"/>
      <c r="F54" s="34"/>
      <c r="G54" s="116"/>
      <c r="H54" s="95"/>
      <c r="J54" s="27"/>
    </row>
    <row r="55" spans="1:73" s="49" customFormat="1" ht="15.75">
      <c r="A55" s="49" t="s">
        <v>2</v>
      </c>
      <c r="B55" s="49" t="s">
        <v>3</v>
      </c>
      <c r="C55" s="49" t="s">
        <v>4</v>
      </c>
      <c r="D55" s="49" t="s">
        <v>5</v>
      </c>
      <c r="E55" s="49" t="s">
        <v>6</v>
      </c>
      <c r="F55" s="54" t="s">
        <v>7</v>
      </c>
      <c r="G55" s="115" t="s">
        <v>8</v>
      </c>
      <c r="H55" s="96" t="s">
        <v>9</v>
      </c>
      <c r="I55" s="49" t="s">
        <v>10</v>
      </c>
      <c r="J55" s="58" t="s">
        <v>11</v>
      </c>
      <c r="K55" s="49" t="s">
        <v>20</v>
      </c>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row>
    <row r="56" spans="1:73" s="25" customFormat="1" ht="51">
      <c r="A56" s="25">
        <v>656</v>
      </c>
      <c r="B56" s="78" t="s">
        <v>172</v>
      </c>
      <c r="C56" s="86" t="s">
        <v>173</v>
      </c>
      <c r="D56" s="25" t="str">
        <f t="shared" ref="D56:D70" si="9">CONCATENATE(UPPER(LEFT(B56,1)&amp;MID(B56,2,1)&amp;"-"&amp;LEFT(C56,1)&amp;MID(C56,2,1)&amp;"-"&amp;LEFT(E56,1)&amp;MID(E56,2,1)&amp;"-"&amp;LEFT(G56,1)&amp;MID(G56,2,1)&amp;"-"&amp;LEFT(H56,1)&amp;MID(H56,2,1)))</f>
        <v>AC-BA-SP-RE-M</v>
      </c>
      <c r="E56" s="24" t="s">
        <v>174</v>
      </c>
      <c r="F56" s="82" t="s">
        <v>199</v>
      </c>
      <c r="G56" s="116" t="s">
        <v>21</v>
      </c>
      <c r="H56" s="97" t="s">
        <v>216</v>
      </c>
      <c r="I56" s="30">
        <v>32</v>
      </c>
      <c r="J56" s="25">
        <f t="shared" ref="J56:J70" si="10">ROUND((K56-I56)/I56*100,2)</f>
        <v>34.380000000000003</v>
      </c>
      <c r="K56" s="30">
        <v>43</v>
      </c>
    </row>
    <row r="57" spans="1:73" s="25" customFormat="1" ht="30">
      <c r="A57" s="25">
        <v>390</v>
      </c>
      <c r="B57" s="78" t="s">
        <v>172</v>
      </c>
      <c r="C57" s="86" t="s">
        <v>173</v>
      </c>
      <c r="D57" s="25" t="str">
        <f t="shared" si="9"/>
        <v>AC-BA-FU-BL-M</v>
      </c>
      <c r="E57" s="24" t="s">
        <v>175</v>
      </c>
      <c r="F57" s="82" t="s">
        <v>200</v>
      </c>
      <c r="G57" s="116" t="s">
        <v>257</v>
      </c>
      <c r="H57" s="97" t="s">
        <v>216</v>
      </c>
      <c r="I57" s="30">
        <v>45</v>
      </c>
      <c r="J57" s="25">
        <f t="shared" si="10"/>
        <v>33.33</v>
      </c>
      <c r="K57" s="30">
        <v>60</v>
      </c>
    </row>
    <row r="58" spans="1:73" s="25" customFormat="1" ht="51">
      <c r="A58" s="25">
        <v>707</v>
      </c>
      <c r="B58" s="78" t="s">
        <v>172</v>
      </c>
      <c r="C58" s="86" t="s">
        <v>173</v>
      </c>
      <c r="D58" s="25" t="str">
        <f t="shared" si="9"/>
        <v>AC-BA-SL-RE-M</v>
      </c>
      <c r="E58" s="24" t="s">
        <v>176</v>
      </c>
      <c r="F58" s="82" t="s">
        <v>201</v>
      </c>
      <c r="G58" s="116" t="s">
        <v>21</v>
      </c>
      <c r="H58" s="97" t="s">
        <v>216</v>
      </c>
      <c r="I58" s="30">
        <v>21</v>
      </c>
      <c r="J58" s="25">
        <f t="shared" si="10"/>
        <v>66.67</v>
      </c>
      <c r="K58" s="30">
        <v>35</v>
      </c>
    </row>
    <row r="59" spans="1:73" s="25" customFormat="1" ht="51">
      <c r="A59" s="25">
        <v>343</v>
      </c>
      <c r="B59" s="78" t="s">
        <v>172</v>
      </c>
      <c r="C59" s="86" t="s">
        <v>173</v>
      </c>
      <c r="D59" s="25" t="str">
        <f t="shared" si="9"/>
        <v>AC-BA-EL-RE-M</v>
      </c>
      <c r="E59" s="24" t="s">
        <v>177</v>
      </c>
      <c r="F59" s="82" t="s">
        <v>192</v>
      </c>
      <c r="G59" s="116" t="s">
        <v>21</v>
      </c>
      <c r="H59" s="97" t="s">
        <v>216</v>
      </c>
      <c r="I59" s="30">
        <v>38</v>
      </c>
      <c r="J59" s="25">
        <f t="shared" si="10"/>
        <v>31.58</v>
      </c>
      <c r="K59" s="30">
        <v>50</v>
      </c>
    </row>
    <row r="60" spans="1:73" s="25" customFormat="1" ht="51">
      <c r="A60" s="25">
        <v>345</v>
      </c>
      <c r="B60" s="78" t="s">
        <v>172</v>
      </c>
      <c r="C60" s="86" t="s">
        <v>173</v>
      </c>
      <c r="D60" s="25" t="str">
        <f t="shared" si="9"/>
        <v>AC-BA-PR-RE-M</v>
      </c>
      <c r="E60" s="24" t="s">
        <v>178</v>
      </c>
      <c r="F60" s="82" t="s">
        <v>191</v>
      </c>
      <c r="G60" s="116" t="s">
        <v>21</v>
      </c>
      <c r="H60" s="97" t="s">
        <v>216</v>
      </c>
      <c r="I60" s="30">
        <v>60</v>
      </c>
      <c r="J60" s="25">
        <f t="shared" si="10"/>
        <v>25</v>
      </c>
      <c r="K60" s="30">
        <v>75</v>
      </c>
    </row>
    <row r="61" spans="1:73" s="25" customFormat="1" ht="30">
      <c r="A61" s="25">
        <v>765</v>
      </c>
      <c r="B61" s="78" t="s">
        <v>172</v>
      </c>
      <c r="C61" s="86" t="s">
        <v>179</v>
      </c>
      <c r="D61" s="25" t="str">
        <f t="shared" si="9"/>
        <v>AC-BE-GE-BL-35</v>
      </c>
      <c r="E61" s="24" t="s">
        <v>180</v>
      </c>
      <c r="F61" s="82" t="s">
        <v>190</v>
      </c>
      <c r="G61" s="116" t="s">
        <v>184</v>
      </c>
      <c r="H61" s="12">
        <v>35</v>
      </c>
      <c r="I61" s="30">
        <v>25</v>
      </c>
      <c r="J61" s="25">
        <f t="shared" si="10"/>
        <v>80</v>
      </c>
      <c r="K61" s="30">
        <v>45</v>
      </c>
    </row>
    <row r="62" spans="1:73" s="25" customFormat="1" ht="30">
      <c r="A62" s="25">
        <v>445</v>
      </c>
      <c r="B62" s="78" t="s">
        <v>172</v>
      </c>
      <c r="C62" s="86" t="s">
        <v>179</v>
      </c>
      <c r="D62" s="25" t="str">
        <f t="shared" si="9"/>
        <v>AC-BE-WO-BL-35</v>
      </c>
      <c r="E62" s="24" t="s">
        <v>181</v>
      </c>
      <c r="F62" s="82" t="s">
        <v>189</v>
      </c>
      <c r="G62" s="116" t="s">
        <v>184</v>
      </c>
      <c r="H62" s="12">
        <v>35</v>
      </c>
      <c r="I62" s="30">
        <v>20</v>
      </c>
      <c r="J62" s="25">
        <f t="shared" si="10"/>
        <v>50</v>
      </c>
      <c r="K62" s="30">
        <v>30</v>
      </c>
    </row>
    <row r="63" spans="1:73" s="25" customFormat="1" ht="30">
      <c r="A63" s="25">
        <v>200</v>
      </c>
      <c r="B63" s="78" t="s">
        <v>172</v>
      </c>
      <c r="C63" s="86" t="s">
        <v>179</v>
      </c>
      <c r="D63" s="25" t="str">
        <f t="shared" si="9"/>
        <v>AC-BE-BR-BL-35</v>
      </c>
      <c r="E63" s="24" t="s">
        <v>182</v>
      </c>
      <c r="F63" s="82" t="s">
        <v>188</v>
      </c>
      <c r="G63" s="116" t="s">
        <v>184</v>
      </c>
      <c r="H63" s="12">
        <v>35</v>
      </c>
      <c r="I63" s="30">
        <v>20</v>
      </c>
      <c r="J63" s="25">
        <f t="shared" si="10"/>
        <v>65</v>
      </c>
      <c r="K63" s="30">
        <v>33</v>
      </c>
    </row>
    <row r="64" spans="1:73" s="25" customFormat="1" ht="30">
      <c r="A64" s="25">
        <v>230</v>
      </c>
      <c r="B64" s="78" t="s">
        <v>172</v>
      </c>
      <c r="C64" s="86" t="s">
        <v>179</v>
      </c>
      <c r="D64" s="25" t="str">
        <f t="shared" si="9"/>
        <v>AC-BE-SL-BL-35</v>
      </c>
      <c r="E64" s="24" t="s">
        <v>183</v>
      </c>
      <c r="F64" s="82" t="s">
        <v>187</v>
      </c>
      <c r="G64" s="116" t="s">
        <v>184</v>
      </c>
      <c r="H64" s="12">
        <v>35</v>
      </c>
      <c r="I64" s="30">
        <v>23</v>
      </c>
      <c r="J64" s="25">
        <f t="shared" si="10"/>
        <v>73.91</v>
      </c>
      <c r="K64" s="30">
        <v>40</v>
      </c>
    </row>
    <row r="65" spans="1:11" s="25" customFormat="1" ht="30">
      <c r="A65" s="25">
        <v>120</v>
      </c>
      <c r="B65" s="78" t="s">
        <v>172</v>
      </c>
      <c r="C65" s="86" t="s">
        <v>179</v>
      </c>
      <c r="D65" s="25" t="str">
        <f t="shared" si="9"/>
        <v>AC-BE-CA-BL-35</v>
      </c>
      <c r="E65" s="24" t="s">
        <v>185</v>
      </c>
      <c r="F65" s="82" t="s">
        <v>186</v>
      </c>
      <c r="G65" s="116" t="s">
        <v>184</v>
      </c>
      <c r="H65" s="12">
        <v>35</v>
      </c>
      <c r="I65" s="30">
        <v>18</v>
      </c>
      <c r="J65" s="25">
        <f t="shared" si="10"/>
        <v>38.89</v>
      </c>
      <c r="K65" s="30">
        <v>25</v>
      </c>
    </row>
    <row r="66" spans="1:11" s="25" customFormat="1" ht="30">
      <c r="A66" s="25">
        <v>200</v>
      </c>
      <c r="B66" s="78" t="s">
        <v>172</v>
      </c>
      <c r="C66" s="86" t="s">
        <v>202</v>
      </c>
      <c r="D66" s="25" t="str">
        <f t="shared" si="9"/>
        <v>AC-HA-CO-BL-7</v>
      </c>
      <c r="E66" s="24" t="s">
        <v>203</v>
      </c>
      <c r="F66" s="82" t="s">
        <v>212</v>
      </c>
      <c r="G66" s="116" t="s">
        <v>213</v>
      </c>
      <c r="H66" s="97">
        <v>7</v>
      </c>
      <c r="I66" s="30">
        <v>10</v>
      </c>
      <c r="J66" s="25">
        <f t="shared" si="10"/>
        <v>150</v>
      </c>
      <c r="K66" s="30">
        <v>25</v>
      </c>
    </row>
    <row r="67" spans="1:11" s="25" customFormat="1" ht="30">
      <c r="A67" s="25">
        <v>305</v>
      </c>
      <c r="B67" s="78" t="s">
        <v>172</v>
      </c>
      <c r="C67" s="86" t="s">
        <v>202</v>
      </c>
      <c r="D67" s="25" t="str">
        <f t="shared" si="9"/>
        <v>AC-HA-CL-GR-7</v>
      </c>
      <c r="E67" s="24" t="s">
        <v>204</v>
      </c>
      <c r="F67" s="82" t="s">
        <v>211</v>
      </c>
      <c r="G67" s="116" t="s">
        <v>214</v>
      </c>
      <c r="H67" s="97">
        <v>7</v>
      </c>
      <c r="I67" s="30">
        <v>9</v>
      </c>
      <c r="J67" s="25">
        <f t="shared" si="10"/>
        <v>122.22</v>
      </c>
      <c r="K67" s="30">
        <v>20</v>
      </c>
    </row>
    <row r="68" spans="1:11" s="25" customFormat="1" ht="30">
      <c r="A68" s="25">
        <v>103</v>
      </c>
      <c r="B68" s="78" t="s">
        <v>172</v>
      </c>
      <c r="C68" s="86" t="s">
        <v>202</v>
      </c>
      <c r="D68" s="25" t="str">
        <f t="shared" si="9"/>
        <v>AC-HA-RE-BR-7</v>
      </c>
      <c r="E68" s="24" t="s">
        <v>205</v>
      </c>
      <c r="F68" s="82" t="s">
        <v>210</v>
      </c>
      <c r="G68" s="116" t="s">
        <v>215</v>
      </c>
      <c r="H68" s="97">
        <v>7</v>
      </c>
      <c r="I68" s="30">
        <v>15</v>
      </c>
      <c r="J68" s="25">
        <f t="shared" si="10"/>
        <v>100</v>
      </c>
      <c r="K68" s="30">
        <v>30</v>
      </c>
    </row>
    <row r="69" spans="1:11" s="25" customFormat="1" ht="30">
      <c r="A69" s="25">
        <v>200</v>
      </c>
      <c r="B69" s="78" t="s">
        <v>172</v>
      </c>
      <c r="C69" s="86" t="s">
        <v>202</v>
      </c>
      <c r="D69" s="25" t="str">
        <f t="shared" si="9"/>
        <v>AC-HA-WI-BR-7</v>
      </c>
      <c r="E69" s="24" t="s">
        <v>206</v>
      </c>
      <c r="F69" s="82" t="s">
        <v>209</v>
      </c>
      <c r="G69" s="116" t="s">
        <v>215</v>
      </c>
      <c r="H69" s="97">
        <v>7</v>
      </c>
      <c r="I69" s="30">
        <v>21</v>
      </c>
      <c r="J69" s="25">
        <f t="shared" si="10"/>
        <v>66.67</v>
      </c>
      <c r="K69" s="30">
        <v>35</v>
      </c>
    </row>
    <row r="70" spans="1:11" s="25" customFormat="1" ht="30">
      <c r="A70" s="25">
        <v>230</v>
      </c>
      <c r="B70" s="78" t="s">
        <v>172</v>
      </c>
      <c r="C70" s="86" t="s">
        <v>202</v>
      </c>
      <c r="D70" s="25" t="str">
        <f t="shared" si="9"/>
        <v>AC-HA-FE-BL-6</v>
      </c>
      <c r="E70" s="24" t="s">
        <v>207</v>
      </c>
      <c r="F70" s="82" t="s">
        <v>208</v>
      </c>
      <c r="G70" s="116" t="s">
        <v>184</v>
      </c>
      <c r="H70" s="12">
        <v>6</v>
      </c>
      <c r="I70" s="30">
        <v>35</v>
      </c>
      <c r="J70" s="25">
        <f t="shared" si="10"/>
        <v>42.86</v>
      </c>
      <c r="K70" s="30">
        <v>50</v>
      </c>
    </row>
    <row r="71" spans="1:11" s="25" customFormat="1">
      <c r="B71" s="78"/>
      <c r="C71" s="30"/>
      <c r="E71" s="24"/>
      <c r="F71" s="26"/>
      <c r="G71" s="116"/>
      <c r="H71" s="12"/>
      <c r="I71" s="30"/>
      <c r="K71" s="30"/>
    </row>
    <row r="72" spans="1:11" s="32" customFormat="1">
      <c r="C72" s="33"/>
      <c r="F72" s="34"/>
      <c r="G72" s="117"/>
      <c r="H72" s="95"/>
      <c r="J72" s="27"/>
    </row>
    <row r="73" spans="1:11" s="32" customFormat="1">
      <c r="F73" s="34"/>
      <c r="G73" s="117"/>
      <c r="H73" s="95"/>
      <c r="J73" s="27"/>
    </row>
    <row r="74" spans="1:11" s="32" customFormat="1" ht="15.75">
      <c r="B74" s="51"/>
      <c r="F74" s="34"/>
      <c r="G74" s="117"/>
      <c r="H74" s="95"/>
      <c r="J74" s="27"/>
    </row>
    <row r="75" spans="1:11" s="32" customFormat="1" ht="15.75">
      <c r="A75" s="55"/>
      <c r="E75" s="34"/>
      <c r="G75" s="117"/>
      <c r="H75" s="95"/>
      <c r="I75" s="27"/>
    </row>
    <row r="76" spans="1:11" s="25" customFormat="1">
      <c r="F76" s="26"/>
      <c r="G76" s="116"/>
      <c r="H76" s="12"/>
      <c r="I76" s="30"/>
      <c r="K76" s="30"/>
    </row>
    <row r="77" spans="1:11" s="25" customFormat="1">
      <c r="F77" s="26"/>
      <c r="G77" s="116"/>
      <c r="H77" s="12"/>
      <c r="I77" s="30"/>
      <c r="K77" s="30"/>
    </row>
    <row r="78" spans="1:11" s="32" customFormat="1">
      <c r="F78" s="34"/>
      <c r="G78" s="117"/>
      <c r="H78" s="95"/>
    </row>
    <row r="79" spans="1:11" s="32" customFormat="1">
      <c r="F79" s="34"/>
      <c r="G79" s="117"/>
      <c r="H79" s="95"/>
    </row>
    <row r="80" spans="1:11" s="32" customFormat="1">
      <c r="F80" s="34"/>
      <c r="G80" s="117"/>
      <c r="H80" s="95"/>
    </row>
    <row r="81" spans="6:8" s="32" customFormat="1">
      <c r="F81" s="34"/>
      <c r="G81" s="117"/>
      <c r="H81" s="95"/>
    </row>
    <row r="82" spans="6:8" s="32" customFormat="1">
      <c r="F82" s="34"/>
      <c r="G82" s="117"/>
      <c r="H82" s="95"/>
    </row>
    <row r="83" spans="6:8" s="32" customFormat="1">
      <c r="F83" s="34"/>
      <c r="G83" s="117"/>
      <c r="H83" s="95"/>
    </row>
    <row r="84" spans="6:8" s="32" customFormat="1">
      <c r="F84" s="34"/>
      <c r="G84" s="117"/>
      <c r="H84" s="95"/>
    </row>
    <row r="85" spans="6:8" s="32" customFormat="1">
      <c r="F85" s="34"/>
      <c r="G85" s="117"/>
      <c r="H85" s="95"/>
    </row>
    <row r="86" spans="6:8" s="32" customFormat="1">
      <c r="F86" s="34"/>
      <c r="G86" s="117"/>
      <c r="H86" s="95"/>
    </row>
    <row r="87" spans="6:8" s="32" customFormat="1">
      <c r="F87" s="34"/>
      <c r="G87" s="117"/>
      <c r="H87" s="95"/>
    </row>
    <row r="88" spans="6:8" s="32" customFormat="1">
      <c r="F88" s="34"/>
      <c r="G88" s="117"/>
      <c r="H88" s="95"/>
    </row>
    <row r="89" spans="6:8" s="32" customFormat="1">
      <c r="F89" s="34"/>
      <c r="G89" s="117"/>
      <c r="H89" s="95"/>
    </row>
    <row r="90" spans="6:8" s="32" customFormat="1">
      <c r="F90" s="34"/>
      <c r="G90" s="117"/>
      <c r="H90" s="95"/>
    </row>
    <row r="91" spans="6:8" s="32" customFormat="1">
      <c r="F91" s="34"/>
      <c r="G91" s="117"/>
      <c r="H91" s="95"/>
    </row>
    <row r="92" spans="6:8" s="32" customFormat="1">
      <c r="F92" s="34"/>
      <c r="G92" s="117"/>
      <c r="H92" s="95"/>
    </row>
    <row r="93" spans="6:8" s="32" customFormat="1">
      <c r="F93" s="34"/>
      <c r="G93" s="117"/>
      <c r="H93" s="95"/>
    </row>
    <row r="94" spans="6:8" s="32" customFormat="1">
      <c r="F94" s="34"/>
      <c r="G94" s="117"/>
      <c r="H94" s="95"/>
    </row>
    <row r="95" spans="6:8" s="32" customFormat="1">
      <c r="F95" s="34"/>
      <c r="G95" s="117"/>
      <c r="H95" s="95"/>
    </row>
    <row r="96" spans="6:8" s="32" customFormat="1">
      <c r="F96" s="34"/>
      <c r="G96" s="117"/>
      <c r="H96" s="95"/>
    </row>
    <row r="97" spans="6:8" s="32" customFormat="1">
      <c r="F97" s="34"/>
      <c r="G97" s="117"/>
      <c r="H97" s="95"/>
    </row>
    <row r="98" spans="6:8" s="32" customFormat="1">
      <c r="F98" s="34"/>
      <c r="G98" s="117"/>
      <c r="H98" s="95"/>
    </row>
    <row r="99" spans="6:8" s="32" customFormat="1">
      <c r="F99" s="34"/>
      <c r="G99" s="117"/>
      <c r="H99" s="95"/>
    </row>
    <row r="100" spans="6:8" s="32" customFormat="1">
      <c r="F100" s="34"/>
      <c r="G100" s="117"/>
      <c r="H100" s="95"/>
    </row>
    <row r="101" spans="6:8" s="32" customFormat="1">
      <c r="F101" s="34"/>
      <c r="G101" s="117"/>
      <c r="H101" s="95"/>
    </row>
    <row r="102" spans="6:8" s="32" customFormat="1">
      <c r="F102" s="34"/>
      <c r="G102" s="117"/>
      <c r="H102" s="95"/>
    </row>
    <row r="103" spans="6:8" s="32" customFormat="1">
      <c r="F103" s="34"/>
      <c r="G103" s="117"/>
      <c r="H103" s="95"/>
    </row>
    <row r="104" spans="6:8" s="32" customFormat="1">
      <c r="F104" s="34"/>
      <c r="G104" s="117"/>
      <c r="H104" s="95"/>
    </row>
    <row r="105" spans="6:8" s="32" customFormat="1">
      <c r="F105" s="34"/>
      <c r="G105" s="117"/>
      <c r="H105" s="95"/>
    </row>
    <row r="106" spans="6:8" s="32" customFormat="1">
      <c r="F106" s="34"/>
      <c r="G106" s="117"/>
      <c r="H106" s="95"/>
    </row>
    <row r="107" spans="6:8" s="32" customFormat="1">
      <c r="F107" s="34"/>
      <c r="G107" s="117"/>
      <c r="H107" s="95"/>
    </row>
    <row r="108" spans="6:8" s="32" customFormat="1">
      <c r="F108" s="34"/>
      <c r="G108" s="117"/>
      <c r="H108" s="95"/>
    </row>
    <row r="109" spans="6:8" s="32" customFormat="1">
      <c r="F109" s="34"/>
      <c r="G109" s="117"/>
      <c r="H109" s="95"/>
    </row>
    <row r="110" spans="6:8" s="32" customFormat="1">
      <c r="F110" s="34"/>
      <c r="G110" s="117"/>
      <c r="H110" s="95"/>
    </row>
    <row r="111" spans="6:8" s="32" customFormat="1">
      <c r="F111" s="34"/>
      <c r="G111" s="117"/>
      <c r="H111" s="95"/>
    </row>
    <row r="112" spans="6:8" s="32" customFormat="1">
      <c r="F112" s="34"/>
      <c r="G112" s="117"/>
      <c r="H112" s="95"/>
    </row>
    <row r="113" spans="6:8" s="32" customFormat="1">
      <c r="F113" s="34"/>
      <c r="G113" s="117"/>
      <c r="H113" s="95"/>
    </row>
    <row r="114" spans="6:8" s="32" customFormat="1">
      <c r="F114" s="34"/>
      <c r="G114" s="117"/>
      <c r="H114" s="95"/>
    </row>
    <row r="115" spans="6:8" s="32" customFormat="1">
      <c r="F115" s="34"/>
      <c r="G115" s="117"/>
      <c r="H115" s="95"/>
    </row>
    <row r="116" spans="6:8" s="32" customFormat="1">
      <c r="F116" s="34"/>
      <c r="G116" s="117"/>
      <c r="H116" s="95"/>
    </row>
    <row r="117" spans="6:8" s="32" customFormat="1">
      <c r="F117" s="34"/>
      <c r="G117" s="117"/>
      <c r="H117" s="95"/>
    </row>
    <row r="118" spans="6:8" s="32" customFormat="1">
      <c r="F118" s="34"/>
      <c r="G118" s="117"/>
      <c r="H118" s="95"/>
    </row>
    <row r="119" spans="6:8" s="32" customFormat="1">
      <c r="F119" s="34"/>
      <c r="G119" s="117"/>
      <c r="H119" s="95"/>
    </row>
    <row r="120" spans="6:8" s="32" customFormat="1">
      <c r="F120" s="34"/>
      <c r="G120" s="117"/>
      <c r="H120" s="95"/>
    </row>
    <row r="121" spans="6:8" s="32" customFormat="1">
      <c r="F121" s="34"/>
      <c r="G121" s="117"/>
      <c r="H121" s="95"/>
    </row>
    <row r="122" spans="6:8" s="32" customFormat="1">
      <c r="F122" s="34"/>
      <c r="G122" s="117"/>
      <c r="H122" s="95"/>
    </row>
    <row r="123" spans="6:8" s="32" customFormat="1">
      <c r="F123" s="34"/>
      <c r="G123" s="117"/>
      <c r="H123" s="95"/>
    </row>
    <row r="124" spans="6:8" s="32" customFormat="1">
      <c r="F124" s="34"/>
      <c r="G124" s="117"/>
      <c r="H124" s="95"/>
    </row>
    <row r="125" spans="6:8" s="32" customFormat="1">
      <c r="F125" s="34"/>
      <c r="G125" s="117"/>
      <c r="H125" s="95"/>
    </row>
    <row r="126" spans="6:8" s="32" customFormat="1">
      <c r="F126" s="34"/>
      <c r="G126" s="117"/>
      <c r="H126" s="95"/>
    </row>
    <row r="127" spans="6:8" s="32" customFormat="1">
      <c r="F127" s="34"/>
      <c r="G127" s="117"/>
      <c r="H127" s="95"/>
    </row>
    <row r="128" spans="6:8" s="32" customFormat="1">
      <c r="F128" s="34"/>
      <c r="G128" s="117"/>
      <c r="H128" s="95"/>
    </row>
    <row r="129" spans="6:8" s="32" customFormat="1">
      <c r="F129" s="34"/>
      <c r="G129" s="117"/>
      <c r="H129" s="95"/>
    </row>
    <row r="130" spans="6:8" s="32" customFormat="1">
      <c r="F130" s="34"/>
      <c r="G130" s="117"/>
      <c r="H130" s="95"/>
    </row>
    <row r="131" spans="6:8" s="32" customFormat="1">
      <c r="F131" s="34"/>
      <c r="G131" s="117"/>
      <c r="H131" s="95"/>
    </row>
    <row r="132" spans="6:8" s="32" customFormat="1">
      <c r="F132" s="34"/>
      <c r="G132" s="117"/>
      <c r="H132" s="95"/>
    </row>
    <row r="133" spans="6:8" s="32" customFormat="1">
      <c r="F133" s="34"/>
      <c r="G133" s="117"/>
      <c r="H133" s="95"/>
    </row>
    <row r="134" spans="6:8" s="32" customFormat="1">
      <c r="F134" s="34"/>
      <c r="G134" s="117"/>
      <c r="H134" s="95"/>
    </row>
    <row r="135" spans="6:8" s="32" customFormat="1">
      <c r="F135" s="34"/>
      <c r="G135" s="117"/>
      <c r="H135" s="95"/>
    </row>
    <row r="136" spans="6:8" s="32" customFormat="1">
      <c r="F136" s="34"/>
      <c r="G136" s="117"/>
      <c r="H136" s="95"/>
    </row>
    <row r="137" spans="6:8" s="32" customFormat="1">
      <c r="F137" s="34"/>
      <c r="G137" s="117"/>
      <c r="H137" s="95"/>
    </row>
    <row r="138" spans="6:8" s="32" customFormat="1">
      <c r="F138" s="34"/>
      <c r="G138" s="117"/>
      <c r="H138" s="95"/>
    </row>
    <row r="139" spans="6:8" s="32" customFormat="1">
      <c r="F139" s="34"/>
      <c r="G139" s="117"/>
      <c r="H139" s="95"/>
    </row>
    <row r="140" spans="6:8" s="32" customFormat="1">
      <c r="F140" s="34"/>
      <c r="G140" s="117"/>
      <c r="H140" s="95"/>
    </row>
    <row r="141" spans="6:8" s="32" customFormat="1">
      <c r="F141" s="34"/>
      <c r="G141" s="117"/>
      <c r="H141" s="95"/>
    </row>
    <row r="142" spans="6:8" s="32" customFormat="1">
      <c r="F142" s="34"/>
      <c r="G142" s="117"/>
      <c r="H142" s="95"/>
    </row>
    <row r="143" spans="6:8" s="32" customFormat="1">
      <c r="F143" s="34"/>
      <c r="G143" s="117"/>
      <c r="H143" s="95"/>
    </row>
    <row r="144" spans="6:8" s="32" customFormat="1">
      <c r="F144" s="34"/>
      <c r="G144" s="117"/>
      <c r="H144" s="95"/>
    </row>
    <row r="145" spans="6:8" s="32" customFormat="1">
      <c r="F145" s="34"/>
      <c r="G145" s="117"/>
      <c r="H145" s="95"/>
    </row>
    <row r="146" spans="6:8" s="32" customFormat="1">
      <c r="F146" s="34"/>
      <c r="G146" s="117"/>
      <c r="H146" s="95"/>
    </row>
    <row r="147" spans="6:8" s="32" customFormat="1">
      <c r="F147" s="34"/>
      <c r="G147" s="117"/>
      <c r="H147" s="95"/>
    </row>
    <row r="148" spans="6:8" s="32" customFormat="1">
      <c r="F148" s="34"/>
      <c r="G148" s="117"/>
      <c r="H148" s="95"/>
    </row>
    <row r="149" spans="6:8" s="32" customFormat="1">
      <c r="F149" s="34"/>
      <c r="G149" s="117"/>
      <c r="H149" s="95"/>
    </row>
    <row r="150" spans="6:8" s="32" customFormat="1">
      <c r="F150" s="34"/>
      <c r="G150" s="117"/>
      <c r="H150" s="95"/>
    </row>
    <row r="151" spans="6:8" s="32" customFormat="1">
      <c r="F151" s="34"/>
      <c r="G151" s="117"/>
      <c r="H151" s="95"/>
    </row>
    <row r="152" spans="6:8" s="32" customFormat="1">
      <c r="F152" s="34"/>
      <c r="G152" s="117"/>
      <c r="H152" s="95"/>
    </row>
    <row r="153" spans="6:8" s="32" customFormat="1">
      <c r="F153" s="34"/>
      <c r="G153" s="117"/>
      <c r="H153" s="95"/>
    </row>
    <row r="154" spans="6:8" s="32" customFormat="1">
      <c r="F154" s="34"/>
      <c r="G154" s="117"/>
      <c r="H154" s="95"/>
    </row>
    <row r="155" spans="6:8" s="32" customFormat="1">
      <c r="F155" s="34"/>
      <c r="G155" s="117"/>
      <c r="H155" s="95"/>
    </row>
    <row r="156" spans="6:8" s="32" customFormat="1">
      <c r="F156" s="34"/>
      <c r="G156" s="117"/>
      <c r="H156" s="95"/>
    </row>
    <row r="157" spans="6:8" s="32" customFormat="1">
      <c r="F157" s="34"/>
      <c r="G157" s="117"/>
      <c r="H157" s="95"/>
    </row>
    <row r="158" spans="6:8" s="32" customFormat="1">
      <c r="F158" s="34"/>
      <c r="G158" s="117"/>
      <c r="H158" s="95"/>
    </row>
    <row r="159" spans="6:8" s="32" customFormat="1">
      <c r="F159" s="34"/>
      <c r="G159" s="117"/>
      <c r="H159" s="95"/>
    </row>
    <row r="160" spans="6:8" s="32" customFormat="1">
      <c r="F160" s="34"/>
      <c r="G160" s="117"/>
      <c r="H160" s="95"/>
    </row>
    <row r="161" spans="6:8" s="32" customFormat="1">
      <c r="F161" s="34"/>
      <c r="G161" s="117"/>
      <c r="H161" s="95"/>
    </row>
    <row r="162" spans="6:8" s="32" customFormat="1">
      <c r="F162" s="34"/>
      <c r="G162" s="117"/>
      <c r="H162" s="95"/>
    </row>
    <row r="163" spans="6:8" s="32" customFormat="1">
      <c r="F163" s="34"/>
      <c r="G163" s="117"/>
      <c r="H163" s="95"/>
    </row>
    <row r="164" spans="6:8" s="32" customFormat="1">
      <c r="F164" s="34"/>
      <c r="G164" s="117"/>
      <c r="H164" s="95"/>
    </row>
    <row r="165" spans="6:8" s="32" customFormat="1">
      <c r="F165" s="34"/>
      <c r="G165" s="117"/>
      <c r="H165" s="95"/>
    </row>
    <row r="166" spans="6:8" s="32" customFormat="1">
      <c r="F166" s="34"/>
      <c r="G166" s="117"/>
      <c r="H166" s="95"/>
    </row>
    <row r="167" spans="6:8" s="32" customFormat="1">
      <c r="F167" s="34"/>
      <c r="G167" s="117"/>
      <c r="H167" s="95"/>
    </row>
    <row r="168" spans="6:8" s="32" customFormat="1">
      <c r="F168" s="34"/>
      <c r="G168" s="117"/>
      <c r="H168" s="95"/>
    </row>
    <row r="169" spans="6:8" s="32" customFormat="1">
      <c r="F169" s="34"/>
      <c r="G169" s="117"/>
      <c r="H169" s="95"/>
    </row>
    <row r="170" spans="6:8" s="32" customFormat="1">
      <c r="F170" s="34"/>
      <c r="G170" s="117"/>
      <c r="H170" s="95"/>
    </row>
    <row r="171" spans="6:8" s="32" customFormat="1">
      <c r="F171" s="34"/>
      <c r="G171" s="117"/>
      <c r="H171" s="95"/>
    </row>
    <row r="172" spans="6:8" s="32" customFormat="1">
      <c r="F172" s="34"/>
      <c r="G172" s="117"/>
      <c r="H172" s="95"/>
    </row>
    <row r="173" spans="6:8" s="32" customFormat="1">
      <c r="F173" s="34"/>
      <c r="G173" s="117"/>
      <c r="H173" s="95"/>
    </row>
    <row r="174" spans="6:8" s="32" customFormat="1">
      <c r="F174" s="34"/>
      <c r="G174" s="117"/>
      <c r="H174" s="95"/>
    </row>
    <row r="175" spans="6:8" s="32" customFormat="1">
      <c r="F175" s="34"/>
      <c r="G175" s="117"/>
      <c r="H175" s="95"/>
    </row>
    <row r="176" spans="6:8" s="32" customFormat="1">
      <c r="F176" s="34"/>
      <c r="G176" s="117"/>
      <c r="H176" s="95"/>
    </row>
    <row r="177" spans="6:8" s="32" customFormat="1">
      <c r="F177" s="34"/>
      <c r="G177" s="117"/>
      <c r="H177" s="95"/>
    </row>
    <row r="178" spans="6:8" s="32" customFormat="1">
      <c r="F178" s="34"/>
      <c r="G178" s="117"/>
      <c r="H178" s="95"/>
    </row>
    <row r="179" spans="6:8" s="32" customFormat="1">
      <c r="F179" s="34"/>
      <c r="G179" s="117"/>
      <c r="H179" s="95"/>
    </row>
    <row r="180" spans="6:8" s="32" customFormat="1">
      <c r="F180" s="34"/>
      <c r="G180" s="117"/>
      <c r="H180" s="95"/>
    </row>
    <row r="181" spans="6:8" s="32" customFormat="1">
      <c r="F181" s="34"/>
      <c r="G181" s="117"/>
      <c r="H181" s="95"/>
    </row>
    <row r="182" spans="6:8" s="32" customFormat="1">
      <c r="F182" s="34"/>
      <c r="G182" s="117"/>
      <c r="H182" s="95"/>
    </row>
    <row r="183" spans="6:8" s="32" customFormat="1">
      <c r="F183" s="34"/>
      <c r="G183" s="117"/>
      <c r="H183" s="95"/>
    </row>
    <row r="184" spans="6:8" s="32" customFormat="1">
      <c r="F184" s="34"/>
      <c r="G184" s="117"/>
      <c r="H184" s="95"/>
    </row>
    <row r="185" spans="6:8" s="32" customFormat="1">
      <c r="F185" s="34"/>
      <c r="G185" s="117"/>
      <c r="H185" s="95"/>
    </row>
    <row r="186" spans="6:8" s="32" customFormat="1">
      <c r="F186" s="34"/>
      <c r="G186" s="117"/>
      <c r="H186" s="95"/>
    </row>
    <row r="187" spans="6:8" s="32" customFormat="1">
      <c r="F187" s="34"/>
      <c r="G187" s="117"/>
      <c r="H187" s="95"/>
    </row>
    <row r="188" spans="6:8" s="32" customFormat="1">
      <c r="F188" s="34"/>
      <c r="G188" s="117"/>
      <c r="H188" s="95"/>
    </row>
    <row r="189" spans="6:8" s="32" customFormat="1">
      <c r="F189" s="34"/>
      <c r="G189" s="117"/>
      <c r="H189" s="95"/>
    </row>
    <row r="190" spans="6:8" s="32" customFormat="1">
      <c r="F190" s="34"/>
      <c r="G190" s="117"/>
      <c r="H190" s="95"/>
    </row>
    <row r="191" spans="6:8" s="32" customFormat="1">
      <c r="F191" s="34"/>
      <c r="G191" s="117"/>
      <c r="H191" s="95"/>
    </row>
    <row r="192" spans="6:8" s="32" customFormat="1">
      <c r="F192" s="34"/>
      <c r="G192" s="117"/>
      <c r="H192" s="95"/>
    </row>
    <row r="193" spans="6:8" s="32" customFormat="1">
      <c r="F193" s="34"/>
      <c r="G193" s="117"/>
      <c r="H193" s="95"/>
    </row>
    <row r="194" spans="6:8" s="32" customFormat="1">
      <c r="F194" s="34"/>
      <c r="G194" s="117"/>
      <c r="H194" s="95"/>
    </row>
    <row r="195" spans="6:8" s="32" customFormat="1">
      <c r="F195" s="34"/>
      <c r="G195" s="117"/>
      <c r="H195" s="95"/>
    </row>
    <row r="196" spans="6:8" s="32" customFormat="1">
      <c r="F196" s="34"/>
      <c r="G196" s="117"/>
      <c r="H196" s="95"/>
    </row>
    <row r="197" spans="6:8" s="32" customFormat="1">
      <c r="F197" s="34"/>
      <c r="G197" s="117"/>
      <c r="H197" s="95"/>
    </row>
    <row r="198" spans="6:8" s="32" customFormat="1">
      <c r="F198" s="34"/>
      <c r="G198" s="117"/>
      <c r="H198" s="95"/>
    </row>
    <row r="199" spans="6:8" s="32" customFormat="1">
      <c r="F199" s="34"/>
      <c r="G199" s="117"/>
      <c r="H199" s="95"/>
    </row>
    <row r="200" spans="6:8" s="32" customFormat="1">
      <c r="F200" s="34"/>
      <c r="G200" s="117"/>
      <c r="H200" s="95"/>
    </row>
    <row r="201" spans="6:8" s="32" customFormat="1">
      <c r="F201" s="34"/>
      <c r="G201" s="117"/>
      <c r="H201" s="95"/>
    </row>
    <row r="202" spans="6:8" s="32" customFormat="1">
      <c r="F202" s="34"/>
      <c r="G202" s="117"/>
      <c r="H202" s="95"/>
    </row>
    <row r="203" spans="6:8" s="32" customFormat="1">
      <c r="F203" s="34"/>
      <c r="G203" s="117"/>
      <c r="H203" s="95"/>
    </row>
    <row r="204" spans="6:8" s="32" customFormat="1">
      <c r="F204" s="34"/>
      <c r="G204" s="117"/>
      <c r="H204" s="95"/>
    </row>
    <row r="205" spans="6:8" s="32" customFormat="1">
      <c r="F205" s="34"/>
      <c r="G205" s="117"/>
      <c r="H205" s="95"/>
    </row>
    <row r="206" spans="6:8" s="32" customFormat="1">
      <c r="F206" s="34"/>
      <c r="G206" s="117"/>
      <c r="H206" s="95"/>
    </row>
    <row r="207" spans="6:8" s="32" customFormat="1">
      <c r="F207" s="34"/>
      <c r="G207" s="117"/>
      <c r="H207" s="95"/>
    </row>
    <row r="208" spans="6:8" s="32" customFormat="1">
      <c r="F208" s="34"/>
      <c r="G208" s="117"/>
      <c r="H208" s="95"/>
    </row>
    <row r="209" spans="6:8" s="32" customFormat="1">
      <c r="F209" s="34"/>
      <c r="G209" s="117"/>
      <c r="H209" s="95"/>
    </row>
    <row r="210" spans="6:8" s="32" customFormat="1">
      <c r="F210" s="34"/>
      <c r="G210" s="117"/>
      <c r="H210" s="95"/>
    </row>
    <row r="211" spans="6:8" s="32" customFormat="1">
      <c r="F211" s="34"/>
      <c r="G211" s="117"/>
      <c r="H211" s="95"/>
    </row>
    <row r="212" spans="6:8" s="32" customFormat="1">
      <c r="F212" s="34"/>
      <c r="G212" s="117"/>
      <c r="H212" s="95"/>
    </row>
    <row r="213" spans="6:8" s="32" customFormat="1">
      <c r="F213" s="34"/>
      <c r="G213" s="117"/>
      <c r="H213" s="95"/>
    </row>
    <row r="214" spans="6:8" s="32" customFormat="1">
      <c r="F214" s="34"/>
      <c r="G214" s="117"/>
      <c r="H214" s="95"/>
    </row>
    <row r="215" spans="6:8" s="32" customFormat="1">
      <c r="F215" s="34"/>
      <c r="G215" s="117"/>
      <c r="H215" s="95"/>
    </row>
    <row r="216" spans="6:8" s="32" customFormat="1">
      <c r="F216" s="34"/>
      <c r="G216" s="117"/>
      <c r="H216" s="95"/>
    </row>
    <row r="217" spans="6:8" s="32" customFormat="1">
      <c r="F217" s="34"/>
      <c r="G217" s="117"/>
      <c r="H217" s="95"/>
    </row>
    <row r="218" spans="6:8" s="32" customFormat="1">
      <c r="F218" s="34"/>
      <c r="G218" s="117"/>
      <c r="H218" s="95"/>
    </row>
    <row r="219" spans="6:8" s="32" customFormat="1">
      <c r="F219" s="34"/>
      <c r="G219" s="117"/>
      <c r="H219" s="95"/>
    </row>
    <row r="220" spans="6:8" s="32" customFormat="1">
      <c r="F220" s="34"/>
      <c r="G220" s="117"/>
      <c r="H220" s="95"/>
    </row>
    <row r="221" spans="6:8" s="32" customFormat="1">
      <c r="F221" s="34"/>
      <c r="G221" s="117"/>
      <c r="H221" s="95"/>
    </row>
    <row r="222" spans="6:8" s="32" customFormat="1">
      <c r="F222" s="34"/>
      <c r="G222" s="117"/>
      <c r="H222" s="95"/>
    </row>
    <row r="223" spans="6:8" s="32" customFormat="1">
      <c r="F223" s="34"/>
      <c r="G223" s="117"/>
      <c r="H223" s="95"/>
    </row>
    <row r="224" spans="6:8" s="32" customFormat="1">
      <c r="F224" s="34"/>
      <c r="G224" s="117"/>
      <c r="H224" s="95"/>
    </row>
    <row r="225" spans="6:8" s="32" customFormat="1">
      <c r="F225" s="34"/>
      <c r="G225" s="117"/>
      <c r="H225" s="95"/>
    </row>
    <row r="226" spans="6:8" s="32" customFormat="1">
      <c r="F226" s="34"/>
      <c r="G226" s="117"/>
      <c r="H226" s="95"/>
    </row>
    <row r="227" spans="6:8" s="32" customFormat="1">
      <c r="F227" s="34"/>
      <c r="G227" s="117"/>
      <c r="H227" s="95"/>
    </row>
    <row r="228" spans="6:8" s="32" customFormat="1">
      <c r="F228" s="34"/>
      <c r="G228" s="117"/>
      <c r="H228" s="95"/>
    </row>
    <row r="229" spans="6:8" s="32" customFormat="1">
      <c r="F229" s="34"/>
      <c r="G229" s="117"/>
      <c r="H229" s="95"/>
    </row>
    <row r="230" spans="6:8" s="32" customFormat="1">
      <c r="F230" s="34"/>
      <c r="G230" s="117"/>
      <c r="H230" s="95"/>
    </row>
    <row r="231" spans="6:8" s="32" customFormat="1">
      <c r="F231" s="34"/>
      <c r="G231" s="117"/>
      <c r="H231" s="95"/>
    </row>
    <row r="232" spans="6:8" s="32" customFormat="1">
      <c r="F232" s="34"/>
      <c r="G232" s="117"/>
      <c r="H232" s="95"/>
    </row>
    <row r="233" spans="6:8" s="32" customFormat="1">
      <c r="F233" s="34"/>
      <c r="G233" s="117"/>
      <c r="H233" s="95"/>
    </row>
    <row r="234" spans="6:8" s="32" customFormat="1">
      <c r="F234" s="34"/>
      <c r="G234" s="117"/>
      <c r="H234" s="95"/>
    </row>
    <row r="235" spans="6:8" s="32" customFormat="1">
      <c r="F235" s="34"/>
      <c r="G235" s="117"/>
      <c r="H235" s="95"/>
    </row>
    <row r="236" spans="6:8" s="32" customFormat="1">
      <c r="F236" s="34"/>
      <c r="G236" s="117"/>
      <c r="H236" s="95"/>
    </row>
    <row r="237" spans="6:8" s="32" customFormat="1">
      <c r="F237" s="34"/>
      <c r="G237" s="117"/>
      <c r="H237" s="95"/>
    </row>
    <row r="238" spans="6:8" s="32" customFormat="1">
      <c r="F238" s="34"/>
      <c r="G238" s="117"/>
      <c r="H238" s="95"/>
    </row>
    <row r="239" spans="6:8" s="32" customFormat="1">
      <c r="F239" s="34"/>
      <c r="G239" s="117"/>
      <c r="H239" s="95"/>
    </row>
    <row r="240" spans="6:8" s="32" customFormat="1">
      <c r="F240" s="34"/>
      <c r="G240" s="117"/>
      <c r="H240" s="95"/>
    </row>
    <row r="241" spans="6:8" s="32" customFormat="1">
      <c r="F241" s="34"/>
      <c r="G241" s="117"/>
      <c r="H241" s="95"/>
    </row>
    <row r="242" spans="6:8" s="32" customFormat="1">
      <c r="F242" s="34"/>
      <c r="G242" s="117"/>
      <c r="H242" s="95"/>
    </row>
    <row r="243" spans="6:8" s="32" customFormat="1">
      <c r="F243" s="34"/>
      <c r="G243" s="117"/>
      <c r="H243" s="95"/>
    </row>
  </sheetData>
  <mergeCells count="1">
    <mergeCell ref="A1:XF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79"/>
  <sheetViews>
    <sheetView tabSelected="1" topLeftCell="F1" zoomScale="63" workbookViewId="0">
      <selection activeCell="K7" sqref="K7"/>
    </sheetView>
  </sheetViews>
  <sheetFormatPr defaultColWidth="8.85546875" defaultRowHeight="15"/>
  <cols>
    <col min="1" max="1" width="20.28515625" style="15" customWidth="1"/>
    <col min="2" max="2" width="25.7109375" style="15" customWidth="1"/>
    <col min="3" max="3" width="14.42578125" style="15" customWidth="1"/>
    <col min="4" max="4" width="16.42578125" style="15" customWidth="1"/>
    <col min="5" max="5" width="46.28515625" style="16" customWidth="1"/>
    <col min="6" max="6" width="18.42578125" style="15" customWidth="1"/>
    <col min="7" max="7" width="13.28515625" style="90" customWidth="1"/>
    <col min="8" max="8" width="20.7109375" style="15" customWidth="1"/>
    <col min="9" max="9" width="19.42578125" style="59" customWidth="1"/>
    <col min="10" max="10" width="35" style="59" bestFit="1" customWidth="1"/>
    <col min="11" max="11" width="15.7109375" style="59" customWidth="1"/>
    <col min="12" max="12" width="40.5703125" style="15" bestFit="1" customWidth="1"/>
    <col min="13" max="13" width="22.140625" style="15" customWidth="1"/>
    <col min="14" max="14" width="27" style="15" bestFit="1" customWidth="1"/>
    <col min="15" max="15" width="16.7109375" style="15" bestFit="1" customWidth="1"/>
    <col min="16" max="16" width="26.85546875" style="15" bestFit="1" customWidth="1"/>
    <col min="17" max="17" width="15.5703125" style="15" bestFit="1" customWidth="1"/>
    <col min="18" max="18" width="36" style="15" bestFit="1" customWidth="1"/>
    <col min="19" max="19" width="17" style="15" bestFit="1" customWidth="1"/>
    <col min="20" max="20" width="40.5703125" style="15" bestFit="1" customWidth="1"/>
    <col min="21" max="21" width="17" style="15" bestFit="1" customWidth="1"/>
    <col min="22" max="22" width="40.5703125" style="15" bestFit="1" customWidth="1"/>
    <col min="23" max="23" width="17" style="15" bestFit="1" customWidth="1"/>
    <col min="24" max="24" width="40.5703125" style="15" bestFit="1" customWidth="1"/>
    <col min="25" max="25" width="17" style="15" bestFit="1" customWidth="1"/>
    <col min="26" max="16384" width="8.85546875" style="15"/>
  </cols>
  <sheetData>
    <row r="1" spans="1:26" s="123" customFormat="1" ht="14.45" customHeight="1">
      <c r="A1" s="123" t="s">
        <v>30</v>
      </c>
    </row>
    <row r="2" spans="1:26" s="123" customFormat="1" ht="14.45" customHeight="1"/>
    <row r="3" spans="1:26" s="123" customFormat="1" ht="14.45" customHeight="1"/>
    <row r="4" spans="1:26" ht="14.45" customHeight="1">
      <c r="J4" s="124" t="s">
        <v>31</v>
      </c>
      <c r="K4" s="124"/>
      <c r="L4" s="124"/>
      <c r="M4" s="124"/>
      <c r="N4" s="124"/>
      <c r="O4" s="124"/>
      <c r="P4" s="124"/>
      <c r="Q4" s="124"/>
    </row>
    <row r="5" spans="1:26" ht="14.45" customHeight="1">
      <c r="J5" s="124"/>
      <c r="K5" s="124"/>
      <c r="L5" s="124"/>
      <c r="M5" s="124"/>
      <c r="N5" s="124"/>
      <c r="O5" s="124"/>
      <c r="P5" s="124"/>
      <c r="Q5" s="124"/>
    </row>
    <row r="6" spans="1:26" s="37" customFormat="1" ht="15.75">
      <c r="A6" s="13" t="s">
        <v>5</v>
      </c>
      <c r="B6" s="13" t="s">
        <v>6</v>
      </c>
      <c r="C6" s="13" t="s">
        <v>3</v>
      </c>
      <c r="D6" s="13" t="s">
        <v>4</v>
      </c>
      <c r="E6" s="17" t="s">
        <v>7</v>
      </c>
      <c r="F6" s="13" t="s">
        <v>8</v>
      </c>
      <c r="G6" s="91" t="s">
        <v>9</v>
      </c>
      <c r="H6" s="13" t="s">
        <v>32</v>
      </c>
      <c r="I6" s="18" t="s">
        <v>33</v>
      </c>
      <c r="J6" s="68" t="s">
        <v>34</v>
      </c>
      <c r="K6" s="18" t="s">
        <v>35</v>
      </c>
      <c r="L6" s="62" t="s">
        <v>72</v>
      </c>
      <c r="M6" s="13" t="s">
        <v>36</v>
      </c>
      <c r="N6" s="62" t="s">
        <v>73</v>
      </c>
      <c r="O6" s="62" t="s">
        <v>37</v>
      </c>
      <c r="P6" s="62" t="s">
        <v>74</v>
      </c>
      <c r="Q6" s="62" t="s">
        <v>38</v>
      </c>
      <c r="R6" s="62" t="s">
        <v>77</v>
      </c>
      <c r="S6" s="62" t="s">
        <v>78</v>
      </c>
      <c r="T6" s="62" t="s">
        <v>83</v>
      </c>
      <c r="U6" s="62" t="s">
        <v>84</v>
      </c>
      <c r="V6" s="62" t="s">
        <v>85</v>
      </c>
      <c r="W6" s="62" t="s">
        <v>86</v>
      </c>
      <c r="X6" s="62" t="s">
        <v>87</v>
      </c>
      <c r="Y6" s="62" t="s">
        <v>88</v>
      </c>
    </row>
    <row r="7" spans="1:26" s="27" customFormat="1" ht="45">
      <c r="A7" s="39" t="s">
        <v>99</v>
      </c>
      <c r="B7" s="40" t="str">
        <f>IFERROR(INDEX('REFERENCING &amp; DATABASE'!$E$7:$E$131,MATCH($A7,'REFERENCING &amp; DATABASE'!$D$7:$D$131,0)),"")</f>
        <v>Cozy Comfort Tee</v>
      </c>
      <c r="C7" s="28" t="str">
        <f>IFERROR(INDEX('REFERENCING &amp; DATABASE'!$B$7:$B$131,MATCH($A7,'REFERENCING &amp; DATABASE'!$D$7:$D$131,0)),"")</f>
        <v>TOPS</v>
      </c>
      <c r="D7" s="28" t="str">
        <f>IFERROR(INDEX('REFERENCING &amp; DATABASE'!$C$7:$C$131,MATCH($A7,'REFERENCING &amp; DATABASE'!$D$7:$D$131,0)),"")</f>
        <v>TEES</v>
      </c>
      <c r="E7" s="41" t="str">
        <f>IFERROR(INDEX('REFERENCING &amp; DATABASE'!$F$7:$F$131,MATCH($A7,'REFERENCING &amp; DATABASE'!$D$7:$D$131,0)),"")</f>
        <v xml:space="preserve"> A relaxed-fit tee made from super-soft cotton, perfect for everyday wear. 
</v>
      </c>
      <c r="F7" s="28" t="str">
        <f>IFERROR(INDEX('REFERENCING &amp; DATABASE'!$G$7:$G$131,MATCH($A7,'REFERENCING &amp; DATABASE'!$D$7:$D$131,0)),"")</f>
        <v>Grey,Black,Blue</v>
      </c>
      <c r="G7" s="9">
        <f>IFERROR(INDEX('REFERENCING &amp; DATABASE'!$H$7:$H$131,MATCH($A7,'REFERENCING &amp; DATABASE'!$D$7:$D$131,0)),"")</f>
        <v>58</v>
      </c>
      <c r="H7" s="25">
        <f>IFERROR(INDEX('REFERENCING &amp; DATABASE'!$A$7:$A$131,MATCH($A7,'REFERENCING &amp; DATABASE'!$D$7:$D$131,0)),"")</f>
        <v>450</v>
      </c>
      <c r="I7" s="60">
        <f>H7-SUM($K7,$M7,$O7,$Q7)</f>
        <v>400</v>
      </c>
      <c r="J7" s="60">
        <f>ROUND((($K7/$H7)*100),3)</f>
        <v>11.111000000000001</v>
      </c>
      <c r="K7" s="60">
        <f>SUMIFS('IN STORE SALES RECORD'!$E$6:$E$97,'IN STORE SALES RECORD'!$A$6:$A$97, "WEEK 1",'IN STORE SALES RECORD'!$D$6:$D$97,'WHS STK MGT &amp; ALLOC.'!$A7)+10</f>
        <v>50</v>
      </c>
      <c r="L7" s="60">
        <f>ROUND(($M7/($H7-$K7))*100,3)</f>
        <v>0</v>
      </c>
      <c r="M7" s="60">
        <f>SUMIFS('IN STORE SALES RECORD'!$E$6:$E$97,'IN STORE SALES RECORD'!$A$6:$A$97, "WEEK 6",'IN STORE SALES RECORD'!$D$6:$D$97,'WHS STK MGT &amp; ALLOC.'!$A7)</f>
        <v>0</v>
      </c>
      <c r="N7" s="60">
        <f>ROUND(($O7/($H7-($M7+$K7))*100),3)</f>
        <v>0</v>
      </c>
      <c r="O7" s="60">
        <f>SUMIFS('IN STORE SALES RECORD'!$E$6:$E$97,'IN STORE SALES RECORD'!$A$6:$A$97, "WEEK 6",'IN STORE SALES RECORD'!$D$6:$D$97,'WHS STK MGT &amp; ALLOC.'!$A7)</f>
        <v>0</v>
      </c>
      <c r="P7" s="60">
        <f>ROUND(($Q7/($H7-($M7+$K7+$O7))*100),3)</f>
        <v>0</v>
      </c>
      <c r="Q7" s="60">
        <f>SUMIFS('IN STORE SALES RECORD'!$E$6:$E$97,'IN STORE SALES RECORD'!$A$6:$A$97, "WEEK 6",'IN STORE SALES RECORD'!$D$6:$D$97,'WHS STK MGT &amp; ALLOC.'!$A7)</f>
        <v>0</v>
      </c>
      <c r="R7" s="60">
        <f>ROUND(($S7/($H7-($M7+$K7+$O7+$Q7))*100),3)</f>
        <v>0</v>
      </c>
      <c r="S7" s="60">
        <f>SUMIFS('IN STORE SALES RECORD'!$E$6:$E$97,'IN STORE SALES RECORD'!$A$6:$A$97, "WEEK 6",'IN STORE SALES RECORD'!$D$6:$D$97,'WHS STK MGT &amp; ALLOC.'!$A7)</f>
        <v>0</v>
      </c>
      <c r="T7" s="60">
        <f>ROUND(($U7/($H7-($M7+$K7+$O7+$Q7+$S7))*100),3)</f>
        <v>0</v>
      </c>
      <c r="U7" s="60">
        <f>SUMIFS('IN STORE SALES RECORD'!$E$6:$E$97,'IN STORE SALES RECORD'!$A$6:$A$97, "WEEK 6",'IN STORE SALES RECORD'!$D$6:$D$97,'WHS STK MGT &amp; ALLOC.'!$A7)</f>
        <v>0</v>
      </c>
      <c r="V7" s="60">
        <f>ROUND(($W7/($H7-($M7+$K7+$O7+$Q7+$S7+$U7))*100),3)</f>
        <v>0</v>
      </c>
      <c r="W7" s="60">
        <f>SUMIFS('IN STORE SALES RECORD'!$E$6:$E$97,'IN STORE SALES RECORD'!$A$6:$A$97, "WEEK 6",'IN STORE SALES RECORD'!$D$6:$D$97,'WHS STK MGT &amp; ALLOC.'!$A7)</f>
        <v>0</v>
      </c>
      <c r="X7" s="60">
        <f>ROUND(($Y7/($H7-($M7+$K7+$O7+$Q7+$S7+$U7+$W7))*100),3)</f>
        <v>0</v>
      </c>
      <c r="Y7" s="60">
        <f>SUMIFS('IN STORE SALES RECORD'!$E$6:$E$97,'IN STORE SALES RECORD'!$A$6:$A$97, "WEEK 6",'IN STORE SALES RECORD'!$D$6:$D$97,'WHS STK MGT &amp; ALLOC.'!$A7)</f>
        <v>0</v>
      </c>
      <c r="Z7" s="85"/>
    </row>
    <row r="8" spans="1:26" s="27" customFormat="1" ht="45">
      <c r="A8" s="27" t="s">
        <v>249</v>
      </c>
      <c r="B8" s="40" t="str">
        <f>IFERROR(INDEX('REFERENCING &amp; DATABASE'!$E$7:$E$131,MATCH($A8,'REFERENCING &amp; DATABASE'!$D$7:$D$131,0)),"")</f>
        <v>Graphic Statement Tee</v>
      </c>
      <c r="C8" s="28" t="str">
        <f>IFERROR(INDEX('REFERENCING &amp; DATABASE'!$B$7:$B$131,MATCH($A8,'REFERENCING &amp; DATABASE'!$D$7:$D$131,0)),"")</f>
        <v>TOPS</v>
      </c>
      <c r="D8" s="28" t="str">
        <f>IFERROR(INDEX('REFERENCING &amp; DATABASE'!$C$7:$C$131,MATCH($A8,'REFERENCING &amp; DATABASE'!$D$7:$D$131,0)),"")</f>
        <v>TEES</v>
      </c>
      <c r="E8" s="41" t="str">
        <f>IFERROR(INDEX('REFERENCING &amp; DATABASE'!$F$7:$F$131,MATCH($A8,'REFERENCING &amp; DATABASE'!$D$7:$D$131,0)),"")</f>
        <v xml:space="preserve">
A bold graphic tee that expresses your unique style. </v>
      </c>
      <c r="F8" s="28" t="str">
        <f>IFERROR(INDEX('REFERENCING &amp; DATABASE'!$G$7:$G$131,MATCH($A8,'REFERENCING &amp; DATABASE'!$D$7:$D$131,0)),"")</f>
        <v>Blue,Black,White</v>
      </c>
      <c r="G8" s="9">
        <f>IFERROR(INDEX('REFERENCING &amp; DATABASE'!$H$7:$H$131,MATCH($A8,'REFERENCING &amp; DATABASE'!$D$7:$D$131,0)),"")</f>
        <v>58</v>
      </c>
      <c r="H8" s="25">
        <f>IFERROR(INDEX('REFERENCING &amp; DATABASE'!$A$7:$A$131,MATCH($A8,'REFERENCING &amp; DATABASE'!$D$7:$D$131,0)),"")</f>
        <v>300</v>
      </c>
      <c r="I8" s="60">
        <f t="shared" ref="I8:I14" si="0">H8-SUM($K8,$M8,$O8,$Q8)</f>
        <v>290</v>
      </c>
      <c r="J8" s="60">
        <f t="shared" ref="J8:J14" si="1">ROUND((($K8/$H8)*100),3)</f>
        <v>3.3330000000000002</v>
      </c>
      <c r="K8" s="60">
        <f>SUMIFS('IN STORE SALES RECORD'!$E$6:$E$97,'IN STORE SALES RECORD'!$A$6:$A$97, "WEEK 1",'IN STORE SALES RECORD'!$D$6:$D$97,'WHS STK MGT &amp; ALLOC.'!$A8)+10</f>
        <v>10</v>
      </c>
      <c r="L8" s="60">
        <f t="shared" ref="L8:L14" si="2">ROUND(($M8/($H8-$K8))*100,3)</f>
        <v>0</v>
      </c>
      <c r="M8" s="60">
        <f>SUMIFS('IN STORE SALES RECORD'!$E$6:$E$97,'IN STORE SALES RECORD'!$A$6:$A$97, "WEEK 6",'IN STORE SALES RECORD'!$D$6:$D$97,'WHS STK MGT &amp; ALLOC.'!$A8)</f>
        <v>0</v>
      </c>
      <c r="N8" s="60">
        <f t="shared" ref="N8:N14" si="3">ROUND(($O8/($H8-($M8+$K8))*100),3)</f>
        <v>0</v>
      </c>
      <c r="O8" s="60">
        <f>SUMIFS('IN STORE SALES RECORD'!$E$6:$E$97,'IN STORE SALES RECORD'!$A$6:$A$97, "WEEK 6",'IN STORE SALES RECORD'!$D$6:$D$97,'WHS STK MGT &amp; ALLOC.'!$A8)</f>
        <v>0</v>
      </c>
      <c r="P8" s="60">
        <f t="shared" ref="P8:P14" si="4">ROUND(($Q8/($H8-($M8+$K8+$O8))*100),3)</f>
        <v>0</v>
      </c>
      <c r="Q8" s="60">
        <f>SUMIFS('IN STORE SALES RECORD'!$E$6:$E$97,'IN STORE SALES RECORD'!$A$6:$A$97, "WEEK 6",'IN STORE SALES RECORD'!$D$6:$D$97,'WHS STK MGT &amp; ALLOC.'!$A8)</f>
        <v>0</v>
      </c>
      <c r="R8" s="60">
        <f t="shared" ref="R8:R14" si="5">ROUND(($S8/($H8-($M8+$K8+$O8+$Q8))*100),3)</f>
        <v>0</v>
      </c>
      <c r="S8" s="60">
        <f>SUMIFS('IN STORE SALES RECORD'!$E$6:$E$97,'IN STORE SALES RECORD'!$A$6:$A$97, "WEEK 6",'IN STORE SALES RECORD'!$D$6:$D$97,'WHS STK MGT &amp; ALLOC.'!$A8)</f>
        <v>0</v>
      </c>
      <c r="T8" s="60">
        <f t="shared" ref="T8:T14" si="6">ROUND(($U8/($H8-($M8+$K8+$O8+$Q8+$S8))*100),3)</f>
        <v>0</v>
      </c>
      <c r="U8" s="60">
        <f>SUMIFS('IN STORE SALES RECORD'!$E$6:$E$97,'IN STORE SALES RECORD'!$A$6:$A$97, "WEEK 6",'IN STORE SALES RECORD'!$D$6:$D$97,'WHS STK MGT &amp; ALLOC.'!$A8)</f>
        <v>0</v>
      </c>
      <c r="V8" s="60">
        <f t="shared" ref="V8:V14" si="7">ROUND(($W8/($H8-($M8+$K8+$O8+$Q8+$S8+$U8))*100),3)</f>
        <v>0</v>
      </c>
      <c r="W8" s="60">
        <f>SUMIFS('IN STORE SALES RECORD'!$E$6:$E$97,'IN STORE SALES RECORD'!$A$6:$A$97, "WEEK 6",'IN STORE SALES RECORD'!$D$6:$D$97,'WHS STK MGT &amp; ALLOC.'!$A8)</f>
        <v>0</v>
      </c>
      <c r="X8" s="60">
        <f t="shared" ref="X8:X14" si="8">ROUND(($Y8/($H8-($M8+$K8+$O8+$Q8+$S8+$U8+$W8))*100),3)</f>
        <v>0</v>
      </c>
      <c r="Y8" s="60">
        <f>SUMIFS('IN STORE SALES RECORD'!$E$6:$E$97,'IN STORE SALES RECORD'!$A$6:$A$97, "WEEK 6",'IN STORE SALES RECORD'!$D$6:$D$97,'WHS STK MGT &amp; ALLOC.'!$A8)</f>
        <v>0</v>
      </c>
      <c r="Z8" s="85"/>
    </row>
    <row r="9" spans="1:26" s="27" customFormat="1" ht="30">
      <c r="A9" s="27" t="s">
        <v>113</v>
      </c>
      <c r="B9" s="40" t="str">
        <f>IFERROR(INDEX('REFERENCING &amp; DATABASE'!$E$7:$E$131,MATCH($A9,'REFERENCING &amp; DATABASE'!$D$7:$D$131,0)),"")</f>
        <v>Classic Button-Down Shirt</v>
      </c>
      <c r="C9" s="28" t="str">
        <f>IFERROR(INDEX('REFERENCING &amp; DATABASE'!$B$7:$B$131,MATCH($A9,'REFERENCING &amp; DATABASE'!$D$7:$D$131,0)),"")</f>
        <v>TOPS</v>
      </c>
      <c r="D9" s="28" t="str">
        <f>IFERROR(INDEX('REFERENCING &amp; DATABASE'!$C$7:$C$131,MATCH($A9,'REFERENCING &amp; DATABASE'!$D$7:$D$131,0)),"")</f>
        <v>SHIRTS</v>
      </c>
      <c r="E9" s="41" t="str">
        <f>IFERROR(INDEX('REFERENCING &amp; DATABASE'!$F$7:$F$131,MATCH($A9,'REFERENCING &amp; DATABASE'!$D$7:$D$131,0)),"")</f>
        <v>A timeless and versatile shirt for work or casual occasions.</v>
      </c>
      <c r="F9" s="28" t="str">
        <f>IFERROR(INDEX('REFERENCING &amp; DATABASE'!$G$7:$G$131,MATCH($A9,'REFERENCING &amp; DATABASE'!$D$7:$D$131,0)),"")</f>
        <v>Pink, Brown,Yellow</v>
      </c>
      <c r="G9" s="9">
        <f>IFERROR(INDEX('REFERENCING &amp; DATABASE'!$H$7:$H$131,MATCH($A9,'REFERENCING &amp; DATABASE'!$D$7:$D$131,0)),"")</f>
        <v>10</v>
      </c>
      <c r="H9" s="25">
        <f>IFERROR(INDEX('REFERENCING &amp; DATABASE'!$A$7:$A$131,MATCH($A9,'REFERENCING &amp; DATABASE'!$D$7:$D$131,0)),"")</f>
        <v>300</v>
      </c>
      <c r="I9" s="60">
        <f>H9-SUM($K9,$M9,$O9,$Q9,$S9,$U9,$W9,$Y9)</f>
        <v>60</v>
      </c>
      <c r="J9" s="60">
        <f t="shared" si="1"/>
        <v>80</v>
      </c>
      <c r="K9" s="60">
        <f>SUMIFS('IN STORE SALES RECORD'!$E$6:$E$97,'IN STORE SALES RECORD'!$A$6:$A$97, "WEEK 1",'IN STORE SALES RECORD'!$D$6:$D$97,'WHS STK MGT &amp; ALLOC.'!$A9)+10</f>
        <v>240</v>
      </c>
      <c r="L9" s="60">
        <f t="shared" si="2"/>
        <v>0</v>
      </c>
      <c r="M9" s="60">
        <f>SUMIFS('IN STORE SALES RECORD'!$E$6:$E$97,'IN STORE SALES RECORD'!$A$6:$A$97, "WEEK 6",'IN STORE SALES RECORD'!$D$6:$D$97,'WHS STK MGT &amp; ALLOC.'!$A9)</f>
        <v>0</v>
      </c>
      <c r="N9" s="60">
        <f t="shared" si="3"/>
        <v>0</v>
      </c>
      <c r="O9" s="60">
        <f>SUMIFS('IN STORE SALES RECORD'!$E$6:$E$97,'IN STORE SALES RECORD'!$A$6:$A$97, "WEEK 6",'IN STORE SALES RECORD'!$D$6:$D$97,'WHS STK MGT &amp; ALLOC.'!$A9)</f>
        <v>0</v>
      </c>
      <c r="P9" s="60">
        <f t="shared" si="4"/>
        <v>0</v>
      </c>
      <c r="Q9" s="60">
        <f>SUMIFS('IN STORE SALES RECORD'!$E$6:$E$97,'IN STORE SALES RECORD'!$A$6:$A$97, "WEEK 6",'IN STORE SALES RECORD'!$D$6:$D$97,'WHS STK MGT &amp; ALLOC.'!$A9)</f>
        <v>0</v>
      </c>
      <c r="R9" s="60">
        <f t="shared" si="5"/>
        <v>0</v>
      </c>
      <c r="S9" s="60">
        <f>SUMIFS('IN STORE SALES RECORD'!$E$6:$E$97,'IN STORE SALES RECORD'!$A$6:$A$97, "WEEK 6",'IN STORE SALES RECORD'!$D$6:$D$97,'WHS STK MGT &amp; ALLOC.'!$A9)</f>
        <v>0</v>
      </c>
      <c r="T9" s="60">
        <f t="shared" si="6"/>
        <v>0</v>
      </c>
      <c r="U9" s="60">
        <f>SUMIFS('IN STORE SALES RECORD'!$E$6:$E$97,'IN STORE SALES RECORD'!$A$6:$A$97, "WEEK 6",'IN STORE SALES RECORD'!$D$6:$D$97,'WHS STK MGT &amp; ALLOC.'!$A9)</f>
        <v>0</v>
      </c>
      <c r="V9" s="60">
        <f t="shared" si="7"/>
        <v>0</v>
      </c>
      <c r="W9" s="60">
        <f>SUMIFS('IN STORE SALES RECORD'!$E$6:$E$97,'IN STORE SALES RECORD'!$A$6:$A$97, "WEEK 6",'IN STORE SALES RECORD'!$D$6:$D$97,'WHS STK MGT &amp; ALLOC.'!$A9)</f>
        <v>0</v>
      </c>
      <c r="X9" s="60">
        <f t="shared" si="8"/>
        <v>0</v>
      </c>
      <c r="Y9" s="60">
        <f>SUMIFS('IN STORE SALES RECORD'!$E$6:$E$97,'IN STORE SALES RECORD'!$A$6:$A$97, "WEEK 6",'IN STORE SALES RECORD'!$D$6:$D$97,'WHS STK MGT &amp; ALLOC.'!$A9)</f>
        <v>0</v>
      </c>
      <c r="Z9" s="85"/>
    </row>
    <row r="10" spans="1:26" s="27" customFormat="1" ht="30">
      <c r="A10" s="27" t="s">
        <v>114</v>
      </c>
      <c r="B10" s="40" t="str">
        <f>IFERROR(INDEX('REFERENCING &amp; DATABASE'!$E$7:$E$131,MATCH($A10,'REFERENCING &amp; DATABASE'!$D$7:$D$131,0)),"")</f>
        <v>Linen Blend Shirt</v>
      </c>
      <c r="C10" s="28" t="str">
        <f>IFERROR(INDEX('REFERENCING &amp; DATABASE'!$B$7:$B$131,MATCH($A10,'REFERENCING &amp; DATABASE'!$D$7:$D$131,0)),"")</f>
        <v>TOPS</v>
      </c>
      <c r="D10" s="28" t="str">
        <f>IFERROR(INDEX('REFERENCING &amp; DATABASE'!$C$7:$C$131,MATCH($A10,'REFERENCING &amp; DATABASE'!$D$7:$D$131,0)),"")</f>
        <v>SHIRTS</v>
      </c>
      <c r="E10" s="41" t="str">
        <f>IFERROR(INDEX('REFERENCING &amp; DATABASE'!$F$7:$F$131,MATCH($A10,'REFERENCING &amp; DATABASE'!$D$7:$D$131,0)),"")</f>
        <v xml:space="preserve">A lightweight and breathable shirt for warmer weather. </v>
      </c>
      <c r="F10" s="28" t="str">
        <f>IFERROR(INDEX('REFERENCING &amp; DATABASE'!$G$7:$G$131,MATCH($A10,'REFERENCING &amp; DATABASE'!$D$7:$D$131,0)),"")</f>
        <v>Pink, Clear</v>
      </c>
      <c r="G10" s="9">
        <f>IFERROR(INDEX('REFERENCING &amp; DATABASE'!$H$7:$H$131,MATCH($A10,'REFERENCING &amp; DATABASE'!$D$7:$D$131,0)),"")</f>
        <v>10</v>
      </c>
      <c r="H10" s="25">
        <f>IFERROR(INDEX('REFERENCING &amp; DATABASE'!$A$7:$A$131,MATCH($A10,'REFERENCING &amp; DATABASE'!$D$7:$D$131,0)),"")</f>
        <v>400</v>
      </c>
      <c r="I10" s="60">
        <f t="shared" si="0"/>
        <v>390</v>
      </c>
      <c r="J10" s="60">
        <f t="shared" si="1"/>
        <v>2.5</v>
      </c>
      <c r="K10" s="60">
        <f>SUMIFS('IN STORE SALES RECORD'!$E$6:$E$97,'IN STORE SALES RECORD'!$A$6:$A$97, "WEEK 1",'IN STORE SALES RECORD'!$D$6:$D$97,'WHS STK MGT &amp; ALLOC.'!$A10)+10</f>
        <v>10</v>
      </c>
      <c r="L10" s="60">
        <f t="shared" si="2"/>
        <v>0</v>
      </c>
      <c r="M10" s="60">
        <f>SUMIFS('IN STORE SALES RECORD'!$E$6:$E$97,'IN STORE SALES RECORD'!$A$6:$A$97, "WEEK 6",'IN STORE SALES RECORD'!$D$6:$D$97,'WHS STK MGT &amp; ALLOC.'!$A10)</f>
        <v>0</v>
      </c>
      <c r="N10" s="60">
        <f t="shared" si="3"/>
        <v>0</v>
      </c>
      <c r="O10" s="60">
        <f>SUMIFS('IN STORE SALES RECORD'!$E$6:$E$97,'IN STORE SALES RECORD'!$A$6:$A$97, "WEEK 6",'IN STORE SALES RECORD'!$D$6:$D$97,'WHS STK MGT &amp; ALLOC.'!$A10)</f>
        <v>0</v>
      </c>
      <c r="P10" s="60">
        <f t="shared" si="4"/>
        <v>0</v>
      </c>
      <c r="Q10" s="60">
        <f>SUMIFS('IN STORE SALES RECORD'!$E$6:$E$97,'IN STORE SALES RECORD'!$A$6:$A$97, "WEEK 6",'IN STORE SALES RECORD'!$D$6:$D$97,'WHS STK MGT &amp; ALLOC.'!$A10)</f>
        <v>0</v>
      </c>
      <c r="R10" s="60">
        <f t="shared" si="5"/>
        <v>0</v>
      </c>
      <c r="S10" s="60">
        <f>SUMIFS('IN STORE SALES RECORD'!$E$6:$E$97,'IN STORE SALES RECORD'!$A$6:$A$97, "WEEK 6",'IN STORE SALES RECORD'!$D$6:$D$97,'WHS STK MGT &amp; ALLOC.'!$A10)</f>
        <v>0</v>
      </c>
      <c r="T10" s="60">
        <f t="shared" si="6"/>
        <v>0</v>
      </c>
      <c r="U10" s="60">
        <f>SUMIFS('IN STORE SALES RECORD'!$E$6:$E$97,'IN STORE SALES RECORD'!$A$6:$A$97, "WEEK 6",'IN STORE SALES RECORD'!$D$6:$D$97,'WHS STK MGT &amp; ALLOC.'!$A10)</f>
        <v>0</v>
      </c>
      <c r="V10" s="60">
        <f t="shared" si="7"/>
        <v>0</v>
      </c>
      <c r="W10" s="60">
        <f>SUMIFS('IN STORE SALES RECORD'!$E$6:$E$97,'IN STORE SALES RECORD'!$A$6:$A$97, "WEEK 6",'IN STORE SALES RECORD'!$D$6:$D$97,'WHS STK MGT &amp; ALLOC.'!$A10)</f>
        <v>0</v>
      </c>
      <c r="X10" s="60">
        <f t="shared" si="8"/>
        <v>0</v>
      </c>
      <c r="Y10" s="60">
        <f>SUMIFS('IN STORE SALES RECORD'!$E$6:$E$97,'IN STORE SALES RECORD'!$A$6:$A$97, "WEEK 6",'IN STORE SALES RECORD'!$D$6:$D$97,'WHS STK MGT &amp; ALLOC.'!$A10)</f>
        <v>0</v>
      </c>
      <c r="Z10" s="85"/>
    </row>
    <row r="11" spans="1:26" s="19" customFormat="1">
      <c r="A11" s="27" t="s">
        <v>115</v>
      </c>
      <c r="B11" s="40" t="str">
        <f>IFERROR(INDEX('REFERENCING &amp; DATABASE'!$E$7:$E$131,MATCH($A11,'REFERENCING &amp; DATABASE'!$D$7:$D$131,0)),"")</f>
        <v>Cozy Cable-Knit Sweater</v>
      </c>
      <c r="C11" s="28" t="str">
        <f>IFERROR(INDEX('REFERENCING &amp; DATABASE'!$B$7:$B$131,MATCH($A11,'REFERENCING &amp; DATABASE'!$D$7:$D$131,0)),"")</f>
        <v>TOPS</v>
      </c>
      <c r="D11" s="28" t="str">
        <f>IFERROR(INDEX('REFERENCING &amp; DATABASE'!$C$7:$C$131,MATCH($A11,'REFERENCING &amp; DATABASE'!$D$7:$D$131,0)),"")</f>
        <v>SWEATERS</v>
      </c>
      <c r="E11" s="41" t="str">
        <f>IFERROR(INDEX('REFERENCING &amp; DATABASE'!$F$7:$F$131,MATCH($A11,'REFERENCING &amp; DATABASE'!$D$7:$D$131,0)),"")</f>
        <v>A warm and stylish sweater for cooler days.</v>
      </c>
      <c r="F11" s="28" t="str">
        <f>IFERROR(INDEX('REFERENCING &amp; DATABASE'!$G$7:$G$131,MATCH($A11,'REFERENCING &amp; DATABASE'!$D$7:$D$131,0)),"")</f>
        <v>Nude, Brown</v>
      </c>
      <c r="G11" s="9">
        <f>IFERROR(INDEX('REFERENCING &amp; DATABASE'!$H$7:$H$131,MATCH($A11,'REFERENCING &amp; DATABASE'!$D$7:$D$131,0)),"")</f>
        <v>10</v>
      </c>
      <c r="H11" s="25">
        <f>IFERROR(INDEX('REFERENCING &amp; DATABASE'!$A$7:$A$131,MATCH($A11,'REFERENCING &amp; DATABASE'!$D$7:$D$131,0)),"")</f>
        <v>200</v>
      </c>
      <c r="I11" s="60">
        <f t="shared" si="0"/>
        <v>190</v>
      </c>
      <c r="J11" s="60">
        <f t="shared" si="1"/>
        <v>5</v>
      </c>
      <c r="K11" s="60">
        <f>SUMIFS('IN STORE SALES RECORD'!$E$6:$E$97,'IN STORE SALES RECORD'!$A$6:$A$97, "WEEK 1",'IN STORE SALES RECORD'!$D$6:$D$97,'WHS STK MGT &amp; ALLOC.'!$A11)+10</f>
        <v>10</v>
      </c>
      <c r="L11" s="60">
        <f t="shared" si="2"/>
        <v>0</v>
      </c>
      <c r="M11" s="60">
        <f>SUMIFS('IN STORE SALES RECORD'!$E$6:$E$97,'IN STORE SALES RECORD'!$A$6:$A$97, "WEEK 6",'IN STORE SALES RECORD'!$D$6:$D$97,'WHS STK MGT &amp; ALLOC.'!$A11)</f>
        <v>0</v>
      </c>
      <c r="N11" s="60">
        <f t="shared" si="3"/>
        <v>0</v>
      </c>
      <c r="O11" s="60">
        <f>SUMIFS('IN STORE SALES RECORD'!$E$6:$E$97,'IN STORE SALES RECORD'!$A$6:$A$97, "WEEK 6",'IN STORE SALES RECORD'!$D$6:$D$97,'WHS STK MGT &amp; ALLOC.'!$A11)</f>
        <v>0</v>
      </c>
      <c r="P11" s="60">
        <f t="shared" si="4"/>
        <v>0</v>
      </c>
      <c r="Q11" s="60">
        <f>SUMIFS('IN STORE SALES RECORD'!$E$6:$E$97,'IN STORE SALES RECORD'!$A$6:$A$97, "WEEK 6",'IN STORE SALES RECORD'!$D$6:$D$97,'WHS STK MGT &amp; ALLOC.'!$A11)</f>
        <v>0</v>
      </c>
      <c r="R11" s="60">
        <f t="shared" si="5"/>
        <v>0</v>
      </c>
      <c r="S11" s="60">
        <f>SUMIFS('IN STORE SALES RECORD'!$E$6:$E$97,'IN STORE SALES RECORD'!$A$6:$A$97, "WEEK 6",'IN STORE SALES RECORD'!$D$6:$D$97,'WHS STK MGT &amp; ALLOC.'!$A11)</f>
        <v>0</v>
      </c>
      <c r="T11" s="60">
        <f t="shared" si="6"/>
        <v>0</v>
      </c>
      <c r="U11" s="60">
        <f>SUMIFS('IN STORE SALES RECORD'!$E$6:$E$97,'IN STORE SALES RECORD'!$A$6:$A$97, "WEEK 6",'IN STORE SALES RECORD'!$D$6:$D$97,'WHS STK MGT &amp; ALLOC.'!$A11)</f>
        <v>0</v>
      </c>
      <c r="V11" s="60">
        <f t="shared" si="7"/>
        <v>0</v>
      </c>
      <c r="W11" s="60">
        <f>SUMIFS('IN STORE SALES RECORD'!$E$6:$E$97,'IN STORE SALES RECORD'!$A$6:$A$97, "WEEK 6",'IN STORE SALES RECORD'!$D$6:$D$97,'WHS STK MGT &amp; ALLOC.'!$A11)</f>
        <v>0</v>
      </c>
      <c r="X11" s="60">
        <f t="shared" si="8"/>
        <v>0</v>
      </c>
      <c r="Y11" s="60">
        <f>SUMIFS('IN STORE SALES RECORD'!$E$6:$E$97,'IN STORE SALES RECORD'!$A$6:$A$97, "WEEK 6",'IN STORE SALES RECORD'!$D$6:$D$97,'WHS STK MGT &amp; ALLOC.'!$A11)</f>
        <v>0</v>
      </c>
    </row>
    <row r="12" spans="1:26" s="19" customFormat="1" ht="30">
      <c r="A12" s="27" t="s">
        <v>261</v>
      </c>
      <c r="B12" s="40" t="str">
        <f>IFERROR(INDEX('REFERENCING &amp; DATABASE'!$E$7:$E$131,MATCH($A12,'REFERENCING &amp; DATABASE'!$D$7:$D$131,0)),"")</f>
        <v>Hooded Sweatshirt</v>
      </c>
      <c r="C12" s="28" t="str">
        <f>IFERROR(INDEX('REFERENCING &amp; DATABASE'!$B$7:$B$131,MATCH($A12,'REFERENCING &amp; DATABASE'!$D$7:$D$131,0)),"")</f>
        <v>TOPS</v>
      </c>
      <c r="D12" s="28" t="str">
        <f>IFERROR(INDEX('REFERENCING &amp; DATABASE'!$C$7:$C$131,MATCH($A12,'REFERENCING &amp; DATABASE'!$D$7:$D$131,0)),"")</f>
        <v>SWEATERS</v>
      </c>
      <c r="E12" s="41" t="str">
        <f>IFERROR(INDEX('REFERENCING &amp; DATABASE'!$F$7:$F$131,MATCH($A12,'REFERENCING &amp; DATABASE'!$D$7:$D$131,0)),"")</f>
        <v>A comfortable and casual sweatshirt perfect for lounging or layering.</v>
      </c>
      <c r="F12" s="28" t="str">
        <f>IFERROR(INDEX('REFERENCING &amp; DATABASE'!$G$7:$G$131,MATCH($A12,'REFERENCING &amp; DATABASE'!$D$7:$D$131,0)),"")</f>
        <v>Black,Grey</v>
      </c>
      <c r="G12" s="9">
        <f>IFERROR(INDEX('REFERENCING &amp; DATABASE'!$H$7:$H$131,MATCH($A12,'REFERENCING &amp; DATABASE'!$D$7:$D$131,0)),"")</f>
        <v>10</v>
      </c>
      <c r="H12" s="25">
        <f>IFERROR(INDEX('REFERENCING &amp; DATABASE'!$A$7:$A$131,MATCH($A12,'REFERENCING &amp; DATABASE'!$D$7:$D$131,0)),"")</f>
        <v>300</v>
      </c>
      <c r="I12" s="60">
        <f t="shared" si="0"/>
        <v>290</v>
      </c>
      <c r="J12" s="60">
        <f t="shared" si="1"/>
        <v>3.3330000000000002</v>
      </c>
      <c r="K12" s="60">
        <f>SUMIFS('IN STORE SALES RECORD'!$E$6:$E$97,'IN STORE SALES RECORD'!$A$6:$A$97, "WEEK 1",'IN STORE SALES RECORD'!$D$6:$D$97,'WHS STK MGT &amp; ALLOC.'!$A12)+10</f>
        <v>10</v>
      </c>
      <c r="L12" s="60">
        <f t="shared" si="2"/>
        <v>0</v>
      </c>
      <c r="M12" s="60">
        <f>SUMIFS('IN STORE SALES RECORD'!$E$6:$E$97,'IN STORE SALES RECORD'!$A$6:$A$97, "WEEK 6",'IN STORE SALES RECORD'!$D$6:$D$97,'WHS STK MGT &amp; ALLOC.'!$A12)</f>
        <v>0</v>
      </c>
      <c r="N12" s="60">
        <f t="shared" si="3"/>
        <v>0</v>
      </c>
      <c r="O12" s="60">
        <f>SUMIFS('IN STORE SALES RECORD'!$E$6:$E$97,'IN STORE SALES RECORD'!$A$6:$A$97, "WEEK 6",'IN STORE SALES RECORD'!$D$6:$D$97,'WHS STK MGT &amp; ALLOC.'!$A12)</f>
        <v>0</v>
      </c>
      <c r="P12" s="60">
        <f t="shared" si="4"/>
        <v>0</v>
      </c>
      <c r="Q12" s="60">
        <f>SUMIFS('IN STORE SALES RECORD'!$E$6:$E$97,'IN STORE SALES RECORD'!$A$6:$A$97, "WEEK 6",'IN STORE SALES RECORD'!$D$6:$D$97,'WHS STK MGT &amp; ALLOC.'!$A12)</f>
        <v>0</v>
      </c>
      <c r="R12" s="60">
        <f t="shared" si="5"/>
        <v>0</v>
      </c>
      <c r="S12" s="60">
        <f>SUMIFS('IN STORE SALES RECORD'!$E$6:$E$97,'IN STORE SALES RECORD'!$A$6:$A$97, "WEEK 6",'IN STORE SALES RECORD'!$D$6:$D$97,'WHS STK MGT &amp; ALLOC.'!$A12)</f>
        <v>0</v>
      </c>
      <c r="T12" s="60">
        <f t="shared" si="6"/>
        <v>0</v>
      </c>
      <c r="U12" s="60">
        <f>SUMIFS('IN STORE SALES RECORD'!$E$6:$E$97,'IN STORE SALES RECORD'!$A$6:$A$97, "WEEK 6",'IN STORE SALES RECORD'!$D$6:$D$97,'WHS STK MGT &amp; ALLOC.'!$A12)</f>
        <v>0</v>
      </c>
      <c r="V12" s="60">
        <f t="shared" si="7"/>
        <v>0</v>
      </c>
      <c r="W12" s="60">
        <f>SUMIFS('IN STORE SALES RECORD'!$E$6:$E$97,'IN STORE SALES RECORD'!$A$6:$A$97, "WEEK 6",'IN STORE SALES RECORD'!$D$6:$D$97,'WHS STK MGT &amp; ALLOC.'!$A12)</f>
        <v>0</v>
      </c>
      <c r="X12" s="60">
        <f t="shared" si="8"/>
        <v>0</v>
      </c>
      <c r="Y12" s="60">
        <f>SUMIFS('IN STORE SALES RECORD'!$E$6:$E$97,'IN STORE SALES RECORD'!$A$6:$A$97, "WEEK 6",'IN STORE SALES RECORD'!$D$6:$D$97,'WHS STK MGT &amp; ALLOC.'!$A12)</f>
        <v>0</v>
      </c>
    </row>
    <row r="13" spans="1:26" s="19" customFormat="1" ht="30">
      <c r="A13" s="27" t="s">
        <v>116</v>
      </c>
      <c r="B13" s="40" t="str">
        <f>IFERROR(INDEX('REFERENCING &amp; DATABASE'!$E$7:$E$131,MATCH($A13,'REFERENCING &amp; DATABASE'!$D$7:$D$131,0)),"")</f>
        <v>Denim Jacket</v>
      </c>
      <c r="C13" s="28" t="str">
        <f>IFERROR(INDEX('REFERENCING &amp; DATABASE'!$B$7:$B$131,MATCH($A13,'REFERENCING &amp; DATABASE'!$D$7:$D$131,0)),"")</f>
        <v>TOPS</v>
      </c>
      <c r="D13" s="28" t="str">
        <f>IFERROR(INDEX('REFERENCING &amp; DATABASE'!$C$7:$C$131,MATCH($A13,'REFERENCING &amp; DATABASE'!$D$7:$D$131,0)),"")</f>
        <v>JACKETS</v>
      </c>
      <c r="E13" s="41" t="str">
        <f>IFERROR(INDEX('REFERENCING &amp; DATABASE'!$F$7:$F$131,MATCH($A13,'REFERENCING &amp; DATABASE'!$D$7:$D$131,0)),"")</f>
        <v>A timeless and versatile jacket that adds an edge to any outfit.</v>
      </c>
      <c r="F13" s="28" t="str">
        <f>IFERROR(INDEX('REFERENCING &amp; DATABASE'!$G$7:$G$131,MATCH($A13,'REFERENCING &amp; DATABASE'!$D$7:$D$131,0)),"")</f>
        <v>Nude, Purple</v>
      </c>
      <c r="G13" s="9">
        <f>IFERROR(INDEX('REFERENCING &amp; DATABASE'!$H$7:$H$131,MATCH($A13,'REFERENCING &amp; DATABASE'!$D$7:$D$131,0)),"")</f>
        <v>10</v>
      </c>
      <c r="H13" s="25">
        <f>IFERROR(INDEX('REFERENCING &amp; DATABASE'!$A$7:$A$131,MATCH($A13,'REFERENCING &amp; DATABASE'!$D$7:$D$131,0)),"")</f>
        <v>100</v>
      </c>
      <c r="I13" s="60">
        <f t="shared" si="0"/>
        <v>90</v>
      </c>
      <c r="J13" s="60">
        <f t="shared" si="1"/>
        <v>10</v>
      </c>
      <c r="K13" s="60">
        <f>SUMIFS('IN STORE SALES RECORD'!$E$6:$E$97,'IN STORE SALES RECORD'!$A$6:$A$97, "WEEK 1",'IN STORE SALES RECORD'!$D$6:$D$97,'WHS STK MGT &amp; ALLOC.'!$A13)+10</f>
        <v>10</v>
      </c>
      <c r="L13" s="60">
        <f t="shared" si="2"/>
        <v>0</v>
      </c>
      <c r="M13" s="60">
        <f>SUMIFS('IN STORE SALES RECORD'!$E$6:$E$97,'IN STORE SALES RECORD'!$A$6:$A$97, "WEEK 6",'IN STORE SALES RECORD'!$D$6:$D$97,'WHS STK MGT &amp; ALLOC.'!$A13)</f>
        <v>0</v>
      </c>
      <c r="N13" s="60">
        <f t="shared" si="3"/>
        <v>0</v>
      </c>
      <c r="O13" s="60">
        <f>SUMIFS('IN STORE SALES RECORD'!$E$6:$E$97,'IN STORE SALES RECORD'!$A$6:$A$97, "WEEK 6",'IN STORE SALES RECORD'!$D$6:$D$97,'WHS STK MGT &amp; ALLOC.'!$A13)</f>
        <v>0</v>
      </c>
      <c r="P13" s="60">
        <f t="shared" si="4"/>
        <v>0</v>
      </c>
      <c r="Q13" s="60">
        <f>SUMIFS('IN STORE SALES RECORD'!$E$6:$E$97,'IN STORE SALES RECORD'!$A$6:$A$97, "WEEK 6",'IN STORE SALES RECORD'!$D$6:$D$97,'WHS STK MGT &amp; ALLOC.'!$A13)</f>
        <v>0</v>
      </c>
      <c r="R13" s="60">
        <f t="shared" si="5"/>
        <v>0</v>
      </c>
      <c r="S13" s="60">
        <f>SUMIFS('IN STORE SALES RECORD'!$E$6:$E$97,'IN STORE SALES RECORD'!$A$6:$A$97, "WEEK 6",'IN STORE SALES RECORD'!$D$6:$D$97,'WHS STK MGT &amp; ALLOC.'!$A13)</f>
        <v>0</v>
      </c>
      <c r="T13" s="60">
        <f t="shared" si="6"/>
        <v>0</v>
      </c>
      <c r="U13" s="60">
        <f>SUMIFS('IN STORE SALES RECORD'!$E$6:$E$97,'IN STORE SALES RECORD'!$A$6:$A$97, "WEEK 6",'IN STORE SALES RECORD'!$D$6:$D$97,'WHS STK MGT &amp; ALLOC.'!$A13)</f>
        <v>0</v>
      </c>
      <c r="V13" s="60">
        <f t="shared" si="7"/>
        <v>0</v>
      </c>
      <c r="W13" s="60">
        <f>SUMIFS('IN STORE SALES RECORD'!$E$6:$E$97,'IN STORE SALES RECORD'!$A$6:$A$97, "WEEK 6",'IN STORE SALES RECORD'!$D$6:$D$97,'WHS STK MGT &amp; ALLOC.'!$A13)</f>
        <v>0</v>
      </c>
      <c r="X13" s="60">
        <f t="shared" si="8"/>
        <v>0</v>
      </c>
      <c r="Y13" s="60">
        <f>SUMIFS('IN STORE SALES RECORD'!$E$6:$E$97,'IN STORE SALES RECORD'!$A$6:$A$97, "WEEK 6",'IN STORE SALES RECORD'!$D$6:$D$97,'WHS STK MGT &amp; ALLOC.'!$A13)</f>
        <v>0</v>
      </c>
    </row>
    <row r="14" spans="1:26" s="19" customFormat="1" ht="30">
      <c r="A14" s="27" t="s">
        <v>117</v>
      </c>
      <c r="B14" s="40" t="str">
        <f>IFERROR(INDEX('REFERENCING &amp; DATABASE'!$E$7:$E$131,MATCH($A14,'REFERENCING &amp; DATABASE'!$D$7:$D$131,0)),"")</f>
        <v>Lightweight Puffer Jacket</v>
      </c>
      <c r="C14" s="28" t="str">
        <f>IFERROR(INDEX('REFERENCING &amp; DATABASE'!$B$7:$B$131,MATCH($A14,'REFERENCING &amp; DATABASE'!$D$7:$D$131,0)),"")</f>
        <v>TOPS</v>
      </c>
      <c r="D14" s="28" t="str">
        <f>IFERROR(INDEX('REFERENCING &amp; DATABASE'!$C$7:$C$131,MATCH($A14,'REFERENCING &amp; DATABASE'!$D$7:$D$131,0)),"")</f>
        <v>JACKETS</v>
      </c>
      <c r="E14" s="41" t="str">
        <f>IFERROR(INDEX('REFERENCING &amp; DATABASE'!$F$7:$F$131,MATCH($A14,'REFERENCING &amp; DATABASE'!$D$7:$D$131,0)),"")</f>
        <v>: A warm and packable jacket for all your adventures.</v>
      </c>
      <c r="F14" s="28" t="str">
        <f>IFERROR(INDEX('REFERENCING &amp; DATABASE'!$G$7:$G$131,MATCH($A14,'REFERENCING &amp; DATABASE'!$D$7:$D$131,0)),"")</f>
        <v>Nude, Pink, Red</v>
      </c>
      <c r="G14" s="9">
        <f>IFERROR(INDEX('REFERENCING &amp; DATABASE'!$H$7:$H$131,MATCH($A14,'REFERENCING &amp; DATABASE'!$D$7:$D$131,0)),"")</f>
        <v>10</v>
      </c>
      <c r="H14" s="25">
        <f>IFERROR(INDEX('REFERENCING &amp; DATABASE'!$A$7:$A$131,MATCH($A14,'REFERENCING &amp; DATABASE'!$D$7:$D$131,0)),"")</f>
        <v>150</v>
      </c>
      <c r="I14" s="60">
        <f t="shared" si="0"/>
        <v>140</v>
      </c>
      <c r="J14" s="60">
        <f t="shared" si="1"/>
        <v>6.6669999999999998</v>
      </c>
      <c r="K14" s="60">
        <f>SUMIFS('IN STORE SALES RECORD'!$E$6:$E$97,'IN STORE SALES RECORD'!$A$6:$A$97, "WEEK 1",'IN STORE SALES RECORD'!$D$6:$D$97,'WHS STK MGT &amp; ALLOC.'!$A14)+10</f>
        <v>10</v>
      </c>
      <c r="L14" s="60">
        <f t="shared" si="2"/>
        <v>0</v>
      </c>
      <c r="M14" s="60">
        <f>SUMIFS('IN STORE SALES RECORD'!$E$6:$E$97,'IN STORE SALES RECORD'!$A$6:$A$97, "WEEK 6",'IN STORE SALES RECORD'!$D$6:$D$97,'WHS STK MGT &amp; ALLOC.'!$A14)</f>
        <v>0</v>
      </c>
      <c r="N14" s="60">
        <f t="shared" si="3"/>
        <v>0</v>
      </c>
      <c r="O14" s="60">
        <f>SUMIFS('IN STORE SALES RECORD'!$E$6:$E$97,'IN STORE SALES RECORD'!$A$6:$A$97, "WEEK 6",'IN STORE SALES RECORD'!$D$6:$D$97,'WHS STK MGT &amp; ALLOC.'!$A14)</f>
        <v>0</v>
      </c>
      <c r="P14" s="60">
        <f t="shared" si="4"/>
        <v>0</v>
      </c>
      <c r="Q14" s="60">
        <f>SUMIFS('IN STORE SALES RECORD'!$E$6:$E$97,'IN STORE SALES RECORD'!$A$6:$A$97, "WEEK 6",'IN STORE SALES RECORD'!$D$6:$D$97,'WHS STK MGT &amp; ALLOC.'!$A14)</f>
        <v>0</v>
      </c>
      <c r="R14" s="60">
        <f t="shared" si="5"/>
        <v>0</v>
      </c>
      <c r="S14" s="60">
        <f>SUMIFS('IN STORE SALES RECORD'!$E$6:$E$97,'IN STORE SALES RECORD'!$A$6:$A$97, "WEEK 6",'IN STORE SALES RECORD'!$D$6:$D$97,'WHS STK MGT &amp; ALLOC.'!$A14)</f>
        <v>0</v>
      </c>
      <c r="T14" s="60">
        <f t="shared" si="6"/>
        <v>0</v>
      </c>
      <c r="U14" s="60">
        <f>SUMIFS('IN STORE SALES RECORD'!$E$6:$E$97,'IN STORE SALES RECORD'!$A$6:$A$97, "WEEK 6",'IN STORE SALES RECORD'!$D$6:$D$97,'WHS STK MGT &amp; ALLOC.'!$A14)</f>
        <v>0</v>
      </c>
      <c r="V14" s="60">
        <f t="shared" si="7"/>
        <v>0</v>
      </c>
      <c r="W14" s="60">
        <f>SUMIFS('IN STORE SALES RECORD'!$E$6:$E$97,'IN STORE SALES RECORD'!$A$6:$A$97, "WEEK 6",'IN STORE SALES RECORD'!$D$6:$D$97,'WHS STK MGT &amp; ALLOC.'!$A14)</f>
        <v>0</v>
      </c>
      <c r="X14" s="60">
        <f t="shared" si="8"/>
        <v>0</v>
      </c>
      <c r="Y14" s="60">
        <f>SUMIFS('IN STORE SALES RECORD'!$E$6:$E$97,'IN STORE SALES RECORD'!$A$6:$A$97, "WEEK 6",'IN STORE SALES RECORD'!$D$6:$D$97,'WHS STK MGT &amp; ALLOC.'!$A14)</f>
        <v>0</v>
      </c>
    </row>
    <row r="15" spans="1:26" s="19" customFormat="1">
      <c r="B15" s="109"/>
      <c r="C15" s="101"/>
      <c r="D15" s="101"/>
      <c r="E15" s="102"/>
      <c r="F15" s="101"/>
      <c r="G15" s="110"/>
      <c r="H15" s="104"/>
      <c r="I15" s="61"/>
      <c r="J15" s="61"/>
      <c r="K15" s="61"/>
      <c r="L15" s="61"/>
      <c r="M15" s="61"/>
      <c r="N15" s="61"/>
      <c r="O15" s="61"/>
      <c r="P15" s="61"/>
      <c r="Q15" s="61"/>
      <c r="R15" s="61"/>
      <c r="S15" s="61"/>
      <c r="T15" s="61"/>
      <c r="U15" s="61"/>
      <c r="V15" s="61"/>
      <c r="W15" s="61"/>
      <c r="X15" s="61"/>
      <c r="Y15" s="61"/>
    </row>
    <row r="16" spans="1:26" s="19" customFormat="1" ht="15.75">
      <c r="B16" s="15"/>
      <c r="C16" s="21"/>
      <c r="D16" s="15"/>
      <c r="E16" s="16"/>
      <c r="F16" s="15"/>
      <c r="G16" s="92"/>
      <c r="H16" s="42"/>
      <c r="I16" s="61"/>
      <c r="J16" s="61"/>
      <c r="K16" s="61"/>
      <c r="L16" s="61"/>
      <c r="M16" s="61"/>
      <c r="N16" s="61"/>
      <c r="O16" s="61"/>
      <c r="P16" s="61"/>
      <c r="Q16" s="61"/>
    </row>
    <row r="17" spans="1:26" s="19" customFormat="1" ht="15.75">
      <c r="B17" s="15"/>
      <c r="C17" s="21"/>
      <c r="D17" s="15"/>
      <c r="E17" s="16"/>
      <c r="F17" s="15"/>
      <c r="G17" s="92"/>
      <c r="H17" s="42"/>
      <c r="I17" s="61"/>
      <c r="J17" s="61"/>
      <c r="K17" s="61"/>
      <c r="L17" s="61"/>
      <c r="M17" s="61"/>
      <c r="N17" s="61"/>
      <c r="O17" s="61"/>
      <c r="P17" s="61"/>
      <c r="Q17" s="61"/>
    </row>
    <row r="18" spans="1:26" s="38" customFormat="1" ht="15.75">
      <c r="A18" s="13" t="str">
        <f>A$6</f>
        <v>REFERENCE</v>
      </c>
      <c r="B18" s="13" t="str">
        <f>B$6</f>
        <v>PRODUCT NAME</v>
      </c>
      <c r="C18" s="13" t="str">
        <f t="shared" ref="C18:Q18" si="9">C$6</f>
        <v>CATEGORY</v>
      </c>
      <c r="D18" s="13" t="str">
        <f t="shared" si="9"/>
        <v>SUB-CATEGORY</v>
      </c>
      <c r="E18" s="13" t="str">
        <f t="shared" si="9"/>
        <v>DESCRIPTION</v>
      </c>
      <c r="F18" s="13" t="str">
        <f t="shared" si="9"/>
        <v>COLOUR</v>
      </c>
      <c r="G18" s="91" t="str">
        <f t="shared" si="9"/>
        <v>SIZE</v>
      </c>
      <c r="H18" s="13" t="str">
        <f t="shared" si="9"/>
        <v>TOTAL STOCK</v>
      </c>
      <c r="I18" s="13" t="str">
        <f t="shared" si="9"/>
        <v>REMANING STOCK</v>
      </c>
      <c r="J18" s="18" t="str">
        <f t="shared" si="9"/>
        <v>1ST WEEK % ALLOCATION</v>
      </c>
      <c r="K18" s="18" t="str">
        <f t="shared" si="9"/>
        <v>1ST WEEK</v>
      </c>
      <c r="L18" s="18" t="str">
        <f t="shared" si="9"/>
        <v>2ND WEEK % ALLOCATION</v>
      </c>
      <c r="M18" s="18" t="str">
        <f t="shared" si="9"/>
        <v>2ND WEEK</v>
      </c>
      <c r="N18" s="18" t="str">
        <f t="shared" si="9"/>
        <v>3RD WEEK % ALLOCATION</v>
      </c>
      <c r="O18" s="18" t="str">
        <f t="shared" si="9"/>
        <v>3RD WEEK</v>
      </c>
      <c r="P18" s="18" t="str">
        <f t="shared" si="9"/>
        <v>4TH WEEK % ALLOCATION</v>
      </c>
      <c r="Q18" s="18" t="str">
        <f t="shared" si="9"/>
        <v>4TH WEEK</v>
      </c>
      <c r="R18" s="62" t="s">
        <v>77</v>
      </c>
      <c r="S18" s="62" t="s">
        <v>78</v>
      </c>
      <c r="T18" s="62" t="s">
        <v>83</v>
      </c>
      <c r="U18" s="62" t="s">
        <v>84</v>
      </c>
      <c r="V18" s="62" t="s">
        <v>85</v>
      </c>
      <c r="W18" s="62" t="s">
        <v>86</v>
      </c>
      <c r="X18" s="62" t="s">
        <v>87</v>
      </c>
      <c r="Y18" s="62" t="s">
        <v>88</v>
      </c>
    </row>
    <row r="19" spans="1:26" s="27" customFormat="1" ht="30">
      <c r="A19" s="25" t="s">
        <v>250</v>
      </c>
      <c r="B19" s="24" t="str">
        <f>IFERROR(INDEX('REFERENCING &amp; DATABASE'!$E$7:$E$131,MATCH($A19,'REFERENCING &amp; DATABASE'!$D$7:$D$131,0)),"")</f>
        <v>Classic Straight Leg Jeans</v>
      </c>
      <c r="C19" s="25" t="str">
        <f>IFERROR(INDEX('REFERENCING &amp; DATABASE'!$B$7:$B$131,MATCH($A19,'REFERENCING &amp; DATABASE'!$D$7:$D$131,0)),"")</f>
        <v>BOTTOMS</v>
      </c>
      <c r="D19" s="25" t="str">
        <f>IFERROR(INDEX('REFERENCING &amp; DATABASE'!$C$7:$C$131,MATCH($A19,'REFERENCING &amp; DATABASE'!$D$7:$D$131,0)),"")</f>
        <v>JEANS</v>
      </c>
      <c r="E19" s="26" t="str">
        <f>IFERROR(INDEX('REFERENCING &amp; DATABASE'!$F$7:$F$131,MATCH($A19,'REFERENCING &amp; DATABASE'!$D$7:$D$131,0)),"")</f>
        <v xml:space="preserve">A timeless and versatile style that flatters all body types. </v>
      </c>
      <c r="F19" s="25" t="str">
        <f>IFERROR(INDEX('REFERENCING &amp; DATABASE'!$G$7:$G$131,MATCH($A19,'REFERENCING &amp; DATABASE'!$D$7:$D$131,0)),"")</f>
        <v>Blue,Black,Grey</v>
      </c>
      <c r="G19" s="93">
        <f>IFERROR(INDEX('REFERENCING &amp; DATABASE'!$H$7:$H$131,MATCH($A19,'REFERENCING &amp; DATABASE'!$D$7:$D$131,0)),"")</f>
        <v>10</v>
      </c>
      <c r="H19" s="25">
        <f>IFERROR(INDEX('REFERENCING &amp; DATABASE'!$A$7:$A$131,MATCH($A19,'REFERENCING &amp; DATABASE'!$D$7:$D$131,0)),"")</f>
        <v>626</v>
      </c>
      <c r="I19" s="60">
        <f t="shared" ref="I19:I23" si="10">H19-SUM($K19,$M19,$O19,$Q19)</f>
        <v>616</v>
      </c>
      <c r="J19" s="60">
        <f t="shared" ref="J19:J27" si="11">ROUND((($K19/$H19)*100),3)</f>
        <v>1.597</v>
      </c>
      <c r="K19" s="60">
        <f>SUMIFS('IN STORE SALES RECORD'!$E$6:$E$97,'IN STORE SALES RECORD'!$A$6:$A$97, "WEEK 1",'IN STORE SALES RECORD'!$D$6:$D$97,'WHS STK MGT &amp; ALLOC.'!$A19)+10</f>
        <v>10</v>
      </c>
      <c r="L19" s="60">
        <f t="shared" ref="L19:L27" si="12">ROUND(($M19/($H19-$K19))*100,3)</f>
        <v>0</v>
      </c>
      <c r="M19" s="60">
        <f>SUMIFS('IN STORE SALES RECORD'!$E$6:$E$97,'IN STORE SALES RECORD'!$A$6:$A$97, "WEEK 6",'IN STORE SALES RECORD'!$D$6:$D$97,'WHS STK MGT &amp; ALLOC.'!$A19)</f>
        <v>0</v>
      </c>
      <c r="N19" s="60">
        <f t="shared" ref="N19:N27" si="13">ROUND(($O19/($H19-($M19+$K19))*100),3)</f>
        <v>0</v>
      </c>
      <c r="O19" s="60">
        <f>SUMIFS('IN STORE SALES RECORD'!$E$6:$E$97,'IN STORE SALES RECORD'!$A$6:$A$97, "WEEK 6",'IN STORE SALES RECORD'!$D$6:$D$97,'WHS STK MGT &amp; ALLOC.'!$A19)</f>
        <v>0</v>
      </c>
      <c r="P19" s="60">
        <f t="shared" ref="P19:P27" si="14">ROUND(($Q19/($H19-($M19+$K19+$O19))*100),3)</f>
        <v>0</v>
      </c>
      <c r="Q19" s="60">
        <f>SUMIFS('IN STORE SALES RECORD'!$E$6:$E$97,'IN STORE SALES RECORD'!$A$6:$A$97, "WEEK 6",'IN STORE SALES RECORD'!$D$6:$D$97,'WHS STK MGT &amp; ALLOC.'!$A19)</f>
        <v>0</v>
      </c>
      <c r="R19" s="60">
        <f t="shared" ref="R19:R27" si="15">ROUND(($S19/($H19-($M19+$K19+$O19+$Q19))*100),3)</f>
        <v>0</v>
      </c>
      <c r="S19" s="60">
        <f>SUMIFS('IN STORE SALES RECORD'!$E$6:$E$97,'IN STORE SALES RECORD'!$A$6:$A$97, "WEEK 6",'IN STORE SALES RECORD'!$D$6:$D$97,'WHS STK MGT &amp; ALLOC.'!$A19)</f>
        <v>0</v>
      </c>
      <c r="T19" s="60">
        <f t="shared" ref="T19:T27" si="16">ROUND(($U19/($H19-($M19+$K19+$O19+$Q19+$S19))*100),3)</f>
        <v>0</v>
      </c>
      <c r="U19" s="60">
        <f>SUMIFS('IN STORE SALES RECORD'!$E$6:$E$97,'IN STORE SALES RECORD'!$A$6:$A$97, "WEEK 6",'IN STORE SALES RECORD'!$D$6:$D$97,'WHS STK MGT &amp; ALLOC.'!$A19)</f>
        <v>0</v>
      </c>
      <c r="V19" s="60">
        <f t="shared" ref="V19:V27" si="17">ROUND(($W19/($H19-($M19+$K19+$O19+$Q19+$S19+$U19))*100),3)</f>
        <v>0</v>
      </c>
      <c r="W19" s="60">
        <f>SUMIFS('IN STORE SALES RECORD'!$E$6:$E$97,'IN STORE SALES RECORD'!$A$6:$A$97, "WEEK 6",'IN STORE SALES RECORD'!$D$6:$D$97,'WHS STK MGT &amp; ALLOC.'!$A19)</f>
        <v>0</v>
      </c>
      <c r="X19" s="60">
        <f t="shared" ref="X19:X27" si="18">ROUND(($Y19/($H19-($M19+$K19+$O19+$Q19+$S19+$U19+$W19))*100),3)</f>
        <v>0</v>
      </c>
      <c r="Y19" s="60">
        <f>SUMIFS('IN STORE SALES RECORD'!$E$6:$E$97,'IN STORE SALES RECORD'!$A$6:$A$97, "WEEK 6",'IN STORE SALES RECORD'!$D$6:$D$97,'WHS STK MGT &amp; ALLOC.'!$A19)</f>
        <v>0</v>
      </c>
      <c r="Z19" s="85"/>
    </row>
    <row r="20" spans="1:26" s="27" customFormat="1">
      <c r="A20" s="25" t="s">
        <v>251</v>
      </c>
      <c r="B20" s="24" t="str">
        <f>IFERROR(INDEX('REFERENCING &amp; DATABASE'!$E$7:$E$131,MATCH($A20,'REFERENCING &amp; DATABASE'!$D$7:$D$131,0)),"")</f>
        <v>Skinny Fit Jeans</v>
      </c>
      <c r="C20" s="25" t="str">
        <f>IFERROR(INDEX('REFERENCING &amp; DATABASE'!$B$7:$B$131,MATCH($A20,'REFERENCING &amp; DATABASE'!$D$7:$D$131,0)),"")</f>
        <v>BOTTOMS</v>
      </c>
      <c r="D20" s="25" t="str">
        <f>IFERROR(INDEX('REFERENCING &amp; DATABASE'!$C$7:$C$131,MATCH($A20,'REFERENCING &amp; DATABASE'!$D$7:$D$131,0)),"")</f>
        <v>JEANS</v>
      </c>
      <c r="E20" s="26" t="str">
        <f>IFERROR(INDEX('REFERENCING &amp; DATABASE'!$F$7:$F$131,MATCH($A20,'REFERENCING &amp; DATABASE'!$D$7:$D$131,0)),"")</f>
        <v>A form-fitting silhouette that hugs your curves.</v>
      </c>
      <c r="F20" s="25" t="str">
        <f>IFERROR(INDEX('REFERENCING &amp; DATABASE'!$G$7:$G$131,MATCH($A20,'REFERENCING &amp; DATABASE'!$D$7:$D$131,0)),"")</f>
        <v>Blue,Black,Grey</v>
      </c>
      <c r="G20" s="93">
        <f>IFERROR(INDEX('REFERENCING &amp; DATABASE'!$H$7:$H$131,MATCH($A20,'REFERENCING &amp; DATABASE'!$D$7:$D$131,0)),"")</f>
        <v>10</v>
      </c>
      <c r="H20" s="25">
        <f>IFERROR(INDEX('REFERENCING &amp; DATABASE'!$A$7:$A$131,MATCH($A20,'REFERENCING &amp; DATABASE'!$D$7:$D$131,0)),"")</f>
        <v>207</v>
      </c>
      <c r="I20" s="60">
        <f t="shared" si="10"/>
        <v>197</v>
      </c>
      <c r="J20" s="60">
        <f t="shared" si="11"/>
        <v>4.8310000000000004</v>
      </c>
      <c r="K20" s="60">
        <f>SUMIFS('IN STORE SALES RECORD'!$E$6:$E$97,'IN STORE SALES RECORD'!$A$6:$A$97, "WEEK 1",'IN STORE SALES RECORD'!$D$6:$D$97,'WHS STK MGT &amp; ALLOC.'!$A20)+10</f>
        <v>10</v>
      </c>
      <c r="L20" s="60">
        <f t="shared" si="12"/>
        <v>0</v>
      </c>
      <c r="M20" s="60">
        <f>SUMIFS('IN STORE SALES RECORD'!$E$6:$E$97,'IN STORE SALES RECORD'!$A$6:$A$97, "WEEK 6",'IN STORE SALES RECORD'!$D$6:$D$97,'WHS STK MGT &amp; ALLOC.'!$A20)</f>
        <v>0</v>
      </c>
      <c r="N20" s="60">
        <f t="shared" si="13"/>
        <v>0</v>
      </c>
      <c r="O20" s="60">
        <f>SUMIFS('IN STORE SALES RECORD'!$E$6:$E$97,'IN STORE SALES RECORD'!$A$6:$A$97, "WEEK 6",'IN STORE SALES RECORD'!$D$6:$D$97,'WHS STK MGT &amp; ALLOC.'!$A20)</f>
        <v>0</v>
      </c>
      <c r="P20" s="60">
        <f t="shared" si="14"/>
        <v>0</v>
      </c>
      <c r="Q20" s="60">
        <f>SUMIFS('IN STORE SALES RECORD'!$E$6:$E$97,'IN STORE SALES RECORD'!$A$6:$A$97, "WEEK 6",'IN STORE SALES RECORD'!$D$6:$D$97,'WHS STK MGT &amp; ALLOC.'!$A20)</f>
        <v>0</v>
      </c>
      <c r="R20" s="60">
        <f t="shared" si="15"/>
        <v>0</v>
      </c>
      <c r="S20" s="60">
        <f>SUMIFS('IN STORE SALES RECORD'!$E$6:$E$97,'IN STORE SALES RECORD'!$A$6:$A$97, "WEEK 6",'IN STORE SALES RECORD'!$D$6:$D$97,'WHS STK MGT &amp; ALLOC.'!$A20)</f>
        <v>0</v>
      </c>
      <c r="T20" s="60">
        <f t="shared" si="16"/>
        <v>0</v>
      </c>
      <c r="U20" s="60">
        <f>SUMIFS('IN STORE SALES RECORD'!$E$6:$E$97,'IN STORE SALES RECORD'!$A$6:$A$97, "WEEK 6",'IN STORE SALES RECORD'!$D$6:$D$97,'WHS STK MGT &amp; ALLOC.'!$A20)</f>
        <v>0</v>
      </c>
      <c r="V20" s="60">
        <f t="shared" si="17"/>
        <v>0</v>
      </c>
      <c r="W20" s="60">
        <f>SUMIFS('IN STORE SALES RECORD'!$E$6:$E$97,'IN STORE SALES RECORD'!$A$6:$A$97, "WEEK 6",'IN STORE SALES RECORD'!$D$6:$D$97,'WHS STK MGT &amp; ALLOC.'!$A20)</f>
        <v>0</v>
      </c>
      <c r="X20" s="60">
        <f t="shared" si="18"/>
        <v>0</v>
      </c>
      <c r="Y20" s="60">
        <f>SUMIFS('IN STORE SALES RECORD'!$E$6:$E$97,'IN STORE SALES RECORD'!$A$6:$A$97, "WEEK 6",'IN STORE SALES RECORD'!$D$6:$D$97,'WHS STK MGT &amp; ALLOC.'!$A20)</f>
        <v>0</v>
      </c>
      <c r="Z20" s="85"/>
    </row>
    <row r="21" spans="1:26" s="27" customFormat="1">
      <c r="A21" s="25" t="s">
        <v>252</v>
      </c>
      <c r="B21" s="24" t="str">
        <f>IFERROR(INDEX('REFERENCING &amp; DATABASE'!$E$7:$E$131,MATCH($A21,'REFERENCING &amp; DATABASE'!$D$7:$D$131,0)),"")</f>
        <v>Bootcut Jeans</v>
      </c>
      <c r="C21" s="25" t="str">
        <f>IFERROR(INDEX('REFERENCING &amp; DATABASE'!$B$7:$B$131,MATCH($A21,'REFERENCING &amp; DATABASE'!$D$7:$D$131,0)),"")</f>
        <v>BOTTOMS</v>
      </c>
      <c r="D21" s="25" t="str">
        <f>IFERROR(INDEX('REFERENCING &amp; DATABASE'!$C$7:$C$131,MATCH($A21,'REFERENCING &amp; DATABASE'!$D$7:$D$131,0)),"")</f>
        <v>JEANS</v>
      </c>
      <c r="E21" s="26" t="str">
        <f>IFERROR(INDEX('REFERENCING &amp; DATABASE'!$F$7:$F$131,MATCH($A21,'REFERENCING &amp; DATABASE'!$D$7:$D$131,0)),"")</f>
        <v xml:space="preserve"> A flattering style that flares slightly at the ankle. </v>
      </c>
      <c r="F21" s="25" t="str">
        <f>IFERROR(INDEX('REFERENCING &amp; DATABASE'!$G$7:$G$131,MATCH($A21,'REFERENCING &amp; DATABASE'!$D$7:$D$131,0)),"")</f>
        <v>Blue,Black,Grey</v>
      </c>
      <c r="G21" s="93">
        <f>IFERROR(INDEX('REFERENCING &amp; DATABASE'!$H$7:$H$131,MATCH($A21,'REFERENCING &amp; DATABASE'!$D$7:$D$131,0)),"")</f>
        <v>10</v>
      </c>
      <c r="H21" s="25">
        <f>IFERROR(INDEX('REFERENCING &amp; DATABASE'!$A$7:$A$131,MATCH($A21,'REFERENCING &amp; DATABASE'!$D$7:$D$131,0)),"")</f>
        <v>644</v>
      </c>
      <c r="I21" s="60">
        <f t="shared" si="10"/>
        <v>634</v>
      </c>
      <c r="J21" s="60">
        <f t="shared" si="11"/>
        <v>1.5529999999999999</v>
      </c>
      <c r="K21" s="60">
        <f>SUMIFS('IN STORE SALES RECORD'!$E$6:$E$97,'IN STORE SALES RECORD'!$A$6:$A$97, "WEEK 1",'IN STORE SALES RECORD'!$D$6:$D$97,'WHS STK MGT &amp; ALLOC.'!$A21)+10</f>
        <v>10</v>
      </c>
      <c r="L21" s="60">
        <f t="shared" si="12"/>
        <v>0</v>
      </c>
      <c r="M21" s="60">
        <f>SUMIFS('IN STORE SALES RECORD'!$E$6:$E$97,'IN STORE SALES RECORD'!$A$6:$A$97, "WEEK 6",'IN STORE SALES RECORD'!$D$6:$D$97,'WHS STK MGT &amp; ALLOC.'!$A21)</f>
        <v>0</v>
      </c>
      <c r="N21" s="60">
        <f t="shared" si="13"/>
        <v>0</v>
      </c>
      <c r="O21" s="60">
        <f>SUMIFS('IN STORE SALES RECORD'!$E$6:$E$97,'IN STORE SALES RECORD'!$A$6:$A$97, "WEEK 6",'IN STORE SALES RECORD'!$D$6:$D$97,'WHS STK MGT &amp; ALLOC.'!$A21)</f>
        <v>0</v>
      </c>
      <c r="P21" s="60">
        <f t="shared" si="14"/>
        <v>0</v>
      </c>
      <c r="Q21" s="60">
        <f>SUMIFS('IN STORE SALES RECORD'!$E$6:$E$97,'IN STORE SALES RECORD'!$A$6:$A$97, "WEEK 6",'IN STORE SALES RECORD'!$D$6:$D$97,'WHS STK MGT &amp; ALLOC.'!$A21)</f>
        <v>0</v>
      </c>
      <c r="R21" s="60">
        <f t="shared" si="15"/>
        <v>0</v>
      </c>
      <c r="S21" s="60">
        <f>SUMIFS('IN STORE SALES RECORD'!$E$6:$E$97,'IN STORE SALES RECORD'!$A$6:$A$97, "WEEK 6",'IN STORE SALES RECORD'!$D$6:$D$97,'WHS STK MGT &amp; ALLOC.'!$A21)</f>
        <v>0</v>
      </c>
      <c r="T21" s="60">
        <f t="shared" si="16"/>
        <v>0</v>
      </c>
      <c r="U21" s="60">
        <f>SUMIFS('IN STORE SALES RECORD'!$E$6:$E$97,'IN STORE SALES RECORD'!$A$6:$A$97, "WEEK 6",'IN STORE SALES RECORD'!$D$6:$D$97,'WHS STK MGT &amp; ALLOC.'!$A21)</f>
        <v>0</v>
      </c>
      <c r="V21" s="60">
        <f t="shared" si="17"/>
        <v>0</v>
      </c>
      <c r="W21" s="60">
        <f>SUMIFS('IN STORE SALES RECORD'!$E$6:$E$97,'IN STORE SALES RECORD'!$A$6:$A$97, "WEEK 6",'IN STORE SALES RECORD'!$D$6:$D$97,'WHS STK MGT &amp; ALLOC.'!$A21)</f>
        <v>0</v>
      </c>
      <c r="X21" s="60">
        <f t="shared" si="18"/>
        <v>0</v>
      </c>
      <c r="Y21" s="60">
        <f>SUMIFS('IN STORE SALES RECORD'!$E$6:$E$97,'IN STORE SALES RECORD'!$A$6:$A$97, "WEEK 6",'IN STORE SALES RECORD'!$D$6:$D$97,'WHS STK MGT &amp; ALLOC.'!$A21)</f>
        <v>0</v>
      </c>
      <c r="Z21" s="85"/>
    </row>
    <row r="22" spans="1:26" s="27" customFormat="1" ht="30">
      <c r="A22" s="25" t="s">
        <v>253</v>
      </c>
      <c r="B22" s="24" t="str">
        <f>IFERROR(INDEX('REFERENCING &amp; DATABASE'!$E$7:$E$131,MATCH($A22,'REFERENCING &amp; DATABASE'!$D$7:$D$131,0)),"")</f>
        <v>High-Waisted Jeans</v>
      </c>
      <c r="C22" s="25" t="str">
        <f>IFERROR(INDEX('REFERENCING &amp; DATABASE'!$B$7:$B$131,MATCH($A22,'REFERENCING &amp; DATABASE'!$D$7:$D$131,0)),"")</f>
        <v>BOTTOMS</v>
      </c>
      <c r="D22" s="25" t="str">
        <f>IFERROR(INDEX('REFERENCING &amp; DATABASE'!$C$7:$C$131,MATCH($A22,'REFERENCING &amp; DATABASE'!$D$7:$D$131,0)),"")</f>
        <v>JEANS</v>
      </c>
      <c r="E22" s="26" t="str">
        <f>IFERROR(INDEX('REFERENCING &amp; DATABASE'!$F$7:$F$131,MATCH($A22,'REFERENCING &amp; DATABASE'!$D$7:$D$131,0)),"")</f>
        <v>A high-rise silhouette that elongates your legs and flatters your figure.</v>
      </c>
      <c r="F22" s="25" t="str">
        <f>IFERROR(INDEX('REFERENCING &amp; DATABASE'!$G$7:$G$131,MATCH($A22,'REFERENCING &amp; DATABASE'!$D$7:$D$131,0)),"")</f>
        <v>Blue,Black,Grey</v>
      </c>
      <c r="G22" s="93">
        <f>IFERROR(INDEX('REFERENCING &amp; DATABASE'!$H$7:$H$131,MATCH($A22,'REFERENCING &amp; DATABASE'!$D$7:$D$131,0)),"")</f>
        <v>10</v>
      </c>
      <c r="H22" s="25">
        <f>IFERROR(INDEX('REFERENCING &amp; DATABASE'!$A$7:$A$131,MATCH($A22,'REFERENCING &amp; DATABASE'!$D$7:$D$131,0)),"")</f>
        <v>585</v>
      </c>
      <c r="I22" s="60">
        <f t="shared" si="10"/>
        <v>485</v>
      </c>
      <c r="J22" s="60">
        <f t="shared" si="11"/>
        <v>17.094000000000001</v>
      </c>
      <c r="K22" s="60">
        <f>SUMIFS('IN STORE SALES RECORD'!$E$6:$E$97,'IN STORE SALES RECORD'!$A$6:$A$97, "WEEK 1",'IN STORE SALES RECORD'!$D$6:$D$97,'WHS STK MGT &amp; ALLOC.'!$A22)+10</f>
        <v>100</v>
      </c>
      <c r="L22" s="60">
        <f t="shared" si="12"/>
        <v>0</v>
      </c>
      <c r="M22" s="60">
        <f>SUMIFS('IN STORE SALES RECORD'!$E$6:$E$97,'IN STORE SALES RECORD'!$A$6:$A$97, "WEEK 6",'IN STORE SALES RECORD'!$D$6:$D$97,'WHS STK MGT &amp; ALLOC.'!$A22)</f>
        <v>0</v>
      </c>
      <c r="N22" s="60">
        <f t="shared" si="13"/>
        <v>0</v>
      </c>
      <c r="O22" s="60">
        <f>SUMIFS('IN STORE SALES RECORD'!$E$6:$E$97,'IN STORE SALES RECORD'!$A$6:$A$97, "WEEK 6",'IN STORE SALES RECORD'!$D$6:$D$97,'WHS STK MGT &amp; ALLOC.'!$A22)</f>
        <v>0</v>
      </c>
      <c r="P22" s="60">
        <f t="shared" si="14"/>
        <v>0</v>
      </c>
      <c r="Q22" s="60">
        <f>SUMIFS('IN STORE SALES RECORD'!$E$6:$E$97,'IN STORE SALES RECORD'!$A$6:$A$97, "WEEK 6",'IN STORE SALES RECORD'!$D$6:$D$97,'WHS STK MGT &amp; ALLOC.'!$A22)</f>
        <v>0</v>
      </c>
      <c r="R22" s="60">
        <f t="shared" si="15"/>
        <v>0</v>
      </c>
      <c r="S22" s="60">
        <f>SUMIFS('IN STORE SALES RECORD'!$E$6:$E$97,'IN STORE SALES RECORD'!$A$6:$A$97, "WEEK 6",'IN STORE SALES RECORD'!$D$6:$D$97,'WHS STK MGT &amp; ALLOC.'!$A22)</f>
        <v>0</v>
      </c>
      <c r="T22" s="60">
        <f t="shared" si="16"/>
        <v>0</v>
      </c>
      <c r="U22" s="60">
        <f>SUMIFS('IN STORE SALES RECORD'!$E$6:$E$97,'IN STORE SALES RECORD'!$A$6:$A$97, "WEEK 6",'IN STORE SALES RECORD'!$D$6:$D$97,'WHS STK MGT &amp; ALLOC.'!$A22)</f>
        <v>0</v>
      </c>
      <c r="V22" s="60">
        <f t="shared" si="17"/>
        <v>0</v>
      </c>
      <c r="W22" s="60">
        <f>SUMIFS('IN STORE SALES RECORD'!$E$6:$E$97,'IN STORE SALES RECORD'!$A$6:$A$97, "WEEK 6",'IN STORE SALES RECORD'!$D$6:$D$97,'WHS STK MGT &amp; ALLOC.'!$A22)</f>
        <v>0</v>
      </c>
      <c r="X22" s="60">
        <f t="shared" si="18"/>
        <v>0</v>
      </c>
      <c r="Y22" s="60">
        <f>SUMIFS('IN STORE SALES RECORD'!$E$6:$E$97,'IN STORE SALES RECORD'!$A$6:$A$97, "WEEK 6",'IN STORE SALES RECORD'!$D$6:$D$97,'WHS STK MGT &amp; ALLOC.'!$A22)</f>
        <v>0</v>
      </c>
      <c r="Z22" s="85"/>
    </row>
    <row r="23" spans="1:26" s="27" customFormat="1" ht="30">
      <c r="A23" s="25" t="s">
        <v>254</v>
      </c>
      <c r="B23" s="24" t="str">
        <f>IFERROR(INDEX('REFERENCING &amp; DATABASE'!$E$7:$E$131,MATCH($A23,'REFERENCING &amp; DATABASE'!$D$7:$D$131,0)),"")</f>
        <v>Khaki Chinos</v>
      </c>
      <c r="C23" s="25" t="str">
        <f>IFERROR(INDEX('REFERENCING &amp; DATABASE'!$B$7:$B$131,MATCH($A23,'REFERENCING &amp; DATABASE'!$D$7:$D$131,0)),"")</f>
        <v>BOTTOMS</v>
      </c>
      <c r="D23" s="25" t="str">
        <f>IFERROR(INDEX('REFERENCING &amp; DATABASE'!$C$7:$C$131,MATCH($A23,'REFERENCING &amp; DATABASE'!$D$7:$D$131,0)),"")</f>
        <v>PANTS</v>
      </c>
      <c r="E23" s="26" t="str">
        <f>IFERROR(INDEX('REFERENCING &amp; DATABASE'!$F$7:$F$131,MATCH($A23,'REFERENCING &amp; DATABASE'!$D$7:$D$131,0)),"")</f>
        <v>A versatile and comfortable option for work or casual wear.</v>
      </c>
      <c r="F23" s="25" t="str">
        <f>IFERROR(INDEX('REFERENCING &amp; DATABASE'!$G$7:$G$131,MATCH($A23,'REFERENCING &amp; DATABASE'!$D$7:$D$131,0)),"")</f>
        <v>Brown,Black</v>
      </c>
      <c r="G23" s="93">
        <f>IFERROR(INDEX('REFERENCING &amp; DATABASE'!$H$7:$H$131,MATCH($A23,'REFERENCING &amp; DATABASE'!$D$7:$D$131,0)),"")</f>
        <v>10</v>
      </c>
      <c r="H23" s="25">
        <f>IFERROR(INDEX('REFERENCING &amp; DATABASE'!$A$7:$A$131,MATCH($A23,'REFERENCING &amp; DATABASE'!$D$7:$D$131,0)),"")</f>
        <v>597</v>
      </c>
      <c r="I23" s="60">
        <f t="shared" si="10"/>
        <v>587</v>
      </c>
      <c r="J23" s="60">
        <f t="shared" si="11"/>
        <v>1.675</v>
      </c>
      <c r="K23" s="60">
        <f>SUMIFS('IN STORE SALES RECORD'!$E$6:$E$97,'IN STORE SALES RECORD'!$A$6:$A$97, "WEEK 1",'IN STORE SALES RECORD'!$D$6:$D$97,'WHS STK MGT &amp; ALLOC.'!$A23)+10</f>
        <v>10</v>
      </c>
      <c r="L23" s="60">
        <f t="shared" si="12"/>
        <v>0</v>
      </c>
      <c r="M23" s="60">
        <f>SUMIFS('IN STORE SALES RECORD'!$E$6:$E$97,'IN STORE SALES RECORD'!$A$6:$A$97, "WEEK 6",'IN STORE SALES RECORD'!$D$6:$D$97,'WHS STK MGT &amp; ALLOC.'!$A23)</f>
        <v>0</v>
      </c>
      <c r="N23" s="60">
        <f t="shared" si="13"/>
        <v>0</v>
      </c>
      <c r="O23" s="60">
        <f>SUMIFS('IN STORE SALES RECORD'!$E$6:$E$97,'IN STORE SALES RECORD'!$A$6:$A$97, "WEEK 6",'IN STORE SALES RECORD'!$D$6:$D$97,'WHS STK MGT &amp; ALLOC.'!$A23)</f>
        <v>0</v>
      </c>
      <c r="P23" s="60">
        <f t="shared" si="14"/>
        <v>0</v>
      </c>
      <c r="Q23" s="60">
        <f>SUMIFS('IN STORE SALES RECORD'!$E$6:$E$97,'IN STORE SALES RECORD'!$A$6:$A$97, "WEEK 6",'IN STORE SALES RECORD'!$D$6:$D$97,'WHS STK MGT &amp; ALLOC.'!$A23)</f>
        <v>0</v>
      </c>
      <c r="R23" s="60">
        <f t="shared" si="15"/>
        <v>0</v>
      </c>
      <c r="S23" s="60">
        <f>SUMIFS('IN STORE SALES RECORD'!$E$6:$E$97,'IN STORE SALES RECORD'!$A$6:$A$97, "WEEK 6",'IN STORE SALES RECORD'!$D$6:$D$97,'WHS STK MGT &amp; ALLOC.'!$A23)</f>
        <v>0</v>
      </c>
      <c r="T23" s="60">
        <f t="shared" si="16"/>
        <v>0</v>
      </c>
      <c r="U23" s="60">
        <f>SUMIFS('IN STORE SALES RECORD'!$E$6:$E$97,'IN STORE SALES RECORD'!$A$6:$A$97, "WEEK 6",'IN STORE SALES RECORD'!$D$6:$D$97,'WHS STK MGT &amp; ALLOC.'!$A23)</f>
        <v>0</v>
      </c>
      <c r="V23" s="60">
        <f t="shared" si="17"/>
        <v>0</v>
      </c>
      <c r="W23" s="60">
        <f>SUMIFS('IN STORE SALES RECORD'!$E$6:$E$97,'IN STORE SALES RECORD'!$A$6:$A$97, "WEEK 6",'IN STORE SALES RECORD'!$D$6:$D$97,'WHS STK MGT &amp; ALLOC.'!$A23)</f>
        <v>0</v>
      </c>
      <c r="X23" s="60">
        <f t="shared" si="18"/>
        <v>0</v>
      </c>
      <c r="Y23" s="60">
        <f>SUMIFS('IN STORE SALES RECORD'!$E$6:$E$97,'IN STORE SALES RECORD'!$A$6:$A$97, "WEEK 6",'IN STORE SALES RECORD'!$D$6:$D$97,'WHS STK MGT &amp; ALLOC.'!$A23)</f>
        <v>0</v>
      </c>
      <c r="Z23" s="85"/>
    </row>
    <row r="24" spans="1:26" s="29" customFormat="1" ht="30">
      <c r="A24" s="25" t="s">
        <v>217</v>
      </c>
      <c r="B24" s="24" t="str">
        <f>IFERROR(INDEX('REFERENCING &amp; DATABASE'!$E$7:$E$131,MATCH($A24,'REFERENCING &amp; DATABASE'!$D$7:$D$131,0)),"")</f>
        <v>Slim-Fit Dress Pants</v>
      </c>
      <c r="C24" s="25" t="str">
        <f>IFERROR(INDEX('REFERENCING &amp; DATABASE'!$B$7:$B$131,MATCH($A24,'REFERENCING &amp; DATABASE'!$D$7:$D$131,0)),"")</f>
        <v>BOTTOMS</v>
      </c>
      <c r="D24" s="25" t="str">
        <f>IFERROR(INDEX('REFERENCING &amp; DATABASE'!$C$7:$C$131,MATCH($A24,'REFERENCING &amp; DATABASE'!$D$7:$D$131,0)),"")</f>
        <v>PANTS</v>
      </c>
      <c r="E24" s="26" t="str">
        <f>IFERROR(INDEX('REFERENCING &amp; DATABASE'!$F$7:$F$131,MATCH($A24,'REFERENCING &amp; DATABASE'!$D$7:$D$131,0)),"")</f>
        <v>A polished and professional style for work or special occasions.</v>
      </c>
      <c r="F24" s="25" t="str">
        <f>IFERROR(INDEX('REFERENCING &amp; DATABASE'!$G$7:$G$131,MATCH($A24,'REFERENCING &amp; DATABASE'!$D$7:$D$131,0)),"")</f>
        <v>green, yellow and lavender</v>
      </c>
      <c r="G24" s="93">
        <f>IFERROR(INDEX('REFERENCING &amp; DATABASE'!$H$7:$H$131,MATCH($A24,'REFERENCING &amp; DATABASE'!$D$7:$D$131,0)),"")</f>
        <v>10</v>
      </c>
      <c r="H24" s="25">
        <f>IFERROR(INDEX('REFERENCING &amp; DATABASE'!$A$7:$A$131,MATCH($A24,'REFERENCING &amp; DATABASE'!$D$7:$D$131,0)),"")</f>
        <v>638</v>
      </c>
      <c r="I24" s="60">
        <f t="shared" ref="I24:I27" si="19">H24-SUM($K24,$M24,$O24,$Q24)</f>
        <v>628</v>
      </c>
      <c r="J24" s="60">
        <f t="shared" si="11"/>
        <v>1.5669999999999999</v>
      </c>
      <c r="K24" s="60">
        <f>SUMIFS('IN STORE SALES RECORD'!$E$6:$E$97,'IN STORE SALES RECORD'!$A$6:$A$97, "WEEK 1",'IN STORE SALES RECORD'!$D$6:$D$97,'WHS STK MGT &amp; ALLOC.'!$A24)+10</f>
        <v>10</v>
      </c>
      <c r="L24" s="60">
        <f t="shared" si="12"/>
        <v>0</v>
      </c>
      <c r="M24" s="60">
        <f>SUMIFS('IN STORE SALES RECORD'!$E$6:$E$97,'IN STORE SALES RECORD'!$A$6:$A$97, "WEEK 6",'IN STORE SALES RECORD'!$D$6:$D$97,'WHS STK MGT &amp; ALLOC.'!$A24)</f>
        <v>0</v>
      </c>
      <c r="N24" s="60">
        <f t="shared" si="13"/>
        <v>0</v>
      </c>
      <c r="O24" s="60">
        <f>SUMIFS('IN STORE SALES RECORD'!$E$6:$E$97,'IN STORE SALES RECORD'!$A$6:$A$97, "WEEK 6",'IN STORE SALES RECORD'!$D$6:$D$97,'WHS STK MGT &amp; ALLOC.'!$A24)</f>
        <v>0</v>
      </c>
      <c r="P24" s="60">
        <f t="shared" si="14"/>
        <v>0</v>
      </c>
      <c r="Q24" s="60">
        <f>SUMIFS('IN STORE SALES RECORD'!$E$6:$E$97,'IN STORE SALES RECORD'!$A$6:$A$97, "WEEK 6",'IN STORE SALES RECORD'!$D$6:$D$97,'WHS STK MGT &amp; ALLOC.'!$A24)</f>
        <v>0</v>
      </c>
      <c r="R24" s="60">
        <f t="shared" si="15"/>
        <v>0</v>
      </c>
      <c r="S24" s="60">
        <f>SUMIFS('IN STORE SALES RECORD'!$E$6:$E$97,'IN STORE SALES RECORD'!$A$6:$A$97, "WEEK 6",'IN STORE SALES RECORD'!$D$6:$D$97,'WHS STK MGT &amp; ALLOC.'!$A24)</f>
        <v>0</v>
      </c>
      <c r="T24" s="60">
        <f t="shared" si="16"/>
        <v>0</v>
      </c>
      <c r="U24" s="60">
        <f>SUMIFS('IN STORE SALES RECORD'!$E$6:$E$97,'IN STORE SALES RECORD'!$A$6:$A$97, "WEEK 6",'IN STORE SALES RECORD'!$D$6:$D$97,'WHS STK MGT &amp; ALLOC.'!$A24)</f>
        <v>0</v>
      </c>
      <c r="V24" s="60">
        <f t="shared" si="17"/>
        <v>0</v>
      </c>
      <c r="W24" s="60">
        <f>SUMIFS('IN STORE SALES RECORD'!$E$6:$E$97,'IN STORE SALES RECORD'!$A$6:$A$97, "WEEK 6",'IN STORE SALES RECORD'!$D$6:$D$97,'WHS STK MGT &amp; ALLOC.'!$A24)</f>
        <v>0</v>
      </c>
      <c r="X24" s="60">
        <f t="shared" si="18"/>
        <v>0</v>
      </c>
      <c r="Y24" s="60">
        <f>SUMIFS('IN STORE SALES RECORD'!$E$6:$E$97,'IN STORE SALES RECORD'!$A$6:$A$97, "WEEK 6",'IN STORE SALES RECORD'!$D$6:$D$97,'WHS STK MGT &amp; ALLOC.'!$A24)</f>
        <v>0</v>
      </c>
      <c r="Z24" s="88"/>
    </row>
    <row r="25" spans="1:26" s="19" customFormat="1" ht="30">
      <c r="A25" s="25" t="s">
        <v>262</v>
      </c>
      <c r="B25" s="24" t="str">
        <f>IFERROR(INDEX('REFERENCING &amp; DATABASE'!$E$7:$E$131,MATCH($A25,'REFERENCING &amp; DATABASE'!$D$7:$D$131,0)),"")</f>
        <v>Utility Cargo Pants</v>
      </c>
      <c r="C25" s="25" t="str">
        <f>IFERROR(INDEX('REFERENCING &amp; DATABASE'!$B$7:$B$131,MATCH($A25,'REFERENCING &amp; DATABASE'!$D$7:$D$131,0)),"")</f>
        <v>BOTTOMS</v>
      </c>
      <c r="D25" s="25" t="str">
        <f>IFERROR(INDEX('REFERENCING &amp; DATABASE'!$C$7:$C$131,MATCH($A25,'REFERENCING &amp; DATABASE'!$D$7:$D$131,0)),"")</f>
        <v>PANTS</v>
      </c>
      <c r="E25" s="26" t="str">
        <f>IFERROR(INDEX('REFERENCING &amp; DATABASE'!$F$7:$F$131,MATCH($A25,'REFERENCING &amp; DATABASE'!$D$7:$D$131,0)),"")</f>
        <v>A functional and stylish option with multiple pockets.</v>
      </c>
      <c r="F25" s="25" t="str">
        <f>IFERROR(INDEX('REFERENCING &amp; DATABASE'!$G$7:$G$131,MATCH($A25,'REFERENCING &amp; DATABASE'!$D$7:$D$131,0)),"")</f>
        <v>Blue,Black,Grey</v>
      </c>
      <c r="G25" s="93">
        <f>IFERROR(INDEX('REFERENCING &amp; DATABASE'!$H$7:$H$131,MATCH($A25,'REFERENCING &amp; DATABASE'!$D$7:$D$131,0)),"")</f>
        <v>10</v>
      </c>
      <c r="H25" s="25">
        <f>IFERROR(INDEX('REFERENCING &amp; DATABASE'!$A$7:$A$131,MATCH($A25,'REFERENCING &amp; DATABASE'!$D$7:$D$131,0)),"")</f>
        <v>717</v>
      </c>
      <c r="I25" s="60">
        <f t="shared" si="19"/>
        <v>707</v>
      </c>
      <c r="J25" s="60">
        <f t="shared" si="11"/>
        <v>1.395</v>
      </c>
      <c r="K25" s="60">
        <f>SUMIFS('IN STORE SALES RECORD'!$E$6:$E$97,'IN STORE SALES RECORD'!$A$6:$A$97, "WEEK 1",'IN STORE SALES RECORD'!$D$6:$D$97,'WHS STK MGT &amp; ALLOC.'!$A25)+10</f>
        <v>10</v>
      </c>
      <c r="L25" s="60">
        <f t="shared" si="12"/>
        <v>0</v>
      </c>
      <c r="M25" s="60">
        <f>SUMIFS('IN STORE SALES RECORD'!$E$6:$E$97,'IN STORE SALES RECORD'!$A$6:$A$97, "WEEK 6",'IN STORE SALES RECORD'!$D$6:$D$97,'WHS STK MGT &amp; ALLOC.'!$A25)</f>
        <v>0</v>
      </c>
      <c r="N25" s="60">
        <f t="shared" si="13"/>
        <v>0</v>
      </c>
      <c r="O25" s="60">
        <f>SUMIFS('IN STORE SALES RECORD'!$E$6:$E$97,'IN STORE SALES RECORD'!$A$6:$A$97, "WEEK 6",'IN STORE SALES RECORD'!$D$6:$D$97,'WHS STK MGT &amp; ALLOC.'!$A25)</f>
        <v>0</v>
      </c>
      <c r="P25" s="60">
        <f t="shared" si="14"/>
        <v>0</v>
      </c>
      <c r="Q25" s="60">
        <f>SUMIFS('IN STORE SALES RECORD'!$E$6:$E$97,'IN STORE SALES RECORD'!$A$6:$A$97, "WEEK 6",'IN STORE SALES RECORD'!$D$6:$D$97,'WHS STK MGT &amp; ALLOC.'!$A25)</f>
        <v>0</v>
      </c>
      <c r="R25" s="60">
        <f t="shared" si="15"/>
        <v>0</v>
      </c>
      <c r="S25" s="60">
        <f>SUMIFS('IN STORE SALES RECORD'!$E$6:$E$97,'IN STORE SALES RECORD'!$A$6:$A$97, "WEEK 6",'IN STORE SALES RECORD'!$D$6:$D$97,'WHS STK MGT &amp; ALLOC.'!$A25)</f>
        <v>0</v>
      </c>
      <c r="T25" s="60">
        <f t="shared" si="16"/>
        <v>0</v>
      </c>
      <c r="U25" s="60">
        <f>SUMIFS('IN STORE SALES RECORD'!$E$6:$E$97,'IN STORE SALES RECORD'!$A$6:$A$97, "WEEK 6",'IN STORE SALES RECORD'!$D$6:$D$97,'WHS STK MGT &amp; ALLOC.'!$A25)</f>
        <v>0</v>
      </c>
      <c r="V25" s="60">
        <f t="shared" si="17"/>
        <v>0</v>
      </c>
      <c r="W25" s="60">
        <f>SUMIFS('IN STORE SALES RECORD'!$E$6:$E$97,'IN STORE SALES RECORD'!$A$6:$A$97, "WEEK 6",'IN STORE SALES RECORD'!$D$6:$D$97,'WHS STK MGT &amp; ALLOC.'!$A25)</f>
        <v>0</v>
      </c>
      <c r="X25" s="60">
        <f t="shared" si="18"/>
        <v>0</v>
      </c>
      <c r="Y25" s="60">
        <f>SUMIFS('IN STORE SALES RECORD'!$E$6:$E$97,'IN STORE SALES RECORD'!$A$6:$A$97, "WEEK 6",'IN STORE SALES RECORD'!$D$6:$D$97,'WHS STK MGT &amp; ALLOC.'!$A25)</f>
        <v>0</v>
      </c>
    </row>
    <row r="26" spans="1:26" s="19" customFormat="1" ht="30">
      <c r="A26" s="25" t="s">
        <v>218</v>
      </c>
      <c r="B26" s="24" t="str">
        <f>IFERROR(INDEX('REFERENCING &amp; DATABASE'!$E$7:$E$131,MATCH($A26,'REFERENCING &amp; DATABASE'!$D$7:$D$131,0)),"")</f>
        <v>Cozy Joggers</v>
      </c>
      <c r="C26" s="25" t="str">
        <f>IFERROR(INDEX('REFERENCING &amp; DATABASE'!$B$7:$B$131,MATCH($A26,'REFERENCING &amp; DATABASE'!$D$7:$D$131,0)),"")</f>
        <v>BOTTOMS</v>
      </c>
      <c r="D26" s="25" t="str">
        <f>IFERROR(INDEX('REFERENCING &amp; DATABASE'!$C$7:$C$131,MATCH($A26,'REFERENCING &amp; DATABASE'!$D$7:$D$131,0)),"")</f>
        <v>PANTS</v>
      </c>
      <c r="E26" s="26" t="str">
        <f>IFERROR(INDEX('REFERENCING &amp; DATABASE'!$F$7:$F$131,MATCH($A26,'REFERENCING &amp; DATABASE'!$D$7:$D$131,0)),"")</f>
        <v>A comfortable and relaxed-fit style for lounging or exercising.</v>
      </c>
      <c r="F26" s="25" t="str">
        <f>IFERROR(INDEX('REFERENCING &amp; DATABASE'!$G$7:$G$131,MATCH($A26,'REFERENCING &amp; DATABASE'!$D$7:$D$131,0)),"")</f>
        <v>Grey</v>
      </c>
      <c r="G26" s="93">
        <f>IFERROR(INDEX('REFERENCING &amp; DATABASE'!$H$7:$H$131,MATCH($A26,'REFERENCING &amp; DATABASE'!$D$7:$D$131,0)),"")</f>
        <v>10</v>
      </c>
      <c r="H26" s="25">
        <f>IFERROR(INDEX('REFERENCING &amp; DATABASE'!$A$7:$A$131,MATCH($A26,'REFERENCING &amp; DATABASE'!$D$7:$D$131,0)),"")</f>
        <v>755</v>
      </c>
      <c r="I26" s="60">
        <f t="shared" si="19"/>
        <v>745</v>
      </c>
      <c r="J26" s="60">
        <f t="shared" si="11"/>
        <v>1.325</v>
      </c>
      <c r="K26" s="60">
        <f>SUMIFS('IN STORE SALES RECORD'!$E$6:$E$97,'IN STORE SALES RECORD'!$A$6:$A$97, "WEEK 1",'IN STORE SALES RECORD'!$D$6:$D$97,'WHS STK MGT &amp; ALLOC.'!$A26)+10</f>
        <v>10</v>
      </c>
      <c r="L26" s="60">
        <f t="shared" si="12"/>
        <v>0</v>
      </c>
      <c r="M26" s="60">
        <f>SUMIFS('IN STORE SALES RECORD'!$E$6:$E$97,'IN STORE SALES RECORD'!$A$6:$A$97, "WEEK 6",'IN STORE SALES RECORD'!$D$6:$D$97,'WHS STK MGT &amp; ALLOC.'!$A26)</f>
        <v>0</v>
      </c>
      <c r="N26" s="60">
        <f t="shared" si="13"/>
        <v>0</v>
      </c>
      <c r="O26" s="60">
        <f>SUMIFS('IN STORE SALES RECORD'!$E$6:$E$97,'IN STORE SALES RECORD'!$A$6:$A$97, "WEEK 6",'IN STORE SALES RECORD'!$D$6:$D$97,'WHS STK MGT &amp; ALLOC.'!$A26)</f>
        <v>0</v>
      </c>
      <c r="P26" s="60">
        <f t="shared" si="14"/>
        <v>0</v>
      </c>
      <c r="Q26" s="60">
        <f>SUMIFS('IN STORE SALES RECORD'!$E$6:$E$97,'IN STORE SALES RECORD'!$A$6:$A$97, "WEEK 6",'IN STORE SALES RECORD'!$D$6:$D$97,'WHS STK MGT &amp; ALLOC.'!$A26)</f>
        <v>0</v>
      </c>
      <c r="R26" s="60">
        <f t="shared" si="15"/>
        <v>0</v>
      </c>
      <c r="S26" s="60">
        <f>SUMIFS('IN STORE SALES RECORD'!$E$6:$E$97,'IN STORE SALES RECORD'!$A$6:$A$97, "WEEK 6",'IN STORE SALES RECORD'!$D$6:$D$97,'WHS STK MGT &amp; ALLOC.'!$A26)</f>
        <v>0</v>
      </c>
      <c r="T26" s="60">
        <f t="shared" si="16"/>
        <v>0</v>
      </c>
      <c r="U26" s="60">
        <f>SUMIFS('IN STORE SALES RECORD'!$E$6:$E$97,'IN STORE SALES RECORD'!$A$6:$A$97, "WEEK 6",'IN STORE SALES RECORD'!$D$6:$D$97,'WHS STK MGT &amp; ALLOC.'!$A26)</f>
        <v>0</v>
      </c>
      <c r="V26" s="60">
        <f t="shared" si="17"/>
        <v>0</v>
      </c>
      <c r="W26" s="60">
        <f>SUMIFS('IN STORE SALES RECORD'!$E$6:$E$97,'IN STORE SALES RECORD'!$A$6:$A$97, "WEEK 6",'IN STORE SALES RECORD'!$D$6:$D$97,'WHS STK MGT &amp; ALLOC.'!$A26)</f>
        <v>0</v>
      </c>
      <c r="X26" s="60">
        <f t="shared" si="18"/>
        <v>0</v>
      </c>
      <c r="Y26" s="60">
        <f>SUMIFS('IN STORE SALES RECORD'!$E$6:$E$97,'IN STORE SALES RECORD'!$A$6:$A$97, "WEEK 6",'IN STORE SALES RECORD'!$D$6:$D$97,'WHS STK MGT &amp; ALLOC.'!$A26)</f>
        <v>0</v>
      </c>
    </row>
    <row r="27" spans="1:26" s="19" customFormat="1" ht="30">
      <c r="A27" s="25" t="s">
        <v>263</v>
      </c>
      <c r="B27" s="24" t="str">
        <f>IFERROR(INDEX('REFERENCING &amp; DATABASE'!$E$7:$E$131,MATCH($A27,'REFERENCING &amp; DATABASE'!$D$7:$D$131,0)),"")</f>
        <v>Tech Fleece Track Pants</v>
      </c>
      <c r="C27" s="25" t="str">
        <f>IFERROR(INDEX('REFERENCING &amp; DATABASE'!$B$7:$B$131,MATCH($A27,'REFERENCING &amp; DATABASE'!$D$7:$D$131,0)),"")</f>
        <v>BOTTOMS</v>
      </c>
      <c r="D27" s="25" t="str">
        <f>IFERROR(INDEX('REFERENCING &amp; DATABASE'!$C$7:$C$131,MATCH($A27,'REFERENCING &amp; DATABASE'!$D$7:$D$131,0)),"")</f>
        <v>PANTS</v>
      </c>
      <c r="E27" s="26" t="str">
        <f>IFERROR(INDEX('REFERENCING &amp; DATABASE'!$F$7:$F$131,MATCH($A27,'REFERENCING &amp; DATABASE'!$D$7:$D$131,0)),"")</f>
        <v>Breathable and moisture-wicking pants for athletic activities or everyday wear.</v>
      </c>
      <c r="F27" s="25" t="str">
        <f>IFERROR(INDEX('REFERENCING &amp; DATABASE'!$G$7:$G$131,MATCH($A27,'REFERENCING &amp; DATABASE'!$D$7:$D$131,0)),"")</f>
        <v>Multi-colors</v>
      </c>
      <c r="G27" s="93">
        <f>IFERROR(INDEX('REFERENCING &amp; DATABASE'!$H$7:$H$131,MATCH($A27,'REFERENCING &amp; DATABASE'!$D$7:$D$131,0)),"")</f>
        <v>10</v>
      </c>
      <c r="H27" s="25">
        <f>IFERROR(INDEX('REFERENCING &amp; DATABASE'!$A$7:$A$131,MATCH($A27,'REFERENCING &amp; DATABASE'!$D$7:$D$131,0)),"")</f>
        <v>499</v>
      </c>
      <c r="I27" s="60">
        <f t="shared" si="19"/>
        <v>489</v>
      </c>
      <c r="J27" s="60">
        <f t="shared" si="11"/>
        <v>2.004</v>
      </c>
      <c r="K27" s="60">
        <f>SUMIFS('IN STORE SALES RECORD'!$E$6:$E$97,'IN STORE SALES RECORD'!$A$6:$A$97, "WEEK 1",'IN STORE SALES RECORD'!$D$6:$D$97,'WHS STK MGT &amp; ALLOC.'!$A27)+10</f>
        <v>10</v>
      </c>
      <c r="L27" s="60">
        <f t="shared" si="12"/>
        <v>0</v>
      </c>
      <c r="M27" s="60">
        <f>SUMIFS('IN STORE SALES RECORD'!$E$6:$E$97,'IN STORE SALES RECORD'!$A$6:$A$97, "WEEK 6",'IN STORE SALES RECORD'!$D$6:$D$97,'WHS STK MGT &amp; ALLOC.'!$A27)</f>
        <v>0</v>
      </c>
      <c r="N27" s="60">
        <f t="shared" si="13"/>
        <v>0</v>
      </c>
      <c r="O27" s="60">
        <f>SUMIFS('IN STORE SALES RECORD'!$E$6:$E$97,'IN STORE SALES RECORD'!$A$6:$A$97, "WEEK 6",'IN STORE SALES RECORD'!$D$6:$D$97,'WHS STK MGT &amp; ALLOC.'!$A27)</f>
        <v>0</v>
      </c>
      <c r="P27" s="60">
        <f t="shared" si="14"/>
        <v>0</v>
      </c>
      <c r="Q27" s="60">
        <f>SUMIFS('IN STORE SALES RECORD'!$E$6:$E$97,'IN STORE SALES RECORD'!$A$6:$A$97, "WEEK 6",'IN STORE SALES RECORD'!$D$6:$D$97,'WHS STK MGT &amp; ALLOC.'!$A27)</f>
        <v>0</v>
      </c>
      <c r="R27" s="60">
        <f t="shared" si="15"/>
        <v>0</v>
      </c>
      <c r="S27" s="60">
        <f>SUMIFS('IN STORE SALES RECORD'!$E$6:$E$97,'IN STORE SALES RECORD'!$A$6:$A$97, "WEEK 6",'IN STORE SALES RECORD'!$D$6:$D$97,'WHS STK MGT &amp; ALLOC.'!$A27)</f>
        <v>0</v>
      </c>
      <c r="T27" s="60">
        <f t="shared" si="16"/>
        <v>0</v>
      </c>
      <c r="U27" s="60">
        <f>SUMIFS('IN STORE SALES RECORD'!$E$6:$E$97,'IN STORE SALES RECORD'!$A$6:$A$97, "WEEK 6",'IN STORE SALES RECORD'!$D$6:$D$97,'WHS STK MGT &amp; ALLOC.'!$A27)</f>
        <v>0</v>
      </c>
      <c r="V27" s="60">
        <f t="shared" si="17"/>
        <v>0</v>
      </c>
      <c r="W27" s="60">
        <f>SUMIFS('IN STORE SALES RECORD'!$E$6:$E$97,'IN STORE SALES RECORD'!$A$6:$A$97, "WEEK 6",'IN STORE SALES RECORD'!$D$6:$D$97,'WHS STK MGT &amp; ALLOC.'!$A27)</f>
        <v>0</v>
      </c>
      <c r="X27" s="60">
        <f t="shared" si="18"/>
        <v>0</v>
      </c>
      <c r="Y27" s="60">
        <f>SUMIFS('IN STORE SALES RECORD'!$E$6:$E$97,'IN STORE SALES RECORD'!$A$6:$A$97, "WEEK 6",'IN STORE SALES RECORD'!$D$6:$D$97,'WHS STK MGT &amp; ALLOC.'!$A27)</f>
        <v>0</v>
      </c>
    </row>
    <row r="28" spans="1:26" s="32" customFormat="1" ht="45">
      <c r="A28" s="25" t="s">
        <v>219</v>
      </c>
      <c r="B28" s="24" t="str">
        <f>IFERROR(INDEX('REFERENCING &amp; DATABASE'!$E$7:$E$131,MATCH($A28,'REFERENCING &amp; DATABASE'!$D$7:$D$131,0)),"")</f>
        <v>Distressed Denim Shorts</v>
      </c>
      <c r="C28" s="25" t="str">
        <f>IFERROR(INDEX('REFERENCING &amp; DATABASE'!$B$7:$B$131,MATCH($A28,'REFERENCING &amp; DATABASE'!$D$7:$D$131,0)),"")</f>
        <v>BOTTOMS</v>
      </c>
      <c r="D28" s="30" t="str">
        <f>IFERROR(INDEX('REFERENCING &amp; DATABASE'!$C$7:$C$131,MATCH($A28,'REFERENCING &amp; DATABASE'!$D$7:$D$131,0)),"")</f>
        <v>SHORTS</v>
      </c>
      <c r="E28" s="26" t="str">
        <f>IFERROR(INDEX('REFERENCING &amp; DATABASE'!$F$7:$F$131,MATCH($A28,'REFERENCING &amp; DATABASE'!$D$7:$D$131,0)),"")</f>
        <v xml:space="preserve">A classic and casual style with a relaxed fit. </v>
      </c>
      <c r="F28" s="25" t="str">
        <f>IFERROR(INDEX('REFERENCING &amp; DATABASE'!$G$7:$G$131,MATCH($A28,'REFERENCING &amp; DATABASE'!$D$7:$D$131,0)),"")</f>
        <v>light beige, medium beige, dark beige</v>
      </c>
      <c r="G28" s="94">
        <f>IFERROR(INDEX('REFERENCING &amp; DATABASE'!$H$7:$H$131,MATCH($A28,'REFERENCING &amp; DATABASE'!$D$7:$D$131,0)),"")</f>
        <v>30</v>
      </c>
      <c r="H28" s="25">
        <f>IFERROR(INDEX('REFERENCING &amp; DATABASE'!$A$7:$A$131,MATCH($A28,'REFERENCING &amp; DATABASE'!$D$7:$D$131,0)),"")</f>
        <v>625</v>
      </c>
      <c r="I28" s="60">
        <f t="shared" ref="I28:I30" si="20">H28-SUM($K28,$M28,$O28,$Q28)</f>
        <v>615</v>
      </c>
      <c r="J28" s="60">
        <f t="shared" ref="J28:J31" si="21">ROUND((($K28/$H28)*100),3)</f>
        <v>1.6</v>
      </c>
      <c r="K28" s="60">
        <f>SUMIFS('IN STORE SALES RECORD'!$E$6:$E$97,'IN STORE SALES RECORD'!$A$6:$A$97, "WEEK 1",'IN STORE SALES RECORD'!$D$6:$D$97,'WHS STK MGT &amp; ALLOC.'!$A28)+10</f>
        <v>10</v>
      </c>
      <c r="L28" s="60">
        <f t="shared" ref="L28:L31" si="22">ROUND(($M28/($H28-$K28))*100,3)</f>
        <v>0</v>
      </c>
      <c r="M28" s="60">
        <f>SUMIFS('IN STORE SALES RECORD'!$E$6:$E$97,'IN STORE SALES RECORD'!$A$6:$A$97, "WEEK 6",'IN STORE SALES RECORD'!$D$6:$D$97,'WHS STK MGT &amp; ALLOC.'!$A28)</f>
        <v>0</v>
      </c>
      <c r="N28" s="60">
        <f t="shared" ref="N28:N31" si="23">ROUND(($O28/($H28-($M28+$K28))*100),3)</f>
        <v>0</v>
      </c>
      <c r="O28" s="60">
        <f>SUMIFS('IN STORE SALES RECORD'!$E$6:$E$97,'IN STORE SALES RECORD'!$A$6:$A$97, "WEEK 6",'IN STORE SALES RECORD'!$D$6:$D$97,'WHS STK MGT &amp; ALLOC.'!$A28)</f>
        <v>0</v>
      </c>
      <c r="P28" s="60">
        <f t="shared" ref="P28:P31" si="24">ROUND(($Q28/($H28-($M28+$K28+$O28))*100),3)</f>
        <v>0</v>
      </c>
      <c r="Q28" s="60">
        <f>SUMIFS('IN STORE SALES RECORD'!$E$6:$E$97,'IN STORE SALES RECORD'!$A$6:$A$97, "WEEK 6",'IN STORE SALES RECORD'!$D$6:$D$97,'WHS STK MGT &amp; ALLOC.'!$A28)</f>
        <v>0</v>
      </c>
      <c r="R28" s="60">
        <f t="shared" ref="R28:R31" si="25">ROUND(($S28/($H28-($M28+$K28+$O28+$Q28))*100),3)</f>
        <v>0</v>
      </c>
      <c r="S28" s="60">
        <f>SUMIFS('IN STORE SALES RECORD'!$E$6:$E$97,'IN STORE SALES RECORD'!$A$6:$A$97, "WEEK 6",'IN STORE SALES RECORD'!$D$6:$D$97,'WHS STK MGT &amp; ALLOC.'!$A28)</f>
        <v>0</v>
      </c>
      <c r="T28" s="60">
        <f t="shared" ref="T28:T31" si="26">ROUND(($U28/($H28-($M28+$K28+$O28+$Q28+$S28))*100),3)</f>
        <v>0</v>
      </c>
      <c r="U28" s="60">
        <f>SUMIFS('IN STORE SALES RECORD'!$E$6:$E$97,'IN STORE SALES RECORD'!$A$6:$A$97, "WEEK 6",'IN STORE SALES RECORD'!$D$6:$D$97,'WHS STK MGT &amp; ALLOC.'!$A28)</f>
        <v>0</v>
      </c>
      <c r="V28" s="60">
        <f t="shared" ref="V28:V31" si="27">ROUND(($W28/($H28-($M28+$K28+$O28+$Q28+$S28+$U28))*100),3)</f>
        <v>0</v>
      </c>
      <c r="W28" s="60">
        <f>SUMIFS('IN STORE SALES RECORD'!$E$6:$E$97,'IN STORE SALES RECORD'!$A$6:$A$97, "WEEK 6",'IN STORE SALES RECORD'!$D$6:$D$97,'WHS STK MGT &amp; ALLOC.'!$A28)</f>
        <v>0</v>
      </c>
      <c r="X28" s="60">
        <f t="shared" ref="X28:X31" si="28">ROUND(($Y28/($H28-($M28+$K28+$O28+$Q28+$S28+$U28+$W28))*100),3)</f>
        <v>0</v>
      </c>
      <c r="Y28" s="60">
        <f>SUMIFS('IN STORE SALES RECORD'!$E$6:$E$97,'IN STORE SALES RECORD'!$A$6:$A$97, "WEEK 6",'IN STORE SALES RECORD'!$D$6:$D$97,'WHS STK MGT &amp; ALLOC.'!$A28)</f>
        <v>0</v>
      </c>
      <c r="Z28" s="89"/>
    </row>
    <row r="29" spans="1:26" s="32" customFormat="1">
      <c r="A29" s="25" t="s">
        <v>220</v>
      </c>
      <c r="B29" s="24" t="str">
        <f>IFERROR(INDEX('REFERENCING &amp; DATABASE'!$E$7:$E$131,MATCH($A29,'REFERENCING &amp; DATABASE'!$D$7:$D$131,0)),"")</f>
        <v>Khaki Chino Shorts</v>
      </c>
      <c r="C29" s="25" t="str">
        <f>IFERROR(INDEX('REFERENCING &amp; DATABASE'!$B$7:$B$131,MATCH($A29,'REFERENCING &amp; DATABASE'!$D$7:$D$131,0)),"")</f>
        <v>BOTTOMS</v>
      </c>
      <c r="D29" s="30" t="str">
        <f>IFERROR(INDEX('REFERENCING &amp; DATABASE'!$C$7:$C$131,MATCH($A29,'REFERENCING &amp; DATABASE'!$D$7:$D$131,0)),"")</f>
        <v>SHORTS</v>
      </c>
      <c r="E29" s="26" t="str">
        <f>IFERROR(INDEX('REFERENCING &amp; DATABASE'!$F$7:$F$131,MATCH($A29,'REFERENCING &amp; DATABASE'!$D$7:$D$131,0)),"")</f>
        <v>A versatile option for warmer weather.</v>
      </c>
      <c r="F29" s="25" t="str">
        <f>IFERROR(INDEX('REFERENCING &amp; DATABASE'!$G$7:$G$131,MATCH($A29,'REFERENCING &amp; DATABASE'!$D$7:$D$131,0)),"")</f>
        <v>light beige, Brown</v>
      </c>
      <c r="G29" s="94">
        <f>IFERROR(INDEX('REFERENCING &amp; DATABASE'!$H$7:$H$131,MATCH($A29,'REFERENCING &amp; DATABASE'!$D$7:$D$131,0)),"")</f>
        <v>30</v>
      </c>
      <c r="H29" s="25">
        <f>IFERROR(INDEX('REFERENCING &amp; DATABASE'!$A$7:$A$131,MATCH($A29,'REFERENCING &amp; DATABASE'!$D$7:$D$131,0)),"")</f>
        <v>488</v>
      </c>
      <c r="I29" s="60">
        <f t="shared" si="20"/>
        <v>478</v>
      </c>
      <c r="J29" s="60">
        <f t="shared" si="21"/>
        <v>2.0489999999999999</v>
      </c>
      <c r="K29" s="60">
        <f>SUMIFS('IN STORE SALES RECORD'!$E$6:$E$97,'IN STORE SALES RECORD'!$A$6:$A$97, "WEEK 1",'IN STORE SALES RECORD'!$D$6:$D$97,'WHS STK MGT &amp; ALLOC.'!$A29)+10</f>
        <v>10</v>
      </c>
      <c r="L29" s="60">
        <f t="shared" si="22"/>
        <v>0</v>
      </c>
      <c r="M29" s="60">
        <f>SUMIFS('IN STORE SALES RECORD'!$E$6:$E$97,'IN STORE SALES RECORD'!$A$6:$A$97, "WEEK 6",'IN STORE SALES RECORD'!$D$6:$D$97,'WHS STK MGT &amp; ALLOC.'!$A29)</f>
        <v>0</v>
      </c>
      <c r="N29" s="60">
        <f t="shared" si="23"/>
        <v>0</v>
      </c>
      <c r="O29" s="60">
        <f>SUMIFS('IN STORE SALES RECORD'!$E$6:$E$97,'IN STORE SALES RECORD'!$A$6:$A$97, "WEEK 6",'IN STORE SALES RECORD'!$D$6:$D$97,'WHS STK MGT &amp; ALLOC.'!$A29)</f>
        <v>0</v>
      </c>
      <c r="P29" s="60">
        <f t="shared" si="24"/>
        <v>0</v>
      </c>
      <c r="Q29" s="60">
        <f>SUMIFS('IN STORE SALES RECORD'!$E$6:$E$97,'IN STORE SALES RECORD'!$A$6:$A$97, "WEEK 6",'IN STORE SALES RECORD'!$D$6:$D$97,'WHS STK MGT &amp; ALLOC.'!$A29)</f>
        <v>0</v>
      </c>
      <c r="R29" s="60">
        <f t="shared" si="25"/>
        <v>0</v>
      </c>
      <c r="S29" s="60">
        <f>SUMIFS('IN STORE SALES RECORD'!$E$6:$E$97,'IN STORE SALES RECORD'!$A$6:$A$97, "WEEK 6",'IN STORE SALES RECORD'!$D$6:$D$97,'WHS STK MGT &amp; ALLOC.'!$A29)</f>
        <v>0</v>
      </c>
      <c r="T29" s="60">
        <f t="shared" si="26"/>
        <v>0</v>
      </c>
      <c r="U29" s="60">
        <f>SUMIFS('IN STORE SALES RECORD'!$E$6:$E$97,'IN STORE SALES RECORD'!$A$6:$A$97, "WEEK 6",'IN STORE SALES RECORD'!$D$6:$D$97,'WHS STK MGT &amp; ALLOC.'!$A29)</f>
        <v>0</v>
      </c>
      <c r="V29" s="60">
        <f t="shared" si="27"/>
        <v>0</v>
      </c>
      <c r="W29" s="60">
        <f>SUMIFS('IN STORE SALES RECORD'!$E$6:$E$97,'IN STORE SALES RECORD'!$A$6:$A$97, "WEEK 6",'IN STORE SALES RECORD'!$D$6:$D$97,'WHS STK MGT &amp; ALLOC.'!$A29)</f>
        <v>0</v>
      </c>
      <c r="X29" s="60">
        <f t="shared" si="28"/>
        <v>0</v>
      </c>
      <c r="Y29" s="60">
        <f>SUMIFS('IN STORE SALES RECORD'!$E$6:$E$97,'IN STORE SALES RECORD'!$A$6:$A$97, "WEEK 6",'IN STORE SALES RECORD'!$D$6:$D$97,'WHS STK MGT &amp; ALLOC.'!$A29)</f>
        <v>0</v>
      </c>
      <c r="Z29" s="89"/>
    </row>
    <row r="30" spans="1:26" s="32" customFormat="1" ht="30">
      <c r="A30" s="25" t="s">
        <v>264</v>
      </c>
      <c r="B30" s="24" t="str">
        <f>IFERROR(INDEX('REFERENCING &amp; DATABASE'!$E$7:$E$131,MATCH($A30,'REFERENCING &amp; DATABASE'!$D$7:$D$131,0)),"")</f>
        <v>Performance Athletic Shorts</v>
      </c>
      <c r="C30" s="25" t="str">
        <f>IFERROR(INDEX('REFERENCING &amp; DATABASE'!$B$7:$B$131,MATCH($A30,'REFERENCING &amp; DATABASE'!$D$7:$D$131,0)),"")</f>
        <v>BOTTOMS</v>
      </c>
      <c r="D30" s="30" t="str">
        <f>IFERROR(INDEX('REFERENCING &amp; DATABASE'!$C$7:$C$131,MATCH($A30,'REFERENCING &amp; DATABASE'!$D$7:$D$131,0)),"")</f>
        <v>SHORTS</v>
      </c>
      <c r="E30" s="26" t="str">
        <f>IFERROR(INDEX('REFERENCING &amp; DATABASE'!$F$7:$F$131,MATCH($A30,'REFERENCING &amp; DATABASE'!$D$7:$D$131,0)),"")</f>
        <v xml:space="preserve">Lightweight and breathable shorts for workouts or running. </v>
      </c>
      <c r="F30" s="25" t="str">
        <f>IFERROR(INDEX('REFERENCING &amp; DATABASE'!$G$7:$G$131,MATCH($A30,'REFERENCING &amp; DATABASE'!$D$7:$D$131,0)),"")</f>
        <v>Multi-colors</v>
      </c>
      <c r="G30" s="94">
        <f>IFERROR(INDEX('REFERENCING &amp; DATABASE'!$H$7:$H$131,MATCH($A30,'REFERENCING &amp; DATABASE'!$D$7:$D$131,0)),"")</f>
        <v>30</v>
      </c>
      <c r="H30" s="25">
        <f>IFERROR(INDEX('REFERENCING &amp; DATABASE'!$A$7:$A$131,MATCH($A30,'REFERENCING &amp; DATABASE'!$D$7:$D$131,0)),"")</f>
        <v>363</v>
      </c>
      <c r="I30" s="60">
        <f t="shared" si="20"/>
        <v>353</v>
      </c>
      <c r="J30" s="60">
        <f t="shared" si="21"/>
        <v>2.7549999999999999</v>
      </c>
      <c r="K30" s="60">
        <f>SUMIFS('IN STORE SALES RECORD'!$E$6:$E$97,'IN STORE SALES RECORD'!$A$6:$A$97, "WEEK 1",'IN STORE SALES RECORD'!$D$6:$D$97,'WHS STK MGT &amp; ALLOC.'!$A30)+10</f>
        <v>10</v>
      </c>
      <c r="L30" s="60">
        <f t="shared" si="22"/>
        <v>0</v>
      </c>
      <c r="M30" s="60">
        <f>SUMIFS('IN STORE SALES RECORD'!$E$6:$E$97,'IN STORE SALES RECORD'!$A$6:$A$97, "WEEK 6",'IN STORE SALES RECORD'!$D$6:$D$97,'WHS STK MGT &amp; ALLOC.'!$A30)</f>
        <v>0</v>
      </c>
      <c r="N30" s="60">
        <f t="shared" si="23"/>
        <v>0</v>
      </c>
      <c r="O30" s="60">
        <f>SUMIFS('IN STORE SALES RECORD'!$E$6:$E$97,'IN STORE SALES RECORD'!$A$6:$A$97, "WEEK 6",'IN STORE SALES RECORD'!$D$6:$D$97,'WHS STK MGT &amp; ALLOC.'!$A30)</f>
        <v>0</v>
      </c>
      <c r="P30" s="60">
        <f t="shared" si="24"/>
        <v>0</v>
      </c>
      <c r="Q30" s="60">
        <f>SUMIFS('IN STORE SALES RECORD'!$E$6:$E$97,'IN STORE SALES RECORD'!$A$6:$A$97, "WEEK 6",'IN STORE SALES RECORD'!$D$6:$D$97,'WHS STK MGT &amp; ALLOC.'!$A30)</f>
        <v>0</v>
      </c>
      <c r="R30" s="60">
        <f t="shared" si="25"/>
        <v>0</v>
      </c>
      <c r="S30" s="60">
        <f>SUMIFS('IN STORE SALES RECORD'!$E$6:$E$97,'IN STORE SALES RECORD'!$A$6:$A$97, "WEEK 6",'IN STORE SALES RECORD'!$D$6:$D$97,'WHS STK MGT &amp; ALLOC.'!$A30)</f>
        <v>0</v>
      </c>
      <c r="T30" s="60">
        <f t="shared" si="26"/>
        <v>0</v>
      </c>
      <c r="U30" s="60">
        <f>SUMIFS('IN STORE SALES RECORD'!$E$6:$E$97,'IN STORE SALES RECORD'!$A$6:$A$97, "WEEK 6",'IN STORE SALES RECORD'!$D$6:$D$97,'WHS STK MGT &amp; ALLOC.'!$A30)</f>
        <v>0</v>
      </c>
      <c r="V30" s="60">
        <f t="shared" si="27"/>
        <v>0</v>
      </c>
      <c r="W30" s="60">
        <f>SUMIFS('IN STORE SALES RECORD'!$E$6:$E$97,'IN STORE SALES RECORD'!$A$6:$A$97, "WEEK 6",'IN STORE SALES RECORD'!$D$6:$D$97,'WHS STK MGT &amp; ALLOC.'!$A30)</f>
        <v>0</v>
      </c>
      <c r="X30" s="60">
        <f t="shared" si="28"/>
        <v>0</v>
      </c>
      <c r="Y30" s="60">
        <f>SUMIFS('IN STORE SALES RECORD'!$E$6:$E$97,'IN STORE SALES RECORD'!$A$6:$A$97, "WEEK 6",'IN STORE SALES RECORD'!$D$6:$D$97,'WHS STK MGT &amp; ALLOC.'!$A30)</f>
        <v>0</v>
      </c>
      <c r="Z30" s="89"/>
    </row>
    <row r="31" spans="1:26" ht="30">
      <c r="A31" s="25" t="s">
        <v>265</v>
      </c>
      <c r="B31" s="24" t="str">
        <f>IFERROR(INDEX('REFERENCING &amp; DATABASE'!$E$7:$E$131,MATCH($A31,'REFERENCING &amp; DATABASE'!$D$7:$D$131,0)),"")</f>
        <v>Utility Cargo Shorts</v>
      </c>
      <c r="C31" s="25" t="str">
        <f>IFERROR(INDEX('REFERENCING &amp; DATABASE'!$B$7:$B$131,MATCH($A31,'REFERENCING &amp; DATABASE'!$D$7:$D$131,0)),"")</f>
        <v>BOTTOMS</v>
      </c>
      <c r="D31" s="30" t="str">
        <f>IFERROR(INDEX('REFERENCING &amp; DATABASE'!$C$7:$C$131,MATCH($A31,'REFERENCING &amp; DATABASE'!$D$7:$D$131,0)),"")</f>
        <v>SHORTS</v>
      </c>
      <c r="E31" s="26" t="str">
        <f>IFERROR(INDEX('REFERENCING &amp; DATABASE'!$F$7:$F$131,MATCH($A31,'REFERENCING &amp; DATABASE'!$D$7:$D$131,0)),"")</f>
        <v>Functional and stylish shorts with multiple pockets.</v>
      </c>
      <c r="F31" s="25" t="str">
        <f>IFERROR(INDEX('REFERENCING &amp; DATABASE'!$G$7:$G$131,MATCH($A31,'REFERENCING &amp; DATABASE'!$D$7:$D$131,0)),"")</f>
        <v>Green,Brown,Black</v>
      </c>
      <c r="G31" s="94">
        <f>IFERROR(INDEX('REFERENCING &amp; DATABASE'!$H$7:$H$131,MATCH($A31,'REFERENCING &amp; DATABASE'!$D$7:$D$131,0)),"")</f>
        <v>30</v>
      </c>
      <c r="H31" s="25">
        <f>IFERROR(INDEX('REFERENCING &amp; DATABASE'!$A$7:$A$131,MATCH($A31,'REFERENCING &amp; DATABASE'!$D$7:$D$131,0)),"")</f>
        <v>390</v>
      </c>
      <c r="I31" s="60">
        <f t="shared" ref="I31" si="29">H31-SUM($K31,$M31,$O31,$Q31)</f>
        <v>380</v>
      </c>
      <c r="J31" s="60">
        <f t="shared" si="21"/>
        <v>2.5640000000000001</v>
      </c>
      <c r="K31" s="60">
        <f>SUMIFS('IN STORE SALES RECORD'!$E$6:$E$97,'IN STORE SALES RECORD'!$A$6:$A$97, "WEEK 1",'IN STORE SALES RECORD'!$D$6:$D$97,'WHS STK MGT &amp; ALLOC.'!$A31)+10</f>
        <v>10</v>
      </c>
      <c r="L31" s="60">
        <f t="shared" si="22"/>
        <v>0</v>
      </c>
      <c r="M31" s="60">
        <f>SUMIFS('IN STORE SALES RECORD'!$E$6:$E$97,'IN STORE SALES RECORD'!$A$6:$A$97, "WEEK 6",'IN STORE SALES RECORD'!$D$6:$D$97,'WHS STK MGT &amp; ALLOC.'!$A31)</f>
        <v>0</v>
      </c>
      <c r="N31" s="60">
        <f t="shared" si="23"/>
        <v>0</v>
      </c>
      <c r="O31" s="60">
        <f>SUMIFS('IN STORE SALES RECORD'!$E$6:$E$97,'IN STORE SALES RECORD'!$A$6:$A$97, "WEEK 6",'IN STORE SALES RECORD'!$D$6:$D$97,'WHS STK MGT &amp; ALLOC.'!$A31)</f>
        <v>0</v>
      </c>
      <c r="P31" s="60">
        <f t="shared" si="24"/>
        <v>0</v>
      </c>
      <c r="Q31" s="60">
        <f>SUMIFS('IN STORE SALES RECORD'!$E$6:$E$97,'IN STORE SALES RECORD'!$A$6:$A$97, "WEEK 6",'IN STORE SALES RECORD'!$D$6:$D$97,'WHS STK MGT &amp; ALLOC.'!$A31)</f>
        <v>0</v>
      </c>
      <c r="R31" s="60">
        <f t="shared" si="25"/>
        <v>0</v>
      </c>
      <c r="S31" s="60">
        <f>SUMIFS('IN STORE SALES RECORD'!$E$6:$E$97,'IN STORE SALES RECORD'!$A$6:$A$97, "WEEK 6",'IN STORE SALES RECORD'!$D$6:$D$97,'WHS STK MGT &amp; ALLOC.'!$A31)</f>
        <v>0</v>
      </c>
      <c r="T31" s="60">
        <f t="shared" si="26"/>
        <v>0</v>
      </c>
      <c r="U31" s="60">
        <f>SUMIFS('IN STORE SALES RECORD'!$E$6:$E$97,'IN STORE SALES RECORD'!$A$6:$A$97, "WEEK 6",'IN STORE SALES RECORD'!$D$6:$D$97,'WHS STK MGT &amp; ALLOC.'!$A31)</f>
        <v>0</v>
      </c>
      <c r="V31" s="60">
        <f t="shared" si="27"/>
        <v>0</v>
      </c>
      <c r="W31" s="60">
        <f>SUMIFS('IN STORE SALES RECORD'!$E$6:$E$97,'IN STORE SALES RECORD'!$A$6:$A$97, "WEEK 6",'IN STORE SALES RECORD'!$D$6:$D$97,'WHS STK MGT &amp; ALLOC.'!$A31)</f>
        <v>0</v>
      </c>
      <c r="X31" s="60">
        <f t="shared" si="28"/>
        <v>0</v>
      </c>
      <c r="Y31" s="60">
        <f>SUMIFS('IN STORE SALES RECORD'!$E$6:$E$97,'IN STORE SALES RECORD'!$A$6:$A$97, "WEEK 6",'IN STORE SALES RECORD'!$D$6:$D$97,'WHS STK MGT &amp; ALLOC.'!$A31)</f>
        <v>0</v>
      </c>
    </row>
    <row r="32" spans="1:26">
      <c r="A32" s="32"/>
      <c r="B32" s="32"/>
      <c r="C32" s="32"/>
      <c r="D32" s="33"/>
      <c r="E32" s="34"/>
      <c r="F32" s="32"/>
      <c r="G32" s="95"/>
      <c r="H32" s="32"/>
      <c r="I32" s="60"/>
      <c r="J32" s="60"/>
      <c r="K32" s="60"/>
      <c r="L32" s="60"/>
      <c r="M32" s="60"/>
      <c r="N32" s="77"/>
      <c r="O32" s="77"/>
      <c r="P32" s="77"/>
      <c r="Q32" s="77"/>
      <c r="R32" s="32"/>
      <c r="S32" s="32"/>
      <c r="T32" s="32"/>
      <c r="U32" s="32"/>
      <c r="V32" s="32"/>
      <c r="W32" s="32"/>
      <c r="X32" s="32"/>
      <c r="Y32" s="32"/>
    </row>
    <row r="33" spans="1:26" ht="15.75">
      <c r="A33" s="32"/>
      <c r="B33" s="32"/>
      <c r="C33" s="51"/>
      <c r="D33" s="32"/>
      <c r="E33" s="34"/>
      <c r="F33" s="32"/>
      <c r="G33" s="95"/>
      <c r="H33" s="32"/>
      <c r="I33" s="60"/>
      <c r="J33" s="60"/>
      <c r="K33" s="60"/>
      <c r="L33" s="60"/>
      <c r="M33" s="60"/>
      <c r="N33" s="77"/>
      <c r="O33" s="77"/>
      <c r="P33" s="77"/>
      <c r="Q33" s="77"/>
      <c r="R33" s="32"/>
      <c r="S33" s="32"/>
      <c r="T33" s="32"/>
      <c r="U33" s="32"/>
      <c r="V33" s="32"/>
      <c r="W33" s="32"/>
      <c r="X33" s="32"/>
      <c r="Y33" s="32"/>
    </row>
    <row r="34" spans="1:26" ht="15.75">
      <c r="C34" s="21"/>
      <c r="H34" s="42"/>
      <c r="I34" s="61"/>
      <c r="J34" s="61"/>
      <c r="K34" s="61"/>
      <c r="L34" s="61"/>
      <c r="M34" s="61"/>
      <c r="N34" s="59"/>
      <c r="O34" s="59"/>
      <c r="P34" s="59"/>
      <c r="Q34" s="59"/>
    </row>
    <row r="35" spans="1:26" s="14" customFormat="1" ht="15.75">
      <c r="A35" s="13" t="str">
        <f>A$6</f>
        <v>REFERENCE</v>
      </c>
      <c r="B35" s="13" t="str">
        <f>B$6</f>
        <v>PRODUCT NAME</v>
      </c>
      <c r="C35" s="13" t="str">
        <f t="shared" ref="C35:Q35" si="30">C$6</f>
        <v>CATEGORY</v>
      </c>
      <c r="D35" s="13" t="str">
        <f t="shared" si="30"/>
        <v>SUB-CATEGORY</v>
      </c>
      <c r="E35" s="13" t="str">
        <f t="shared" si="30"/>
        <v>DESCRIPTION</v>
      </c>
      <c r="F35" s="13" t="str">
        <f t="shared" si="30"/>
        <v>COLOUR</v>
      </c>
      <c r="G35" s="91" t="str">
        <f t="shared" si="30"/>
        <v>SIZE</v>
      </c>
      <c r="H35" s="13" t="str">
        <f t="shared" si="30"/>
        <v>TOTAL STOCK</v>
      </c>
      <c r="I35" s="13" t="str">
        <f t="shared" si="30"/>
        <v>REMANING STOCK</v>
      </c>
      <c r="J35" s="18" t="str">
        <f t="shared" si="30"/>
        <v>1ST WEEK % ALLOCATION</v>
      </c>
      <c r="K35" s="18" t="str">
        <f t="shared" si="30"/>
        <v>1ST WEEK</v>
      </c>
      <c r="L35" s="18" t="str">
        <f t="shared" si="30"/>
        <v>2ND WEEK % ALLOCATION</v>
      </c>
      <c r="M35" s="18" t="str">
        <f t="shared" si="30"/>
        <v>2ND WEEK</v>
      </c>
      <c r="N35" s="18" t="str">
        <f t="shared" si="30"/>
        <v>3RD WEEK % ALLOCATION</v>
      </c>
      <c r="O35" s="18" t="str">
        <f t="shared" si="30"/>
        <v>3RD WEEK</v>
      </c>
      <c r="P35" s="18" t="str">
        <f t="shared" si="30"/>
        <v>4TH WEEK % ALLOCATION</v>
      </c>
      <c r="Q35" s="18" t="str">
        <f t="shared" si="30"/>
        <v>4TH WEEK</v>
      </c>
      <c r="R35" s="62" t="s">
        <v>77</v>
      </c>
      <c r="S35" s="62" t="s">
        <v>78</v>
      </c>
      <c r="T35" s="62" t="s">
        <v>83</v>
      </c>
      <c r="U35" s="62" t="s">
        <v>84</v>
      </c>
      <c r="V35" s="62" t="s">
        <v>85</v>
      </c>
      <c r="W35" s="62" t="s">
        <v>86</v>
      </c>
      <c r="X35" s="62" t="s">
        <v>87</v>
      </c>
      <c r="Y35" s="62" t="s">
        <v>88</v>
      </c>
    </row>
    <row r="36" spans="1:26" s="32" customFormat="1">
      <c r="A36" s="25" t="s">
        <v>221</v>
      </c>
      <c r="B36" s="24" t="str">
        <f>IFERROR(INDEX('REFERENCING &amp; DATABASE'!$E$7:$E$131,MATCH($A36,'REFERENCING &amp; DATABASE'!$D$7:$D$131,0)),"")</f>
        <v>Cozy Flannel Pajama Set</v>
      </c>
      <c r="C36" s="25" t="str">
        <f>IFERROR(INDEX('REFERENCING &amp; DATABASE'!$B$7:$B$131,MATCH($A36,'REFERENCING &amp; DATABASE'!$D$7:$D$131,0)),"")</f>
        <v>SLEEPWEAR</v>
      </c>
      <c r="D36" s="30" t="str">
        <f>IFERROR(INDEX('REFERENCING &amp; DATABASE'!$C$7:$C$131,MATCH($A36,'REFERENCING &amp; DATABASE'!$D$7:$D$131,0)),"")</f>
        <v>PAJAMAS</v>
      </c>
      <c r="E36" s="26" t="str">
        <f>IFERROR(INDEX('REFERENCING &amp; DATABASE'!$F$7:$F$131,MATCH($A36,'REFERENCING &amp; DATABASE'!$D$7:$D$131,0)),"")</f>
        <v>A soft and warm set perfect for cooler nights.</v>
      </c>
      <c r="F36" s="25" t="str">
        <f>IFERROR(INDEX('REFERENCING &amp; DATABASE'!$G$7:$G$131,MATCH($A36,'REFERENCING &amp; DATABASE'!$D$7:$D$131,0)),"")</f>
        <v>Multi-colors</v>
      </c>
      <c r="G36" s="94" t="str">
        <f>IFERROR(INDEX('REFERENCING &amp; DATABASE'!$H$7:$H$131,MATCH($A36,'REFERENCING &amp; DATABASE'!$D$7:$D$131,0)),"")</f>
        <v>L,XL,XXL</v>
      </c>
      <c r="H36" s="25">
        <f>IFERROR(INDEX('REFERENCING &amp; DATABASE'!$A$7:$A$131,MATCH($A36,'REFERENCING &amp; DATABASE'!$D$7:$D$131,0)),"")</f>
        <v>488</v>
      </c>
      <c r="I36" s="60">
        <f t="shared" ref="I36:I40" si="31">H36-SUM($K36,$M36,$O36,$Q36)</f>
        <v>478</v>
      </c>
      <c r="J36" s="60">
        <f t="shared" ref="J36:J45" si="32">ROUND((($K36/$H36)*100),3)</f>
        <v>2.0489999999999999</v>
      </c>
      <c r="K36" s="60">
        <f>SUMIFS('IN STORE SALES RECORD'!$E$6:$E$97,'IN STORE SALES RECORD'!$A$6:$A$97, "WEEK 1",'IN STORE SALES RECORD'!$D$6:$D$97,'WHS STK MGT &amp; ALLOC.'!$A36)+10</f>
        <v>10</v>
      </c>
      <c r="L36" s="60">
        <f t="shared" ref="L36:L45" si="33">ROUND(($M36/($H36-$K36))*100,3)</f>
        <v>0</v>
      </c>
      <c r="M36" s="60">
        <f>SUMIFS('IN STORE SALES RECORD'!$E$6:$E$97,'IN STORE SALES RECORD'!$A$6:$A$97, "WEEK 6",'IN STORE SALES RECORD'!$D$6:$D$97,'WHS STK MGT &amp; ALLOC.'!$A36)</f>
        <v>0</v>
      </c>
      <c r="N36" s="60">
        <f t="shared" ref="N36:N45" si="34">ROUND(($O36/($H36-($M36+$K36))*100),3)</f>
        <v>0</v>
      </c>
      <c r="O36" s="60">
        <f>SUMIFS('IN STORE SALES RECORD'!$E$6:$E$97,'IN STORE SALES RECORD'!$A$6:$A$97, "WEEK 6",'IN STORE SALES RECORD'!$D$6:$D$97,'WHS STK MGT &amp; ALLOC.'!$A36)</f>
        <v>0</v>
      </c>
      <c r="P36" s="60">
        <f t="shared" ref="P36:P45" si="35">ROUND(($Q36/($H36-($M36+$K36+$O36))*100),3)</f>
        <v>0</v>
      </c>
      <c r="Q36" s="60">
        <f>SUMIFS('IN STORE SALES RECORD'!$E$6:$E$97,'IN STORE SALES RECORD'!$A$6:$A$97, "WEEK 6",'IN STORE SALES RECORD'!$D$6:$D$97,'WHS STK MGT &amp; ALLOC.'!$A36)</f>
        <v>0</v>
      </c>
      <c r="R36" s="60">
        <f t="shared" ref="R36:R45" si="36">ROUND(($S36/($H36-($M36+$K36+$O36+$Q36))*100),3)</f>
        <v>0</v>
      </c>
      <c r="S36" s="60">
        <f>SUMIFS('IN STORE SALES RECORD'!$E$6:$E$97,'IN STORE SALES RECORD'!$A$6:$A$97, "WEEK 6",'IN STORE SALES RECORD'!$D$6:$D$97,'WHS STK MGT &amp; ALLOC.'!$A36)</f>
        <v>0</v>
      </c>
      <c r="T36" s="60">
        <f t="shared" ref="T36:T45" si="37">ROUND(($U36/($H36-($M36+$K36+$O36+$Q36+$S36))*100),3)</f>
        <v>0</v>
      </c>
      <c r="U36" s="60">
        <f>SUMIFS('IN STORE SALES RECORD'!$E$6:$E$97,'IN STORE SALES RECORD'!$A$6:$A$97, "WEEK 6",'IN STORE SALES RECORD'!$D$6:$D$97,'WHS STK MGT &amp; ALLOC.'!$A36)</f>
        <v>0</v>
      </c>
      <c r="V36" s="60">
        <f t="shared" ref="V36:V45" si="38">ROUND(($W36/($H36-($M36+$K36+$O36+$Q36+$S36+$U36))*100),3)</f>
        <v>0</v>
      </c>
      <c r="W36" s="60">
        <f>SUMIFS('IN STORE SALES RECORD'!$E$6:$E$97,'IN STORE SALES RECORD'!$A$6:$A$97, "WEEK 6",'IN STORE SALES RECORD'!$D$6:$D$97,'WHS STK MGT &amp; ALLOC.'!$A36)</f>
        <v>0</v>
      </c>
      <c r="X36" s="60">
        <f t="shared" ref="X36:X45" si="39">ROUND(($Y36/($H36-($M36+$K36+$O36+$Q36+$S36+$U36+$W36))*100),3)</f>
        <v>0</v>
      </c>
      <c r="Y36" s="60">
        <f>SUMIFS('IN STORE SALES RECORD'!$E$6:$E$97,'IN STORE SALES RECORD'!$A$6:$A$97, "WEEK 6",'IN STORE SALES RECORD'!$D$6:$D$97,'WHS STK MGT &amp; ALLOC.'!$A36)</f>
        <v>0</v>
      </c>
      <c r="Z36" s="89"/>
    </row>
    <row r="37" spans="1:26" s="32" customFormat="1" ht="30">
      <c r="A37" s="25" t="s">
        <v>222</v>
      </c>
      <c r="B37" s="24" t="str">
        <f>IFERROR(INDEX('REFERENCING &amp; DATABASE'!$E$7:$E$131,MATCH($A37,'REFERENCING &amp; DATABASE'!$D$7:$D$131,0)),"")</f>
        <v>Modal Jersey PJ Set</v>
      </c>
      <c r="C37" s="25" t="str">
        <f>IFERROR(INDEX('REFERENCING &amp; DATABASE'!$B$7:$B$131,MATCH($A37,'REFERENCING &amp; DATABASE'!$D$7:$D$131,0)),"")</f>
        <v>SLEEPWEAR</v>
      </c>
      <c r="D37" s="30" t="str">
        <f>IFERROR(INDEX('REFERENCING &amp; DATABASE'!$C$7:$C$131,MATCH($A37,'REFERENCING &amp; DATABASE'!$D$7:$D$131,0)),"")</f>
        <v>PAJAMAS</v>
      </c>
      <c r="E37" s="26" t="str">
        <f>IFERROR(INDEX('REFERENCING &amp; DATABASE'!$F$7:$F$131,MATCH($A37,'REFERENCING &amp; DATABASE'!$D$7:$D$131,0)),"")</f>
        <v>A lightweight and breathable set for year-round comfort.</v>
      </c>
      <c r="F37" s="25" t="str">
        <f>IFERROR(INDEX('REFERENCING &amp; DATABASE'!$G$7:$G$131,MATCH($A37,'REFERENCING &amp; DATABASE'!$D$7:$D$131,0)),"")</f>
        <v>Multi-colors</v>
      </c>
      <c r="G37" s="94" t="str">
        <f>IFERROR(INDEX('REFERENCING &amp; DATABASE'!$H$7:$H$131,MATCH($A37,'REFERENCING &amp; DATABASE'!$D$7:$D$131,0)),"")</f>
        <v>M,L,XL,XXL</v>
      </c>
      <c r="H37" s="25">
        <f>IFERROR(INDEX('REFERENCING &amp; DATABASE'!$A$7:$A$131,MATCH($A37,'REFERENCING &amp; DATABASE'!$D$7:$D$131,0)),"")</f>
        <v>267</v>
      </c>
      <c r="I37" s="60">
        <f t="shared" si="31"/>
        <v>257</v>
      </c>
      <c r="J37" s="60">
        <f t="shared" si="32"/>
        <v>3.7450000000000001</v>
      </c>
      <c r="K37" s="60">
        <f>SUMIFS('IN STORE SALES RECORD'!$E$6:$E$97,'IN STORE SALES RECORD'!$A$6:$A$97, "WEEK 1",'IN STORE SALES RECORD'!$D$6:$D$97,'WHS STK MGT &amp; ALLOC.'!$A37)+10</f>
        <v>10</v>
      </c>
      <c r="L37" s="60">
        <f t="shared" si="33"/>
        <v>0</v>
      </c>
      <c r="M37" s="60">
        <f>SUMIFS('IN STORE SALES RECORD'!$E$6:$E$97,'IN STORE SALES RECORD'!$A$6:$A$97, "WEEK 6",'IN STORE SALES RECORD'!$D$6:$D$97,'WHS STK MGT &amp; ALLOC.'!$A37)</f>
        <v>0</v>
      </c>
      <c r="N37" s="60">
        <f t="shared" si="34"/>
        <v>0</v>
      </c>
      <c r="O37" s="60">
        <f>SUMIFS('IN STORE SALES RECORD'!$E$6:$E$97,'IN STORE SALES RECORD'!$A$6:$A$97, "WEEK 6",'IN STORE SALES RECORD'!$D$6:$D$97,'WHS STK MGT &amp; ALLOC.'!$A37)</f>
        <v>0</v>
      </c>
      <c r="P37" s="60">
        <f t="shared" si="35"/>
        <v>0</v>
      </c>
      <c r="Q37" s="60">
        <f>SUMIFS('IN STORE SALES RECORD'!$E$6:$E$97,'IN STORE SALES RECORD'!$A$6:$A$97, "WEEK 6",'IN STORE SALES RECORD'!$D$6:$D$97,'WHS STK MGT &amp; ALLOC.'!$A37)</f>
        <v>0</v>
      </c>
      <c r="R37" s="60">
        <f t="shared" si="36"/>
        <v>0</v>
      </c>
      <c r="S37" s="60">
        <f>SUMIFS('IN STORE SALES RECORD'!$E$6:$E$97,'IN STORE SALES RECORD'!$A$6:$A$97, "WEEK 6",'IN STORE SALES RECORD'!$D$6:$D$97,'WHS STK MGT &amp; ALLOC.'!$A37)</f>
        <v>0</v>
      </c>
      <c r="T37" s="60">
        <f t="shared" si="37"/>
        <v>0</v>
      </c>
      <c r="U37" s="60">
        <f>SUMIFS('IN STORE SALES RECORD'!$E$6:$E$97,'IN STORE SALES RECORD'!$A$6:$A$97, "WEEK 6",'IN STORE SALES RECORD'!$D$6:$D$97,'WHS STK MGT &amp; ALLOC.'!$A37)</f>
        <v>0</v>
      </c>
      <c r="V37" s="60">
        <f t="shared" si="38"/>
        <v>0</v>
      </c>
      <c r="W37" s="60">
        <f>SUMIFS('IN STORE SALES RECORD'!$E$6:$E$97,'IN STORE SALES RECORD'!$A$6:$A$97, "WEEK 6",'IN STORE SALES RECORD'!$D$6:$D$97,'WHS STK MGT &amp; ALLOC.'!$A37)</f>
        <v>0</v>
      </c>
      <c r="X37" s="60">
        <f t="shared" si="39"/>
        <v>0</v>
      </c>
      <c r="Y37" s="60">
        <f>SUMIFS('IN STORE SALES RECORD'!$E$6:$E$97,'IN STORE SALES RECORD'!$A$6:$A$97, "WEEK 6",'IN STORE SALES RECORD'!$D$6:$D$97,'WHS STK MGT &amp; ALLOC.'!$A37)</f>
        <v>0</v>
      </c>
      <c r="Z37" s="89"/>
    </row>
    <row r="38" spans="1:26" s="32" customFormat="1" ht="30">
      <c r="A38" s="25" t="s">
        <v>223</v>
      </c>
      <c r="B38" s="24" t="str">
        <f>IFERROR(INDEX('REFERENCING &amp; DATABASE'!$E$7:$E$131,MATCH($A38,'REFERENCING &amp; DATABASE'!$D$7:$D$131,0)),"")</f>
        <v>Striped Cotton Onesie</v>
      </c>
      <c r="C38" s="25" t="str">
        <f>IFERROR(INDEX('REFERENCING &amp; DATABASE'!$B$7:$B$131,MATCH($A38,'REFERENCING &amp; DATABASE'!$D$7:$D$131,0)),"")</f>
        <v>SLEEPWEAR</v>
      </c>
      <c r="D38" s="30" t="str">
        <f>IFERROR(INDEX('REFERENCING &amp; DATABASE'!$C$7:$C$131,MATCH($A38,'REFERENCING &amp; DATABASE'!$D$7:$D$131,0)),"")</f>
        <v>PAJAMAS</v>
      </c>
      <c r="E38" s="26" t="str">
        <f>IFERROR(INDEX('REFERENCING &amp; DATABASE'!$F$7:$F$131,MATCH($A38,'REFERENCING &amp; DATABASE'!$D$7:$D$131,0)),"")</f>
        <v xml:space="preserve">A comfortable and playful option for lounging or sleeping. </v>
      </c>
      <c r="F38" s="25" t="str">
        <f>IFERROR(INDEX('REFERENCING &amp; DATABASE'!$G$7:$G$131,MATCH($A38,'REFERENCING &amp; DATABASE'!$D$7:$D$131,0)),"")</f>
        <v>White,Grey</v>
      </c>
      <c r="G38" s="94" t="str">
        <f>IFERROR(INDEX('REFERENCING &amp; DATABASE'!$H$7:$H$131,MATCH($A38,'REFERENCING &amp; DATABASE'!$D$7:$D$131,0)),"")</f>
        <v>L,XL,XXL</v>
      </c>
      <c r="H38" s="25">
        <f>IFERROR(INDEX('REFERENCING &amp; DATABASE'!$A$7:$A$131,MATCH($A38,'REFERENCING &amp; DATABASE'!$D$7:$D$131,0)),"")</f>
        <v>220</v>
      </c>
      <c r="I38" s="60">
        <f t="shared" si="31"/>
        <v>210</v>
      </c>
      <c r="J38" s="60">
        <f t="shared" si="32"/>
        <v>4.5449999999999999</v>
      </c>
      <c r="K38" s="60">
        <f>SUMIFS('IN STORE SALES RECORD'!$E$6:$E$97,'IN STORE SALES RECORD'!$A$6:$A$97, "WEEK 1",'IN STORE SALES RECORD'!$D$6:$D$97,'WHS STK MGT &amp; ALLOC.'!$A38)+10</f>
        <v>10</v>
      </c>
      <c r="L38" s="60">
        <f t="shared" si="33"/>
        <v>0</v>
      </c>
      <c r="M38" s="60">
        <f>SUMIFS('IN STORE SALES RECORD'!$E$6:$E$97,'IN STORE SALES RECORD'!$A$6:$A$97, "WEEK 6",'IN STORE SALES RECORD'!$D$6:$D$97,'WHS STK MGT &amp; ALLOC.'!$A38)</f>
        <v>0</v>
      </c>
      <c r="N38" s="60">
        <f t="shared" si="34"/>
        <v>0</v>
      </c>
      <c r="O38" s="60">
        <f>SUMIFS('IN STORE SALES RECORD'!$E$6:$E$97,'IN STORE SALES RECORD'!$A$6:$A$97, "WEEK 6",'IN STORE SALES RECORD'!$D$6:$D$97,'WHS STK MGT &amp; ALLOC.'!$A38)</f>
        <v>0</v>
      </c>
      <c r="P38" s="60">
        <f t="shared" si="35"/>
        <v>0</v>
      </c>
      <c r="Q38" s="60">
        <f>SUMIFS('IN STORE SALES RECORD'!$E$6:$E$97,'IN STORE SALES RECORD'!$A$6:$A$97, "WEEK 6",'IN STORE SALES RECORD'!$D$6:$D$97,'WHS STK MGT &amp; ALLOC.'!$A38)</f>
        <v>0</v>
      </c>
      <c r="R38" s="60">
        <f t="shared" si="36"/>
        <v>0</v>
      </c>
      <c r="S38" s="60">
        <f>SUMIFS('IN STORE SALES RECORD'!$E$6:$E$97,'IN STORE SALES RECORD'!$A$6:$A$97, "WEEK 6",'IN STORE SALES RECORD'!$D$6:$D$97,'WHS STK MGT &amp; ALLOC.'!$A38)</f>
        <v>0</v>
      </c>
      <c r="T38" s="60">
        <f t="shared" si="37"/>
        <v>0</v>
      </c>
      <c r="U38" s="60">
        <f>SUMIFS('IN STORE SALES RECORD'!$E$6:$E$97,'IN STORE SALES RECORD'!$A$6:$A$97, "WEEK 6",'IN STORE SALES RECORD'!$D$6:$D$97,'WHS STK MGT &amp; ALLOC.'!$A38)</f>
        <v>0</v>
      </c>
      <c r="V38" s="60">
        <f t="shared" si="38"/>
        <v>0</v>
      </c>
      <c r="W38" s="60">
        <f>SUMIFS('IN STORE SALES RECORD'!$E$6:$E$97,'IN STORE SALES RECORD'!$A$6:$A$97, "WEEK 6",'IN STORE SALES RECORD'!$D$6:$D$97,'WHS STK MGT &amp; ALLOC.'!$A38)</f>
        <v>0</v>
      </c>
      <c r="X38" s="60">
        <f t="shared" si="39"/>
        <v>0</v>
      </c>
      <c r="Y38" s="60">
        <f>SUMIFS('IN STORE SALES RECORD'!$E$6:$E$97,'IN STORE SALES RECORD'!$A$6:$A$97, "WEEK 6",'IN STORE SALES RECORD'!$D$6:$D$97,'WHS STK MGT &amp; ALLOC.'!$A38)</f>
        <v>0</v>
      </c>
      <c r="Z38" s="89"/>
    </row>
    <row r="39" spans="1:26" s="32" customFormat="1" ht="30">
      <c r="A39" s="25" t="s">
        <v>224</v>
      </c>
      <c r="B39" s="24" t="str">
        <f>IFERROR(INDEX('REFERENCING &amp; DATABASE'!$E$7:$E$131,MATCH($A39,'REFERENCING &amp; DATABASE'!$D$7:$D$131,0)),"")</f>
        <v>Floral Lace Nightgown</v>
      </c>
      <c r="C39" s="25" t="str">
        <f>IFERROR(INDEX('REFERENCING &amp; DATABASE'!$B$7:$B$131,MATCH($A39,'REFERENCING &amp; DATABASE'!$D$7:$D$131,0)),"")</f>
        <v>SLEEPWEAR</v>
      </c>
      <c r="D39" s="30" t="str">
        <f>IFERROR(INDEX('REFERENCING &amp; DATABASE'!$C$7:$C$131,MATCH($A39,'REFERENCING &amp; DATABASE'!$D$7:$D$131,0)),"")</f>
        <v>PAJAMAS</v>
      </c>
      <c r="E39" s="26" t="str">
        <f>IFERROR(INDEX('REFERENCING &amp; DATABASE'!$F$7:$F$131,MATCH($A39,'REFERENCING &amp; DATABASE'!$D$7:$D$131,0)),"")</f>
        <v>A feminine and elegant nightgown for a luxurious feel.</v>
      </c>
      <c r="F39" s="25" t="str">
        <f>IFERROR(INDEX('REFERENCING &amp; DATABASE'!$G$7:$G$131,MATCH($A39,'REFERENCING &amp; DATABASE'!$D$7:$D$131,0)),"")</f>
        <v>Multi-colors</v>
      </c>
      <c r="G39" s="94" t="str">
        <f>IFERROR(INDEX('REFERENCING &amp; DATABASE'!$H$7:$H$131,MATCH($A39,'REFERENCING &amp; DATABASE'!$D$7:$D$131,0)),"")</f>
        <v>L,XL,XXL</v>
      </c>
      <c r="H39" s="25">
        <f>IFERROR(INDEX('REFERENCING &amp; DATABASE'!$A$7:$A$131,MATCH($A39,'REFERENCING &amp; DATABASE'!$D$7:$D$131,0)),"")</f>
        <v>541</v>
      </c>
      <c r="I39" s="60">
        <f t="shared" si="31"/>
        <v>531</v>
      </c>
      <c r="J39" s="60">
        <f t="shared" si="32"/>
        <v>1.8480000000000001</v>
      </c>
      <c r="K39" s="60">
        <f>SUMIFS('IN STORE SALES RECORD'!$E$6:$E$97,'IN STORE SALES RECORD'!$A$6:$A$97, "WEEK 1",'IN STORE SALES RECORD'!$D$6:$D$97,'WHS STK MGT &amp; ALLOC.'!$A39)+10</f>
        <v>10</v>
      </c>
      <c r="L39" s="60">
        <f t="shared" si="33"/>
        <v>0</v>
      </c>
      <c r="M39" s="60">
        <f>SUMIFS('IN STORE SALES RECORD'!$E$6:$E$97,'IN STORE SALES RECORD'!$A$6:$A$97, "WEEK 6",'IN STORE SALES RECORD'!$D$6:$D$97,'WHS STK MGT &amp; ALLOC.'!$A39)</f>
        <v>0</v>
      </c>
      <c r="N39" s="60">
        <f t="shared" si="34"/>
        <v>0</v>
      </c>
      <c r="O39" s="60">
        <f>SUMIFS('IN STORE SALES RECORD'!$E$6:$E$97,'IN STORE SALES RECORD'!$A$6:$A$97, "WEEK 6",'IN STORE SALES RECORD'!$D$6:$D$97,'WHS STK MGT &amp; ALLOC.'!$A39)</f>
        <v>0</v>
      </c>
      <c r="P39" s="60">
        <f t="shared" si="35"/>
        <v>0</v>
      </c>
      <c r="Q39" s="60">
        <f>SUMIFS('IN STORE SALES RECORD'!$E$6:$E$97,'IN STORE SALES RECORD'!$A$6:$A$97, "WEEK 6",'IN STORE SALES RECORD'!$D$6:$D$97,'WHS STK MGT &amp; ALLOC.'!$A39)</f>
        <v>0</v>
      </c>
      <c r="R39" s="60">
        <f t="shared" si="36"/>
        <v>0</v>
      </c>
      <c r="S39" s="60">
        <f>SUMIFS('IN STORE SALES RECORD'!$E$6:$E$97,'IN STORE SALES RECORD'!$A$6:$A$97, "WEEK 6",'IN STORE SALES RECORD'!$D$6:$D$97,'WHS STK MGT &amp; ALLOC.'!$A39)</f>
        <v>0</v>
      </c>
      <c r="T39" s="60">
        <f t="shared" si="37"/>
        <v>0</v>
      </c>
      <c r="U39" s="60">
        <f>SUMIFS('IN STORE SALES RECORD'!$E$6:$E$97,'IN STORE SALES RECORD'!$A$6:$A$97, "WEEK 6",'IN STORE SALES RECORD'!$D$6:$D$97,'WHS STK MGT &amp; ALLOC.'!$A39)</f>
        <v>0</v>
      </c>
      <c r="V39" s="60">
        <f t="shared" si="38"/>
        <v>0</v>
      </c>
      <c r="W39" s="60">
        <f>SUMIFS('IN STORE SALES RECORD'!$E$6:$E$97,'IN STORE SALES RECORD'!$A$6:$A$97, "WEEK 6",'IN STORE SALES RECORD'!$D$6:$D$97,'WHS STK MGT &amp; ALLOC.'!$A39)</f>
        <v>0</v>
      </c>
      <c r="X39" s="60">
        <f t="shared" si="39"/>
        <v>0</v>
      </c>
      <c r="Y39" s="60">
        <f>SUMIFS('IN STORE SALES RECORD'!$E$6:$E$97,'IN STORE SALES RECORD'!$A$6:$A$97, "WEEK 6",'IN STORE SALES RECORD'!$D$6:$D$97,'WHS STK MGT &amp; ALLOC.'!$A39)</f>
        <v>0</v>
      </c>
      <c r="Z39" s="89"/>
    </row>
    <row r="40" spans="1:26" s="32" customFormat="1" ht="30">
      <c r="A40" s="25" t="s">
        <v>225</v>
      </c>
      <c r="B40" s="24" t="str">
        <f>IFERROR(INDEX('REFERENCING &amp; DATABASE'!$E$7:$E$131,MATCH($A40,'REFERENCING &amp; DATABASE'!$D$7:$D$131,0)),"")</f>
        <v>French Terry Loungewear Set</v>
      </c>
      <c r="C40" s="25" t="str">
        <f>IFERROR(INDEX('REFERENCING &amp; DATABASE'!$B$7:$B$131,MATCH($A40,'REFERENCING &amp; DATABASE'!$D$7:$D$131,0)),"")</f>
        <v>SLEEPWEAR</v>
      </c>
      <c r="D40" s="30" t="str">
        <f>IFERROR(INDEX('REFERENCING &amp; DATABASE'!$C$7:$C$131,MATCH($A40,'REFERENCING &amp; DATABASE'!$D$7:$D$131,0)),"")</f>
        <v>LOUNGEWEAR</v>
      </c>
      <c r="E40" s="26" t="str">
        <f>IFERROR(INDEX('REFERENCING &amp; DATABASE'!$F$7:$F$131,MATCH($A40,'REFERENCING &amp; DATABASE'!$D$7:$D$131,0)),"")</f>
        <v>A soft and stylish set for relaxing at home.</v>
      </c>
      <c r="F40" s="25" t="str">
        <f>IFERROR(INDEX('REFERENCING &amp; DATABASE'!$G$7:$G$131,MATCH($A40,'REFERENCING &amp; DATABASE'!$D$7:$D$131,0)),"")</f>
        <v>Black,Dark Red</v>
      </c>
      <c r="G40" s="94" t="str">
        <f>IFERROR(INDEX('REFERENCING &amp; DATABASE'!$H$7:$H$131,MATCH($A40,'REFERENCING &amp; DATABASE'!$D$7:$D$131,0)),"")</f>
        <v>S,L,XL,XXL</v>
      </c>
      <c r="H40" s="25">
        <f>IFERROR(INDEX('REFERENCING &amp; DATABASE'!$A$7:$A$131,MATCH($A40,'REFERENCING &amp; DATABASE'!$D$7:$D$131,0)),"")</f>
        <v>586</v>
      </c>
      <c r="I40" s="60">
        <f t="shared" si="31"/>
        <v>576</v>
      </c>
      <c r="J40" s="60">
        <f t="shared" si="32"/>
        <v>1.706</v>
      </c>
      <c r="K40" s="60">
        <f>SUMIFS('IN STORE SALES RECORD'!$E$6:$E$97,'IN STORE SALES RECORD'!$A$6:$A$97, "WEEK 1",'IN STORE SALES RECORD'!$D$6:$D$97,'WHS STK MGT &amp; ALLOC.'!$A40)+10</f>
        <v>10</v>
      </c>
      <c r="L40" s="60">
        <f t="shared" si="33"/>
        <v>0</v>
      </c>
      <c r="M40" s="60">
        <f>SUMIFS('IN STORE SALES RECORD'!$E$6:$E$97,'IN STORE SALES RECORD'!$A$6:$A$97, "WEEK 6",'IN STORE SALES RECORD'!$D$6:$D$97,'WHS STK MGT &amp; ALLOC.'!$A40)</f>
        <v>0</v>
      </c>
      <c r="N40" s="60">
        <f t="shared" si="34"/>
        <v>0</v>
      </c>
      <c r="O40" s="60">
        <f>SUMIFS('IN STORE SALES RECORD'!$E$6:$E$97,'IN STORE SALES RECORD'!$A$6:$A$97, "WEEK 6",'IN STORE SALES RECORD'!$D$6:$D$97,'WHS STK MGT &amp; ALLOC.'!$A40)</f>
        <v>0</v>
      </c>
      <c r="P40" s="60">
        <f t="shared" si="35"/>
        <v>0</v>
      </c>
      <c r="Q40" s="60">
        <f>SUMIFS('IN STORE SALES RECORD'!$E$6:$E$97,'IN STORE SALES RECORD'!$A$6:$A$97, "WEEK 6",'IN STORE SALES RECORD'!$D$6:$D$97,'WHS STK MGT &amp; ALLOC.'!$A40)</f>
        <v>0</v>
      </c>
      <c r="R40" s="60">
        <f t="shared" si="36"/>
        <v>0</v>
      </c>
      <c r="S40" s="60">
        <f>SUMIFS('IN STORE SALES RECORD'!$E$6:$E$97,'IN STORE SALES RECORD'!$A$6:$A$97, "WEEK 6",'IN STORE SALES RECORD'!$D$6:$D$97,'WHS STK MGT &amp; ALLOC.'!$A40)</f>
        <v>0</v>
      </c>
      <c r="T40" s="60">
        <f t="shared" si="37"/>
        <v>0</v>
      </c>
      <c r="U40" s="60">
        <f>SUMIFS('IN STORE SALES RECORD'!$E$6:$E$97,'IN STORE SALES RECORD'!$A$6:$A$97, "WEEK 6",'IN STORE SALES RECORD'!$D$6:$D$97,'WHS STK MGT &amp; ALLOC.'!$A40)</f>
        <v>0</v>
      </c>
      <c r="V40" s="60">
        <f t="shared" si="38"/>
        <v>0</v>
      </c>
      <c r="W40" s="60">
        <f>SUMIFS('IN STORE SALES RECORD'!$E$6:$E$97,'IN STORE SALES RECORD'!$A$6:$A$97, "WEEK 6",'IN STORE SALES RECORD'!$D$6:$D$97,'WHS STK MGT &amp; ALLOC.'!$A40)</f>
        <v>0</v>
      </c>
      <c r="X40" s="60">
        <f t="shared" si="39"/>
        <v>0</v>
      </c>
      <c r="Y40" s="60">
        <f>SUMIFS('IN STORE SALES RECORD'!$E$6:$E$97,'IN STORE SALES RECORD'!$A$6:$A$97, "WEEK 6",'IN STORE SALES RECORD'!$D$6:$D$97,'WHS STK MGT &amp; ALLOC.'!$A40)</f>
        <v>0</v>
      </c>
      <c r="Z40" s="89"/>
    </row>
    <row r="41" spans="1:26" ht="30">
      <c r="A41" s="25" t="s">
        <v>226</v>
      </c>
      <c r="B41" s="24" t="str">
        <f>IFERROR(INDEX('REFERENCING &amp; DATABASE'!$E$7:$E$131,MATCH($A41,'REFERENCING &amp; DATABASE'!$D$7:$D$131,0)),"")</f>
        <v>Fleece Robe</v>
      </c>
      <c r="C41" s="25" t="str">
        <f>IFERROR(INDEX('REFERENCING &amp; DATABASE'!$B$7:$B$131,MATCH($A41,'REFERENCING &amp; DATABASE'!$D$7:$D$131,0)),"")</f>
        <v>SLEEPWEAR</v>
      </c>
      <c r="D41" s="30" t="str">
        <f>IFERROR(INDEX('REFERENCING &amp; DATABASE'!$C$7:$C$131,MATCH($A41,'REFERENCING &amp; DATABASE'!$D$7:$D$131,0)),"")</f>
        <v>LOUNGEWEAR</v>
      </c>
      <c r="E41" s="26" t="str">
        <f>IFERROR(INDEX('REFERENCING &amp; DATABASE'!$F$7:$F$131,MATCH($A41,'REFERENCING &amp; DATABASE'!$D$7:$D$131,0)),"")</f>
        <v>A warm and cozy robe perfect for mornings or evenings.</v>
      </c>
      <c r="F41" s="25" t="str">
        <f>IFERROR(INDEX('REFERENCING &amp; DATABASE'!$G$7:$G$131,MATCH($A41,'REFERENCING &amp; DATABASE'!$D$7:$D$131,0)),"")</f>
        <v>Black</v>
      </c>
      <c r="G41" s="94" t="str">
        <f>IFERROR(INDEX('REFERENCING &amp; DATABASE'!$H$7:$H$131,MATCH($A41,'REFERENCING &amp; DATABASE'!$D$7:$D$131,0)),"")</f>
        <v>S,L,XL,XXL</v>
      </c>
      <c r="H41" s="25">
        <f>IFERROR(INDEX('REFERENCING &amp; DATABASE'!$A$7:$A$131,MATCH($A41,'REFERENCING &amp; DATABASE'!$D$7:$D$131,0)),"")</f>
        <v>529</v>
      </c>
      <c r="I41" s="60">
        <f t="shared" ref="I41:I45" si="40">H41-SUM($K41,$M41,$O41,$Q41)</f>
        <v>519</v>
      </c>
      <c r="J41" s="60">
        <f t="shared" si="32"/>
        <v>1.89</v>
      </c>
      <c r="K41" s="60">
        <f>SUMIFS('IN STORE SALES RECORD'!$E$6:$E$97,'IN STORE SALES RECORD'!$A$6:$A$97, "WEEK 1",'IN STORE SALES RECORD'!$D$6:$D$97,'WHS STK MGT &amp; ALLOC.'!$A41)+10</f>
        <v>10</v>
      </c>
      <c r="L41" s="60">
        <f t="shared" si="33"/>
        <v>0</v>
      </c>
      <c r="M41" s="60">
        <f>SUMIFS('IN STORE SALES RECORD'!$E$6:$E$97,'IN STORE SALES RECORD'!$A$6:$A$97, "WEEK 6",'IN STORE SALES RECORD'!$D$6:$D$97,'WHS STK MGT &amp; ALLOC.'!$A41)</f>
        <v>0</v>
      </c>
      <c r="N41" s="60">
        <f t="shared" si="34"/>
        <v>0</v>
      </c>
      <c r="O41" s="60">
        <f>SUMIFS('IN STORE SALES RECORD'!$E$6:$E$97,'IN STORE SALES RECORD'!$A$6:$A$97, "WEEK 6",'IN STORE SALES RECORD'!$D$6:$D$97,'WHS STK MGT &amp; ALLOC.'!$A41)</f>
        <v>0</v>
      </c>
      <c r="P41" s="60">
        <f t="shared" si="35"/>
        <v>0</v>
      </c>
      <c r="Q41" s="60">
        <f>SUMIFS('IN STORE SALES RECORD'!$E$6:$E$97,'IN STORE SALES RECORD'!$A$6:$A$97, "WEEK 6",'IN STORE SALES RECORD'!$D$6:$D$97,'WHS STK MGT &amp; ALLOC.'!$A41)</f>
        <v>0</v>
      </c>
      <c r="R41" s="60">
        <f t="shared" si="36"/>
        <v>0</v>
      </c>
      <c r="S41" s="60">
        <f>SUMIFS('IN STORE SALES RECORD'!$E$6:$E$97,'IN STORE SALES RECORD'!$A$6:$A$97, "WEEK 6",'IN STORE SALES RECORD'!$D$6:$D$97,'WHS STK MGT &amp; ALLOC.'!$A41)</f>
        <v>0</v>
      </c>
      <c r="T41" s="60">
        <f t="shared" si="37"/>
        <v>0</v>
      </c>
      <c r="U41" s="60">
        <f>SUMIFS('IN STORE SALES RECORD'!$E$6:$E$97,'IN STORE SALES RECORD'!$A$6:$A$97, "WEEK 6",'IN STORE SALES RECORD'!$D$6:$D$97,'WHS STK MGT &amp; ALLOC.'!$A41)</f>
        <v>0</v>
      </c>
      <c r="V41" s="60">
        <f t="shared" si="38"/>
        <v>0</v>
      </c>
      <c r="W41" s="60">
        <f>SUMIFS('IN STORE SALES RECORD'!$E$6:$E$97,'IN STORE SALES RECORD'!$A$6:$A$97, "WEEK 6",'IN STORE SALES RECORD'!$D$6:$D$97,'WHS STK MGT &amp; ALLOC.'!$A41)</f>
        <v>0</v>
      </c>
      <c r="X41" s="60">
        <f t="shared" si="39"/>
        <v>0</v>
      </c>
      <c r="Y41" s="60">
        <f>SUMIFS('IN STORE SALES RECORD'!$E$6:$E$97,'IN STORE SALES RECORD'!$A$6:$A$97, "WEEK 6",'IN STORE SALES RECORD'!$D$6:$D$97,'WHS STK MGT &amp; ALLOC.'!$A41)</f>
        <v>0</v>
      </c>
    </row>
    <row r="42" spans="1:26" ht="30">
      <c r="A42" s="25" t="s">
        <v>227</v>
      </c>
      <c r="B42" s="24" t="str">
        <f>IFERROR(INDEX('REFERENCING &amp; DATABASE'!$E$7:$E$131,MATCH($A42,'REFERENCING &amp; DATABASE'!$D$7:$D$131,0)),"")</f>
        <v>Memory Foam Slippers</v>
      </c>
      <c r="C42" s="25" t="str">
        <f>IFERROR(INDEX('REFERENCING &amp; DATABASE'!$B$7:$B$131,MATCH($A42,'REFERENCING &amp; DATABASE'!$D$7:$D$131,0)),"")</f>
        <v>SLEEPWEAR</v>
      </c>
      <c r="D42" s="30" t="str">
        <f>IFERROR(INDEX('REFERENCING &amp; DATABASE'!$C$7:$C$131,MATCH($A42,'REFERENCING &amp; DATABASE'!$D$7:$D$131,0)),"")</f>
        <v>LOUNGEWEAR</v>
      </c>
      <c r="E42" s="26" t="str">
        <f>IFERROR(INDEX('REFERENCING &amp; DATABASE'!$F$7:$F$131,MATCH($A42,'REFERENCING &amp; DATABASE'!$D$7:$D$131,0)),"")</f>
        <v>Plush and comfortable slippers for ultimate relaxation.</v>
      </c>
      <c r="F42" s="25" t="str">
        <f>IFERROR(INDEX('REFERENCING &amp; DATABASE'!$G$7:$G$131,MATCH($A42,'REFERENCING &amp; DATABASE'!$D$7:$D$131,0)),"")</f>
        <v>Black,Grey</v>
      </c>
      <c r="G42" s="94">
        <f>IFERROR(INDEX('REFERENCING &amp; DATABASE'!$H$7:$H$131,MATCH($A42,'REFERENCING &amp; DATABASE'!$D$7:$D$131,0)),"")</f>
        <v>10</v>
      </c>
      <c r="H42" s="25">
        <f>IFERROR(INDEX('REFERENCING &amp; DATABASE'!$A$7:$A$131,MATCH($A42,'REFERENCING &amp; DATABASE'!$D$7:$D$131,0)),"")</f>
        <v>354</v>
      </c>
      <c r="I42" s="60">
        <f t="shared" si="40"/>
        <v>344</v>
      </c>
      <c r="J42" s="60">
        <f t="shared" si="32"/>
        <v>2.8250000000000002</v>
      </c>
      <c r="K42" s="60">
        <f>SUMIFS('IN STORE SALES RECORD'!$E$6:$E$97,'IN STORE SALES RECORD'!$A$6:$A$97, "WEEK 1",'IN STORE SALES RECORD'!$D$6:$D$97,'WHS STK MGT &amp; ALLOC.'!$A42)+10</f>
        <v>10</v>
      </c>
      <c r="L42" s="60">
        <f t="shared" si="33"/>
        <v>0</v>
      </c>
      <c r="M42" s="60">
        <f>SUMIFS('IN STORE SALES RECORD'!$E$6:$E$97,'IN STORE SALES RECORD'!$A$6:$A$97, "WEEK 6",'IN STORE SALES RECORD'!$D$6:$D$97,'WHS STK MGT &amp; ALLOC.'!$A42)</f>
        <v>0</v>
      </c>
      <c r="N42" s="60">
        <f t="shared" si="34"/>
        <v>0</v>
      </c>
      <c r="O42" s="60">
        <f>SUMIFS('IN STORE SALES RECORD'!$E$6:$E$97,'IN STORE SALES RECORD'!$A$6:$A$97, "WEEK 6",'IN STORE SALES RECORD'!$D$6:$D$97,'WHS STK MGT &amp; ALLOC.'!$A42)</f>
        <v>0</v>
      </c>
      <c r="P42" s="60">
        <f t="shared" si="35"/>
        <v>0</v>
      </c>
      <c r="Q42" s="60">
        <f>SUMIFS('IN STORE SALES RECORD'!$E$6:$E$97,'IN STORE SALES RECORD'!$A$6:$A$97, "WEEK 6",'IN STORE SALES RECORD'!$D$6:$D$97,'WHS STK MGT &amp; ALLOC.'!$A42)</f>
        <v>0</v>
      </c>
      <c r="R42" s="60">
        <f t="shared" si="36"/>
        <v>0</v>
      </c>
      <c r="S42" s="60">
        <f>SUMIFS('IN STORE SALES RECORD'!$E$6:$E$97,'IN STORE SALES RECORD'!$A$6:$A$97, "WEEK 6",'IN STORE SALES RECORD'!$D$6:$D$97,'WHS STK MGT &amp; ALLOC.'!$A42)</f>
        <v>0</v>
      </c>
      <c r="T42" s="60">
        <f t="shared" si="37"/>
        <v>0</v>
      </c>
      <c r="U42" s="60">
        <f>SUMIFS('IN STORE SALES RECORD'!$E$6:$E$97,'IN STORE SALES RECORD'!$A$6:$A$97, "WEEK 6",'IN STORE SALES RECORD'!$D$6:$D$97,'WHS STK MGT &amp; ALLOC.'!$A42)</f>
        <v>0</v>
      </c>
      <c r="V42" s="60">
        <f t="shared" si="38"/>
        <v>0</v>
      </c>
      <c r="W42" s="60">
        <f>SUMIFS('IN STORE SALES RECORD'!$E$6:$E$97,'IN STORE SALES RECORD'!$A$6:$A$97, "WEEK 6",'IN STORE SALES RECORD'!$D$6:$D$97,'WHS STK MGT &amp; ALLOC.'!$A42)</f>
        <v>0</v>
      </c>
      <c r="X42" s="60">
        <f t="shared" si="39"/>
        <v>0</v>
      </c>
      <c r="Y42" s="60">
        <f>SUMIFS('IN STORE SALES RECORD'!$E$6:$E$97,'IN STORE SALES RECORD'!$A$6:$A$97, "WEEK 6",'IN STORE SALES RECORD'!$D$6:$D$97,'WHS STK MGT &amp; ALLOC.'!$A42)</f>
        <v>0</v>
      </c>
    </row>
    <row r="43" spans="1:26" ht="30">
      <c r="A43" s="25" t="s">
        <v>228</v>
      </c>
      <c r="B43" s="24" t="str">
        <f>IFERROR(INDEX('REFERENCING &amp; DATABASE'!$E$7:$E$131,MATCH($A43,'REFERENCING &amp; DATABASE'!$D$7:$D$131,0)),"")</f>
        <v>Supportive Sleep Bra</v>
      </c>
      <c r="C43" s="25" t="str">
        <f>IFERROR(INDEX('REFERENCING &amp; DATABASE'!$B$7:$B$131,MATCH($A43,'REFERENCING &amp; DATABASE'!$D$7:$D$131,0)),"")</f>
        <v>SLEEPWEAR</v>
      </c>
      <c r="D43" s="30" t="str">
        <f>IFERROR(INDEX('REFERENCING &amp; DATABASE'!$C$7:$C$131,MATCH($A43,'REFERENCING &amp; DATABASE'!$D$7:$D$131,0)),"")</f>
        <v>UNDERWEAR</v>
      </c>
      <c r="E43" s="26" t="str">
        <f>IFERROR(INDEX('REFERENCING &amp; DATABASE'!$F$7:$F$131,MATCH($A43,'REFERENCING &amp; DATABASE'!$D$7:$D$131,0)),"")</f>
        <v>Supportive Sleep Bra: Provides gentle support and comfort while sleeping.</v>
      </c>
      <c r="F43" s="25" t="str">
        <f>IFERROR(INDEX('REFERENCING &amp; DATABASE'!$G$7:$G$131,MATCH($A43,'REFERENCING &amp; DATABASE'!$D$7:$D$131,0)),"")</f>
        <v>Multi-colors</v>
      </c>
      <c r="G43" s="94" t="str">
        <f>IFERROR(INDEX('REFERENCING &amp; DATABASE'!$H$7:$H$131,MATCH($A43,'REFERENCING &amp; DATABASE'!$D$7:$D$131,0)),"")</f>
        <v>L,XL</v>
      </c>
      <c r="H43" s="25">
        <f>IFERROR(INDEX('REFERENCING &amp; DATABASE'!$A$7:$A$131,MATCH($A43,'REFERENCING &amp; DATABASE'!$D$7:$D$131,0)),"")</f>
        <v>435</v>
      </c>
      <c r="I43" s="60">
        <f t="shared" si="40"/>
        <v>425</v>
      </c>
      <c r="J43" s="60">
        <f t="shared" si="32"/>
        <v>2.2989999999999999</v>
      </c>
      <c r="K43" s="60">
        <f>SUMIFS('IN STORE SALES RECORD'!$E$6:$E$97,'IN STORE SALES RECORD'!$A$6:$A$97, "WEEK 1",'IN STORE SALES RECORD'!$D$6:$D$97,'WHS STK MGT &amp; ALLOC.'!$A43)+10</f>
        <v>10</v>
      </c>
      <c r="L43" s="60">
        <f t="shared" si="33"/>
        <v>0</v>
      </c>
      <c r="M43" s="60">
        <f>SUMIFS('IN STORE SALES RECORD'!$E$6:$E$97,'IN STORE SALES RECORD'!$A$6:$A$97, "WEEK 6",'IN STORE SALES RECORD'!$D$6:$D$97,'WHS STK MGT &amp; ALLOC.'!$A43)</f>
        <v>0</v>
      </c>
      <c r="N43" s="60">
        <f t="shared" si="34"/>
        <v>0</v>
      </c>
      <c r="O43" s="60">
        <f>SUMIFS('IN STORE SALES RECORD'!$E$6:$E$97,'IN STORE SALES RECORD'!$A$6:$A$97, "WEEK 6",'IN STORE SALES RECORD'!$D$6:$D$97,'WHS STK MGT &amp; ALLOC.'!$A43)</f>
        <v>0</v>
      </c>
      <c r="P43" s="60">
        <f t="shared" si="35"/>
        <v>0</v>
      </c>
      <c r="Q43" s="60">
        <f>SUMIFS('IN STORE SALES RECORD'!$E$6:$E$97,'IN STORE SALES RECORD'!$A$6:$A$97, "WEEK 6",'IN STORE SALES RECORD'!$D$6:$D$97,'WHS STK MGT &amp; ALLOC.'!$A43)</f>
        <v>0</v>
      </c>
      <c r="R43" s="60">
        <f t="shared" si="36"/>
        <v>0</v>
      </c>
      <c r="S43" s="60">
        <f>SUMIFS('IN STORE SALES RECORD'!$E$6:$E$97,'IN STORE SALES RECORD'!$A$6:$A$97, "WEEK 6",'IN STORE SALES RECORD'!$D$6:$D$97,'WHS STK MGT &amp; ALLOC.'!$A43)</f>
        <v>0</v>
      </c>
      <c r="T43" s="60">
        <f t="shared" si="37"/>
        <v>0</v>
      </c>
      <c r="U43" s="60">
        <f>SUMIFS('IN STORE SALES RECORD'!$E$6:$E$97,'IN STORE SALES RECORD'!$A$6:$A$97, "WEEK 6",'IN STORE SALES RECORD'!$D$6:$D$97,'WHS STK MGT &amp; ALLOC.'!$A43)</f>
        <v>0</v>
      </c>
      <c r="V43" s="60">
        <f t="shared" si="38"/>
        <v>0</v>
      </c>
      <c r="W43" s="60">
        <f>SUMIFS('IN STORE SALES RECORD'!$E$6:$E$97,'IN STORE SALES RECORD'!$A$6:$A$97, "WEEK 6",'IN STORE SALES RECORD'!$D$6:$D$97,'WHS STK MGT &amp; ALLOC.'!$A43)</f>
        <v>0</v>
      </c>
      <c r="X43" s="60">
        <f t="shared" si="39"/>
        <v>0</v>
      </c>
      <c r="Y43" s="60">
        <f>SUMIFS('IN STORE SALES RECORD'!$E$6:$E$97,'IN STORE SALES RECORD'!$A$6:$A$97, "WEEK 6",'IN STORE SALES RECORD'!$D$6:$D$97,'WHS STK MGT &amp; ALLOC.'!$A43)</f>
        <v>0</v>
      </c>
    </row>
    <row r="44" spans="1:26" ht="30">
      <c r="A44" s="25" t="s">
        <v>229</v>
      </c>
      <c r="B44" s="24" t="str">
        <f>IFERROR(INDEX('REFERENCING &amp; DATABASE'!$E$7:$E$131,MATCH($A44,'REFERENCING &amp; DATABASE'!$D$7:$D$131,0)),"")</f>
        <v>Soft Modal Sleep Shorts</v>
      </c>
      <c r="C44" s="25" t="str">
        <f>IFERROR(INDEX('REFERENCING &amp; DATABASE'!$B$7:$B$131,MATCH($A44,'REFERENCING &amp; DATABASE'!$D$7:$D$131,0)),"")</f>
        <v>SLEEPWEAR</v>
      </c>
      <c r="D44" s="30" t="str">
        <f>IFERROR(INDEX('REFERENCING &amp; DATABASE'!$C$7:$C$131,MATCH($A44,'REFERENCING &amp; DATABASE'!$D$7:$D$131,0)),"")</f>
        <v>UNDERWEAR</v>
      </c>
      <c r="E44" s="26" t="str">
        <f>IFERROR(INDEX('REFERENCING &amp; DATABASE'!$F$7:$F$131,MATCH($A44,'REFERENCING &amp; DATABASE'!$D$7:$D$131,0)),"")</f>
        <v>Breathable and lightweight shorts for a comfortable night's sleep.</v>
      </c>
      <c r="F44" s="25" t="str">
        <f>IFERROR(INDEX('REFERENCING &amp; DATABASE'!$G$7:$G$131,MATCH($A44,'REFERENCING &amp; DATABASE'!$D$7:$D$131,0)),"")</f>
        <v>Multi-colors</v>
      </c>
      <c r="G44" s="94" t="str">
        <f>IFERROR(INDEX('REFERENCING &amp; DATABASE'!$H$7:$H$131,MATCH($A44,'REFERENCING &amp; DATABASE'!$D$7:$D$131,0)),"")</f>
        <v>L,XL,XXL</v>
      </c>
      <c r="H44" s="25">
        <f>IFERROR(INDEX('REFERENCING &amp; DATABASE'!$A$7:$A$131,MATCH($A44,'REFERENCING &amp; DATABASE'!$D$7:$D$131,0)),"")</f>
        <v>175</v>
      </c>
      <c r="I44" s="60">
        <f t="shared" si="40"/>
        <v>165</v>
      </c>
      <c r="J44" s="60">
        <f t="shared" si="32"/>
        <v>5.7140000000000004</v>
      </c>
      <c r="K44" s="60">
        <f>SUMIFS('IN STORE SALES RECORD'!$E$6:$E$97,'IN STORE SALES RECORD'!$A$6:$A$97, "WEEK 1",'IN STORE SALES RECORD'!$D$6:$D$97,'WHS STK MGT &amp; ALLOC.'!$A44)+10</f>
        <v>10</v>
      </c>
      <c r="L44" s="60">
        <f t="shared" si="33"/>
        <v>0</v>
      </c>
      <c r="M44" s="60">
        <f>SUMIFS('IN STORE SALES RECORD'!$E$6:$E$97,'IN STORE SALES RECORD'!$A$6:$A$97, "WEEK 6",'IN STORE SALES RECORD'!$D$6:$D$97,'WHS STK MGT &amp; ALLOC.'!$A44)</f>
        <v>0</v>
      </c>
      <c r="N44" s="60">
        <f t="shared" si="34"/>
        <v>0</v>
      </c>
      <c r="O44" s="60">
        <f>SUMIFS('IN STORE SALES RECORD'!$E$6:$E$97,'IN STORE SALES RECORD'!$A$6:$A$97, "WEEK 6",'IN STORE SALES RECORD'!$D$6:$D$97,'WHS STK MGT &amp; ALLOC.'!$A44)</f>
        <v>0</v>
      </c>
      <c r="P44" s="60">
        <f t="shared" si="35"/>
        <v>0</v>
      </c>
      <c r="Q44" s="60">
        <f>SUMIFS('IN STORE SALES RECORD'!$E$6:$E$97,'IN STORE SALES RECORD'!$A$6:$A$97, "WEEK 6",'IN STORE SALES RECORD'!$D$6:$D$97,'WHS STK MGT &amp; ALLOC.'!$A44)</f>
        <v>0</v>
      </c>
      <c r="R44" s="60">
        <f t="shared" si="36"/>
        <v>0</v>
      </c>
      <c r="S44" s="60">
        <f>SUMIFS('IN STORE SALES RECORD'!$E$6:$E$97,'IN STORE SALES RECORD'!$A$6:$A$97, "WEEK 6",'IN STORE SALES RECORD'!$D$6:$D$97,'WHS STK MGT &amp; ALLOC.'!$A44)</f>
        <v>0</v>
      </c>
      <c r="T44" s="60">
        <f t="shared" si="37"/>
        <v>0</v>
      </c>
      <c r="U44" s="60">
        <f>SUMIFS('IN STORE SALES RECORD'!$E$6:$E$97,'IN STORE SALES RECORD'!$A$6:$A$97, "WEEK 6",'IN STORE SALES RECORD'!$D$6:$D$97,'WHS STK MGT &amp; ALLOC.'!$A44)</f>
        <v>0</v>
      </c>
      <c r="V44" s="60">
        <f t="shared" si="38"/>
        <v>0</v>
      </c>
      <c r="W44" s="60">
        <f>SUMIFS('IN STORE SALES RECORD'!$E$6:$E$97,'IN STORE SALES RECORD'!$A$6:$A$97, "WEEK 6",'IN STORE SALES RECORD'!$D$6:$D$97,'WHS STK MGT &amp; ALLOC.'!$A44)</f>
        <v>0</v>
      </c>
      <c r="X44" s="60">
        <f t="shared" si="39"/>
        <v>0</v>
      </c>
      <c r="Y44" s="60">
        <f>SUMIFS('IN STORE SALES RECORD'!$E$6:$E$97,'IN STORE SALES RECORD'!$A$6:$A$97, "WEEK 6",'IN STORE SALES RECORD'!$D$6:$D$97,'WHS STK MGT &amp; ALLOC.'!$A44)</f>
        <v>0</v>
      </c>
    </row>
    <row r="45" spans="1:26" ht="30">
      <c r="A45" s="25" t="s">
        <v>230</v>
      </c>
      <c r="B45" s="24" t="str">
        <f>IFERROR(INDEX('REFERENCING &amp; DATABASE'!$E$7:$E$131,MATCH($A45,'REFERENCING &amp; DATABASE'!$D$7:$D$131,0)),"")</f>
        <v>Relaxed-Fit Sleep Shirt</v>
      </c>
      <c r="C45" s="25" t="str">
        <f>IFERROR(INDEX('REFERENCING &amp; DATABASE'!$B$7:$B$131,MATCH($A45,'REFERENCING &amp; DATABASE'!$D$7:$D$131,0)),"")</f>
        <v>SLEEPWEAR</v>
      </c>
      <c r="D45" s="30" t="str">
        <f>IFERROR(INDEX('REFERENCING &amp; DATABASE'!$C$7:$C$131,MATCH($A45,'REFERENCING &amp; DATABASE'!$D$7:$D$131,0)),"")</f>
        <v>UNDERWEAR</v>
      </c>
      <c r="E45" s="26" t="str">
        <f>IFERROR(INDEX('REFERENCING &amp; DATABASE'!$F$7:$F$131,MATCH($A45,'REFERENCING &amp; DATABASE'!$D$7:$D$131,0)),"")</f>
        <v>A comfortable and loose-fitting top for added comfort.</v>
      </c>
      <c r="F45" s="25" t="str">
        <f>IFERROR(INDEX('REFERENCING &amp; DATABASE'!$G$7:$G$131,MATCH($A45,'REFERENCING &amp; DATABASE'!$D$7:$D$131,0)),"")</f>
        <v>Multi-colors</v>
      </c>
      <c r="G45" s="94" t="str">
        <f>IFERROR(INDEX('REFERENCING &amp; DATABASE'!$H$7:$H$131,MATCH($A45,'REFERENCING &amp; DATABASE'!$D$7:$D$131,0)),"")</f>
        <v>L,XL,XXL</v>
      </c>
      <c r="H45" s="25">
        <f>IFERROR(INDEX('REFERENCING &amp; DATABASE'!$A$7:$A$131,MATCH($A45,'REFERENCING &amp; DATABASE'!$D$7:$D$131,0)),"")</f>
        <v>476</v>
      </c>
      <c r="I45" s="60">
        <f t="shared" si="40"/>
        <v>466</v>
      </c>
      <c r="J45" s="60">
        <f t="shared" si="32"/>
        <v>2.101</v>
      </c>
      <c r="K45" s="60">
        <f>SUMIFS('IN STORE SALES RECORD'!$E$6:$E$97,'IN STORE SALES RECORD'!$A$6:$A$97, "WEEK 1",'IN STORE SALES RECORD'!$D$6:$D$97,'WHS STK MGT &amp; ALLOC.'!$A45)+10</f>
        <v>10</v>
      </c>
      <c r="L45" s="60">
        <f t="shared" si="33"/>
        <v>0</v>
      </c>
      <c r="M45" s="60">
        <f>SUMIFS('IN STORE SALES RECORD'!$E$6:$E$97,'IN STORE SALES RECORD'!$A$6:$A$97, "WEEK 6",'IN STORE SALES RECORD'!$D$6:$D$97,'WHS STK MGT &amp; ALLOC.'!$A45)</f>
        <v>0</v>
      </c>
      <c r="N45" s="60">
        <f t="shared" si="34"/>
        <v>0</v>
      </c>
      <c r="O45" s="60">
        <f>SUMIFS('IN STORE SALES RECORD'!$E$6:$E$97,'IN STORE SALES RECORD'!$A$6:$A$97, "WEEK 6",'IN STORE SALES RECORD'!$D$6:$D$97,'WHS STK MGT &amp; ALLOC.'!$A45)</f>
        <v>0</v>
      </c>
      <c r="P45" s="60">
        <f t="shared" si="35"/>
        <v>0</v>
      </c>
      <c r="Q45" s="60">
        <f>SUMIFS('IN STORE SALES RECORD'!$E$6:$E$97,'IN STORE SALES RECORD'!$A$6:$A$97, "WEEK 6",'IN STORE SALES RECORD'!$D$6:$D$97,'WHS STK MGT &amp; ALLOC.'!$A45)</f>
        <v>0</v>
      </c>
      <c r="R45" s="60">
        <f t="shared" si="36"/>
        <v>0</v>
      </c>
      <c r="S45" s="60">
        <f>SUMIFS('IN STORE SALES RECORD'!$E$6:$E$97,'IN STORE SALES RECORD'!$A$6:$A$97, "WEEK 6",'IN STORE SALES RECORD'!$D$6:$D$97,'WHS STK MGT &amp; ALLOC.'!$A45)</f>
        <v>0</v>
      </c>
      <c r="T45" s="60">
        <f t="shared" si="37"/>
        <v>0</v>
      </c>
      <c r="U45" s="60">
        <f>SUMIFS('IN STORE SALES RECORD'!$E$6:$E$97,'IN STORE SALES RECORD'!$A$6:$A$97, "WEEK 6",'IN STORE SALES RECORD'!$D$6:$D$97,'WHS STK MGT &amp; ALLOC.'!$A45)</f>
        <v>0</v>
      </c>
      <c r="V45" s="60">
        <f t="shared" si="38"/>
        <v>0</v>
      </c>
      <c r="W45" s="60">
        <f>SUMIFS('IN STORE SALES RECORD'!$E$6:$E$97,'IN STORE SALES RECORD'!$A$6:$A$97, "WEEK 6",'IN STORE SALES RECORD'!$D$6:$D$97,'WHS STK MGT &amp; ALLOC.'!$A45)</f>
        <v>0</v>
      </c>
      <c r="X45" s="60">
        <f t="shared" si="39"/>
        <v>0</v>
      </c>
      <c r="Y45" s="60">
        <f>SUMIFS('IN STORE SALES RECORD'!$E$6:$E$97,'IN STORE SALES RECORD'!$A$6:$A$97, "WEEK 6",'IN STORE SALES RECORD'!$D$6:$D$97,'WHS STK MGT &amp; ALLOC.'!$A45)</f>
        <v>0</v>
      </c>
    </row>
    <row r="46" spans="1:26">
      <c r="A46" s="104"/>
      <c r="B46" s="105"/>
      <c r="C46" s="104"/>
      <c r="D46" s="106"/>
      <c r="E46" s="107"/>
      <c r="F46" s="104"/>
      <c r="G46" s="108"/>
      <c r="H46" s="104"/>
      <c r="I46" s="61"/>
      <c r="J46" s="61"/>
      <c r="K46" s="61"/>
      <c r="L46" s="61"/>
      <c r="M46" s="61"/>
      <c r="N46" s="61"/>
      <c r="O46" s="61"/>
      <c r="P46" s="61"/>
      <c r="Q46" s="61"/>
      <c r="R46" s="61"/>
      <c r="S46" s="61"/>
      <c r="T46" s="61"/>
      <c r="U46" s="61"/>
      <c r="V46" s="61"/>
      <c r="W46" s="61"/>
      <c r="X46" s="61"/>
      <c r="Y46" s="61"/>
    </row>
    <row r="47" spans="1:26">
      <c r="A47" s="104"/>
      <c r="B47" s="105"/>
      <c r="C47" s="104"/>
      <c r="D47" s="106"/>
      <c r="E47" s="107"/>
      <c r="F47" s="104"/>
      <c r="G47" s="108"/>
      <c r="H47" s="104"/>
      <c r="I47" s="61"/>
      <c r="J47" s="61"/>
      <c r="K47" s="61"/>
      <c r="L47" s="61"/>
      <c r="M47" s="61"/>
      <c r="N47" s="61"/>
      <c r="O47" s="61"/>
      <c r="P47" s="61"/>
      <c r="Q47" s="61"/>
      <c r="R47" s="61"/>
      <c r="S47" s="61"/>
      <c r="T47" s="61"/>
      <c r="U47" s="61"/>
      <c r="V47" s="61"/>
      <c r="W47" s="61"/>
      <c r="X47" s="61"/>
      <c r="Y47" s="61"/>
    </row>
    <row r="48" spans="1:26" ht="15.75">
      <c r="C48" s="21"/>
      <c r="H48" s="42"/>
      <c r="I48" s="61"/>
      <c r="J48" s="61"/>
      <c r="K48" s="61"/>
      <c r="L48" s="61"/>
      <c r="M48" s="61"/>
      <c r="N48" s="59"/>
      <c r="O48" s="59"/>
      <c r="P48" s="59"/>
      <c r="Q48" s="59"/>
    </row>
    <row r="49" spans="1:25" s="14" customFormat="1" ht="15.75">
      <c r="A49" s="13" t="str">
        <f>A$6</f>
        <v>REFERENCE</v>
      </c>
      <c r="B49" s="13" t="str">
        <f>B$6</f>
        <v>PRODUCT NAME</v>
      </c>
      <c r="C49" s="13" t="str">
        <f t="shared" ref="C49:Q49" si="41">C$6</f>
        <v>CATEGORY</v>
      </c>
      <c r="D49" s="13" t="str">
        <f t="shared" si="41"/>
        <v>SUB-CATEGORY</v>
      </c>
      <c r="E49" s="13" t="str">
        <f t="shared" si="41"/>
        <v>DESCRIPTION</v>
      </c>
      <c r="F49" s="13" t="str">
        <f t="shared" si="41"/>
        <v>COLOUR</v>
      </c>
      <c r="G49" s="91" t="str">
        <f t="shared" si="41"/>
        <v>SIZE</v>
      </c>
      <c r="H49" s="13" t="str">
        <f t="shared" si="41"/>
        <v>TOTAL STOCK</v>
      </c>
      <c r="I49" s="13" t="str">
        <f t="shared" si="41"/>
        <v>REMANING STOCK</v>
      </c>
      <c r="J49" s="18" t="str">
        <f t="shared" si="41"/>
        <v>1ST WEEK % ALLOCATION</v>
      </c>
      <c r="K49" s="18" t="str">
        <f t="shared" si="41"/>
        <v>1ST WEEK</v>
      </c>
      <c r="L49" s="18" t="str">
        <f t="shared" si="41"/>
        <v>2ND WEEK % ALLOCATION</v>
      </c>
      <c r="M49" s="18" t="str">
        <f t="shared" si="41"/>
        <v>2ND WEEK</v>
      </c>
      <c r="N49" s="18" t="str">
        <f t="shared" si="41"/>
        <v>3RD WEEK % ALLOCATION</v>
      </c>
      <c r="O49" s="18" t="str">
        <f t="shared" si="41"/>
        <v>3RD WEEK</v>
      </c>
      <c r="P49" s="18" t="str">
        <f t="shared" si="41"/>
        <v>4TH WEEK % ALLOCATION</v>
      </c>
      <c r="Q49" s="18" t="str">
        <f t="shared" si="41"/>
        <v>4TH WEEK</v>
      </c>
      <c r="R49" s="62" t="s">
        <v>77</v>
      </c>
      <c r="S49" s="62" t="s">
        <v>78</v>
      </c>
      <c r="T49" s="62" t="s">
        <v>83</v>
      </c>
      <c r="U49" s="62" t="s">
        <v>84</v>
      </c>
      <c r="V49" s="62" t="s">
        <v>85</v>
      </c>
      <c r="W49" s="62" t="s">
        <v>86</v>
      </c>
      <c r="X49" s="62" t="s">
        <v>87</v>
      </c>
      <c r="Y49" s="62" t="s">
        <v>88</v>
      </c>
    </row>
    <row r="50" spans="1:25" s="32" customFormat="1" ht="45">
      <c r="A50" s="25" t="s">
        <v>231</v>
      </c>
      <c r="B50" s="25" t="str">
        <f>IFERROR(INDEX('REFERENCING &amp; DATABASE'!$E$7:$E$131,MATCH($A50,'REFERENCING &amp; DATABASE'!$D$7:$D$131,0)),"")</f>
        <v>Spacious Tote Bag</v>
      </c>
      <c r="C50" s="25" t="str">
        <f>IFERROR(INDEX('REFERENCING &amp; DATABASE'!$B$7:$B$131,MATCH($A50,'REFERENCING &amp; DATABASE'!$D$7:$D$131,0)),"")</f>
        <v>ACCESSORIES</v>
      </c>
      <c r="D50" s="25" t="str">
        <f>IFERROR(INDEX('REFERENCING &amp; DATABASE'!$C$7:$C$131,MATCH($A50,'REFERENCING &amp; DATABASE'!$D$7:$D$131,0)),"")</f>
        <v>BAGS</v>
      </c>
      <c r="E50" s="26" t="str">
        <f>IFERROR(INDEX('REFERENCING &amp; DATABASE'!$F$7:$F$131,MATCH($A50,'REFERENCING &amp; DATABASE'!$D$7:$D$131,0)),"")</f>
        <v>Spacious Tote Bag: Perfect for carrying everyday essentials or larger items.</v>
      </c>
      <c r="F50" s="25" t="str">
        <f>IFERROR(INDEX('REFERENCING &amp; DATABASE'!$G$7:$G$131,MATCH($A50,'REFERENCING &amp; DATABASE'!$D$7:$D$131,0)),"Not Available")</f>
        <v>red, yellow, brown, nude, pink, white, blue, green</v>
      </c>
      <c r="G50" s="94" t="str">
        <f>IFERROR(INDEX('REFERENCING &amp; DATABASE'!$H$7:$H$131,MATCH($A50,'REFERENCING &amp; DATABASE'!$D$7:$D$131,0)),"")</f>
        <v>M</v>
      </c>
      <c r="H50" s="25">
        <f>IFERROR(INDEX('REFERENCING &amp; DATABASE'!$A$7:$A$131,MATCH($A50,'REFERENCING &amp; DATABASE'!$D$7:$D$131,0)),"")</f>
        <v>656</v>
      </c>
      <c r="I50" s="60">
        <f t="shared" ref="I50:I51" si="42">H50-SUM($K50,$M50,$O50,$Q50)</f>
        <v>646</v>
      </c>
      <c r="J50" s="60">
        <f t="shared" ref="J50:J64" si="43">ROUND((($K50/$H50)*100),3)</f>
        <v>1.524</v>
      </c>
      <c r="K50" s="60">
        <f>SUMIFS('IN STORE SALES RECORD'!$E$6:$E$97,'IN STORE SALES RECORD'!$A$6:$A$97, "WEEK 1",'IN STORE SALES RECORD'!$D$6:$D$97,'WHS STK MGT &amp; ALLOC.'!$A50)+10</f>
        <v>10</v>
      </c>
      <c r="L50" s="60">
        <f t="shared" ref="L50:L64" si="44">ROUND(($M50/($H50-$K50))*100,3)</f>
        <v>0</v>
      </c>
      <c r="M50" s="60">
        <f>SUMIFS('IN STORE SALES RECORD'!$E$6:$E$97,'IN STORE SALES RECORD'!$A$6:$A$97, "WEEK 6",'IN STORE SALES RECORD'!$D$6:$D$97,'WHS STK MGT &amp; ALLOC.'!$A50)</f>
        <v>0</v>
      </c>
      <c r="N50" s="60">
        <f t="shared" ref="N50:N64" si="45">ROUND(($O50/($H50-($M50+$K50))*100),3)</f>
        <v>0</v>
      </c>
      <c r="O50" s="60">
        <f>SUMIFS('IN STORE SALES RECORD'!$E$6:$E$97,'IN STORE SALES RECORD'!$A$6:$A$97, "WEEK 6",'IN STORE SALES RECORD'!$D$6:$D$97,'WHS STK MGT &amp; ALLOC.'!$A50)</f>
        <v>0</v>
      </c>
      <c r="P50" s="60">
        <f t="shared" ref="P50:P64" si="46">ROUND(($Q50/($H50-($M50+$K50+$O50))*100),3)</f>
        <v>0</v>
      </c>
      <c r="Q50" s="60">
        <f>SUMIFS('IN STORE SALES RECORD'!$E$6:$E$97,'IN STORE SALES RECORD'!$A$6:$A$97, "WEEK 6",'IN STORE SALES RECORD'!$D$6:$D$97,'WHS STK MGT &amp; ALLOC.'!$A50)</f>
        <v>0</v>
      </c>
      <c r="R50" s="60">
        <f t="shared" ref="R50:R64" si="47">ROUND(($S50/($H50-($M50+$K50+$O50+$Q50))*100),3)</f>
        <v>0</v>
      </c>
      <c r="S50" s="60">
        <f>SUMIFS('IN STORE SALES RECORD'!$E$6:$E$97,'IN STORE SALES RECORD'!$A$6:$A$97, "WEEK 6",'IN STORE SALES RECORD'!$D$6:$D$97,'WHS STK MGT &amp; ALLOC.'!$A50)</f>
        <v>0</v>
      </c>
      <c r="T50" s="60">
        <f t="shared" ref="T50:T64" si="48">ROUND(($U50/($H50-($M50+$K50+$O50+$Q50+$S50))*100),3)</f>
        <v>0</v>
      </c>
      <c r="U50" s="60">
        <f>SUMIFS('IN STORE SALES RECORD'!$E$6:$E$97,'IN STORE SALES RECORD'!$A$6:$A$97, "WEEK 6",'IN STORE SALES RECORD'!$D$6:$D$97,'WHS STK MGT &amp; ALLOC.'!$A50)</f>
        <v>0</v>
      </c>
      <c r="V50" s="60">
        <f t="shared" ref="V50:V64" si="49">ROUND(($W50/($H50-($M50+$K50+$O50+$Q50+$S50+$U50))*100),3)</f>
        <v>0</v>
      </c>
      <c r="W50" s="60">
        <f>SUMIFS('IN STORE SALES RECORD'!$E$6:$E$97,'IN STORE SALES RECORD'!$A$6:$A$97, "WEEK 6",'IN STORE SALES RECORD'!$D$6:$D$97,'WHS STK MGT &amp; ALLOC.'!$A50)</f>
        <v>0</v>
      </c>
      <c r="X50" s="60">
        <f t="shared" ref="X50:X64" si="50">ROUND(($Y50/($H50-($M50+$K50+$O50+$Q50+$S50+$U50+$W50))*100),3)</f>
        <v>0</v>
      </c>
      <c r="Y50" s="60">
        <f>SUMIFS('IN STORE SALES RECORD'!$E$6:$E$97,'IN STORE SALES RECORD'!$A$6:$A$97, "WEEK 6",'IN STORE SALES RECORD'!$D$6:$D$97,'WHS STK MGT &amp; ALLOC.'!$A50)</f>
        <v>0</v>
      </c>
    </row>
    <row r="51" spans="1:25" s="32" customFormat="1" ht="30">
      <c r="A51" s="25" t="s">
        <v>266</v>
      </c>
      <c r="B51" s="25" t="str">
        <f>IFERROR(INDEX('REFERENCING &amp; DATABASE'!$E$7:$E$131,MATCH($A51,'REFERENCING &amp; DATABASE'!$D$7:$D$131,0)),"")</f>
        <v>Functional Backpack</v>
      </c>
      <c r="C51" s="25" t="str">
        <f>IFERROR(INDEX('REFERENCING &amp; DATABASE'!$B$7:$B$131,MATCH($A51,'REFERENCING &amp; DATABASE'!$D$7:$D$131,0)),"")</f>
        <v>ACCESSORIES</v>
      </c>
      <c r="D51" s="25" t="str">
        <f>IFERROR(INDEX('REFERENCING &amp; DATABASE'!$C$7:$C$131,MATCH($A51,'REFERENCING &amp; DATABASE'!$D$7:$D$131,0)),"")</f>
        <v>BAGS</v>
      </c>
      <c r="E51" s="26" t="str">
        <f>IFERROR(INDEX('REFERENCING &amp; DATABASE'!$F$7:$F$131,MATCH($A51,'REFERENCING &amp; DATABASE'!$D$7:$D$131,0)),"")</f>
        <v>Ideal for carrying school supplies, work essentials, or travel items.</v>
      </c>
      <c r="F51" s="25" t="str">
        <f>IFERROR(INDEX('REFERENCING &amp; DATABASE'!$G$7:$G$131,MATCH($A51,'REFERENCING &amp; DATABASE'!$D$7:$D$131,0)),"Not Available")</f>
        <v>Black,nude,red</v>
      </c>
      <c r="G51" s="94" t="str">
        <f>IFERROR(INDEX('REFERENCING &amp; DATABASE'!$H$7:$H$131,MATCH($A51,'REFERENCING &amp; DATABASE'!$D$7:$D$131,0)),"")</f>
        <v>M</v>
      </c>
      <c r="H51" s="25">
        <f>IFERROR(INDEX('REFERENCING &amp; DATABASE'!$A$7:$A$131,MATCH($A51,'REFERENCING &amp; DATABASE'!$D$7:$D$131,0)),"")</f>
        <v>390</v>
      </c>
      <c r="I51" s="60">
        <f t="shared" si="42"/>
        <v>380</v>
      </c>
      <c r="J51" s="60">
        <f t="shared" si="43"/>
        <v>2.5640000000000001</v>
      </c>
      <c r="K51" s="60">
        <f>SUMIFS('IN STORE SALES RECORD'!$E$6:$E$97,'IN STORE SALES RECORD'!$A$6:$A$97, "WEEK 1",'IN STORE SALES RECORD'!$D$6:$D$97,'WHS STK MGT &amp; ALLOC.'!$A51)+10</f>
        <v>10</v>
      </c>
      <c r="L51" s="60">
        <f t="shared" si="44"/>
        <v>0</v>
      </c>
      <c r="M51" s="60">
        <f>SUMIFS('IN STORE SALES RECORD'!$E$6:$E$97,'IN STORE SALES RECORD'!$A$6:$A$97, "WEEK 6",'IN STORE SALES RECORD'!$D$6:$D$97,'WHS STK MGT &amp; ALLOC.'!$A51)</f>
        <v>0</v>
      </c>
      <c r="N51" s="60">
        <f t="shared" si="45"/>
        <v>0</v>
      </c>
      <c r="O51" s="60">
        <f>SUMIFS('IN STORE SALES RECORD'!$E$6:$E$97,'IN STORE SALES RECORD'!$A$6:$A$97, "WEEK 6",'IN STORE SALES RECORD'!$D$6:$D$97,'WHS STK MGT &amp; ALLOC.'!$A51)</f>
        <v>0</v>
      </c>
      <c r="P51" s="60">
        <f t="shared" si="46"/>
        <v>0</v>
      </c>
      <c r="Q51" s="60">
        <f>SUMIFS('IN STORE SALES RECORD'!$E$6:$E$97,'IN STORE SALES RECORD'!$A$6:$A$97, "WEEK 6",'IN STORE SALES RECORD'!$D$6:$D$97,'WHS STK MGT &amp; ALLOC.'!$A51)</f>
        <v>0</v>
      </c>
      <c r="R51" s="60">
        <f t="shared" si="47"/>
        <v>0</v>
      </c>
      <c r="S51" s="60">
        <f>SUMIFS('IN STORE SALES RECORD'!$E$6:$E$97,'IN STORE SALES RECORD'!$A$6:$A$97, "WEEK 6",'IN STORE SALES RECORD'!$D$6:$D$97,'WHS STK MGT &amp; ALLOC.'!$A51)</f>
        <v>0</v>
      </c>
      <c r="T51" s="60">
        <f t="shared" si="48"/>
        <v>0</v>
      </c>
      <c r="U51" s="60">
        <f>SUMIFS('IN STORE SALES RECORD'!$E$6:$E$97,'IN STORE SALES RECORD'!$A$6:$A$97, "WEEK 6",'IN STORE SALES RECORD'!$D$6:$D$97,'WHS STK MGT &amp; ALLOC.'!$A51)</f>
        <v>0</v>
      </c>
      <c r="V51" s="60">
        <f t="shared" si="49"/>
        <v>0</v>
      </c>
      <c r="W51" s="60">
        <f>SUMIFS('IN STORE SALES RECORD'!$E$6:$E$97,'IN STORE SALES RECORD'!$A$6:$A$97, "WEEK 6",'IN STORE SALES RECORD'!$D$6:$D$97,'WHS STK MGT &amp; ALLOC.'!$A51)</f>
        <v>0</v>
      </c>
      <c r="X51" s="60">
        <f t="shared" si="50"/>
        <v>0</v>
      </c>
      <c r="Y51" s="60">
        <f>SUMIFS('IN STORE SALES RECORD'!$E$6:$E$97,'IN STORE SALES RECORD'!$A$6:$A$97, "WEEK 6",'IN STORE SALES RECORD'!$D$6:$D$97,'WHS STK MGT &amp; ALLOC.'!$A51)</f>
        <v>0</v>
      </c>
    </row>
    <row r="52" spans="1:25" ht="45">
      <c r="A52" s="25" t="s">
        <v>232</v>
      </c>
      <c r="B52" s="25" t="str">
        <f>IFERROR(INDEX('REFERENCING &amp; DATABASE'!$E$7:$E$131,MATCH($A52,'REFERENCING &amp; DATABASE'!$D$7:$D$131,0)),"")</f>
        <v>Sleek Crossbody Bag</v>
      </c>
      <c r="C52" s="25" t="str">
        <f>IFERROR(INDEX('REFERENCING &amp; DATABASE'!$B$7:$B$131,MATCH($A52,'REFERENCING &amp; DATABASE'!$D$7:$D$131,0)),"")</f>
        <v>ACCESSORIES</v>
      </c>
      <c r="D52" s="25" t="str">
        <f>IFERROR(INDEX('REFERENCING &amp; DATABASE'!$C$7:$C$131,MATCH($A52,'REFERENCING &amp; DATABASE'!$D$7:$D$131,0)),"")</f>
        <v>BAGS</v>
      </c>
      <c r="E52" s="26" t="str">
        <f>IFERROR(INDEX('REFERENCING &amp; DATABASE'!$F$7:$F$131,MATCH($A52,'REFERENCING &amp; DATABASE'!$D$7:$D$131,0)),"")</f>
        <v>A stylish and convenient option for hands-free carrying.</v>
      </c>
      <c r="F52" s="25" t="str">
        <f>IFERROR(INDEX('REFERENCING &amp; DATABASE'!$G$7:$G$131,MATCH($A52,'REFERENCING &amp; DATABASE'!$D$7:$D$131,0)),"Not Available")</f>
        <v>red, yellow, brown, nude, pink, white, blue, green</v>
      </c>
      <c r="G52" s="94" t="str">
        <f>IFERROR(INDEX('REFERENCING &amp; DATABASE'!$H$7:$H$131,MATCH($A52,'REFERENCING &amp; DATABASE'!$D$7:$D$131,0)),"")</f>
        <v>M</v>
      </c>
      <c r="H52" s="25">
        <f>IFERROR(INDEX('REFERENCING &amp; DATABASE'!$A$7:$A$131,MATCH($A52,'REFERENCING &amp; DATABASE'!$D$7:$D$131,0)),"")</f>
        <v>707</v>
      </c>
      <c r="I52" s="60">
        <f t="shared" ref="I52:I64" si="51">H52-SUM($K52,$M52,$O52,$Q52)</f>
        <v>617</v>
      </c>
      <c r="J52" s="60">
        <f t="shared" si="43"/>
        <v>12.73</v>
      </c>
      <c r="K52" s="60">
        <f>SUMIFS('IN STORE SALES RECORD'!$E$6:$E$97,'IN STORE SALES RECORD'!$A$6:$A$97, "WEEK 1",'IN STORE SALES RECORD'!$D$6:$D$97,'WHS STK MGT &amp; ALLOC.'!$A52)+10</f>
        <v>90</v>
      </c>
      <c r="L52" s="60">
        <f t="shared" si="44"/>
        <v>0</v>
      </c>
      <c r="M52" s="60">
        <f>SUMIFS('IN STORE SALES RECORD'!$E$6:$E$97,'IN STORE SALES RECORD'!$A$6:$A$97, "WEEK 6",'IN STORE SALES RECORD'!$D$6:$D$97,'WHS STK MGT &amp; ALLOC.'!$A52)</f>
        <v>0</v>
      </c>
      <c r="N52" s="60">
        <f t="shared" si="45"/>
        <v>0</v>
      </c>
      <c r="O52" s="60">
        <f>SUMIFS('IN STORE SALES RECORD'!$E$6:$E$97,'IN STORE SALES RECORD'!$A$6:$A$97, "WEEK 6",'IN STORE SALES RECORD'!$D$6:$D$97,'WHS STK MGT &amp; ALLOC.'!$A52)</f>
        <v>0</v>
      </c>
      <c r="P52" s="60">
        <f t="shared" si="46"/>
        <v>0</v>
      </c>
      <c r="Q52" s="60">
        <f>SUMIFS('IN STORE SALES RECORD'!$E$6:$E$97,'IN STORE SALES RECORD'!$A$6:$A$97, "WEEK 6",'IN STORE SALES RECORD'!$D$6:$D$97,'WHS STK MGT &amp; ALLOC.'!$A52)</f>
        <v>0</v>
      </c>
      <c r="R52" s="60">
        <f t="shared" si="47"/>
        <v>0</v>
      </c>
      <c r="S52" s="60">
        <f>SUMIFS('IN STORE SALES RECORD'!$E$6:$E$97,'IN STORE SALES RECORD'!$A$6:$A$97, "WEEK 6",'IN STORE SALES RECORD'!$D$6:$D$97,'WHS STK MGT &amp; ALLOC.'!$A52)</f>
        <v>0</v>
      </c>
      <c r="T52" s="60">
        <f t="shared" si="48"/>
        <v>0</v>
      </c>
      <c r="U52" s="60">
        <f>SUMIFS('IN STORE SALES RECORD'!$E$6:$E$97,'IN STORE SALES RECORD'!$A$6:$A$97, "WEEK 6",'IN STORE SALES RECORD'!$D$6:$D$97,'WHS STK MGT &amp; ALLOC.'!$A52)</f>
        <v>0</v>
      </c>
      <c r="V52" s="60">
        <f t="shared" si="49"/>
        <v>0</v>
      </c>
      <c r="W52" s="60">
        <f>SUMIFS('IN STORE SALES RECORD'!$E$6:$E$97,'IN STORE SALES RECORD'!$A$6:$A$97, "WEEK 6",'IN STORE SALES RECORD'!$D$6:$D$97,'WHS STK MGT &amp; ALLOC.'!$A52)</f>
        <v>0</v>
      </c>
      <c r="X52" s="60">
        <f t="shared" si="50"/>
        <v>0</v>
      </c>
      <c r="Y52" s="60">
        <f>SUMIFS('IN STORE SALES RECORD'!$E$6:$E$97,'IN STORE SALES RECORD'!$A$6:$A$97, "WEEK 6",'IN STORE SALES RECORD'!$D$6:$D$97,'WHS STK MGT &amp; ALLOC.'!$A52)</f>
        <v>0</v>
      </c>
    </row>
    <row r="53" spans="1:25" ht="45">
      <c r="A53" s="25" t="s">
        <v>233</v>
      </c>
      <c r="B53" s="25" t="str">
        <f>IFERROR(INDEX('REFERENCING &amp; DATABASE'!$E$7:$E$131,MATCH($A53,'REFERENCING &amp; DATABASE'!$D$7:$D$131,0)),"")</f>
        <v>Elegant Clutch</v>
      </c>
      <c r="C53" s="25" t="str">
        <f>IFERROR(INDEX('REFERENCING &amp; DATABASE'!$B$7:$B$131,MATCH($A53,'REFERENCING &amp; DATABASE'!$D$7:$D$131,0)),"")</f>
        <v>ACCESSORIES</v>
      </c>
      <c r="D53" s="25" t="str">
        <f>IFERROR(INDEX('REFERENCING &amp; DATABASE'!$C$7:$C$131,MATCH($A53,'REFERENCING &amp; DATABASE'!$D$7:$D$131,0)),"")</f>
        <v>BAGS</v>
      </c>
      <c r="E53" s="26" t="str">
        <f>IFERROR(INDEX('REFERENCING &amp; DATABASE'!$F$7:$F$131,MATCH($A53,'REFERENCING &amp; DATABASE'!$D$7:$D$131,0)),"")</f>
        <v>A sophisticated and compact bag for formal occasions.</v>
      </c>
      <c r="F53" s="25" t="str">
        <f>IFERROR(INDEX('REFERENCING &amp; DATABASE'!$G$7:$G$131,MATCH($A53,'REFERENCING &amp; DATABASE'!$D$7:$D$131,0)),"Not Available")</f>
        <v>red, yellow, brown, nude, pink, white, blue, green</v>
      </c>
      <c r="G53" s="94" t="str">
        <f>IFERROR(INDEX('REFERENCING &amp; DATABASE'!$H$7:$H$131,MATCH($A53,'REFERENCING &amp; DATABASE'!$D$7:$D$131,0)),"")</f>
        <v>M</v>
      </c>
      <c r="H53" s="25">
        <f>IFERROR(INDEX('REFERENCING &amp; DATABASE'!$A$7:$A$131,MATCH($A53,'REFERENCING &amp; DATABASE'!$D$7:$D$131,0)),"")</f>
        <v>343</v>
      </c>
      <c r="I53" s="60">
        <f t="shared" si="51"/>
        <v>333</v>
      </c>
      <c r="J53" s="60">
        <f t="shared" si="43"/>
        <v>2.915</v>
      </c>
      <c r="K53" s="60">
        <f>SUMIFS('IN STORE SALES RECORD'!$E$6:$E$97,'IN STORE SALES RECORD'!$A$6:$A$97, "WEEK 1",'IN STORE SALES RECORD'!$D$6:$D$97,'WHS STK MGT &amp; ALLOC.'!$A53)+10</f>
        <v>10</v>
      </c>
      <c r="L53" s="60">
        <f t="shared" si="44"/>
        <v>0</v>
      </c>
      <c r="M53" s="60">
        <f>SUMIFS('IN STORE SALES RECORD'!$E$6:$E$97,'IN STORE SALES RECORD'!$A$6:$A$97, "WEEK 6",'IN STORE SALES RECORD'!$D$6:$D$97,'WHS STK MGT &amp; ALLOC.'!$A53)</f>
        <v>0</v>
      </c>
      <c r="N53" s="60">
        <f t="shared" si="45"/>
        <v>0</v>
      </c>
      <c r="O53" s="60">
        <f>SUMIFS('IN STORE SALES RECORD'!$E$6:$E$97,'IN STORE SALES RECORD'!$A$6:$A$97, "WEEK 6",'IN STORE SALES RECORD'!$D$6:$D$97,'WHS STK MGT &amp; ALLOC.'!$A53)</f>
        <v>0</v>
      </c>
      <c r="P53" s="60">
        <f t="shared" si="46"/>
        <v>0</v>
      </c>
      <c r="Q53" s="60">
        <f>SUMIFS('IN STORE SALES RECORD'!$E$6:$E$97,'IN STORE SALES RECORD'!$A$6:$A$97, "WEEK 6",'IN STORE SALES RECORD'!$D$6:$D$97,'WHS STK MGT &amp; ALLOC.'!$A53)</f>
        <v>0</v>
      </c>
      <c r="R53" s="60">
        <f t="shared" si="47"/>
        <v>0</v>
      </c>
      <c r="S53" s="60">
        <f>SUMIFS('IN STORE SALES RECORD'!$E$6:$E$97,'IN STORE SALES RECORD'!$A$6:$A$97, "WEEK 6",'IN STORE SALES RECORD'!$D$6:$D$97,'WHS STK MGT &amp; ALLOC.'!$A53)</f>
        <v>0</v>
      </c>
      <c r="T53" s="60">
        <f t="shared" si="48"/>
        <v>0</v>
      </c>
      <c r="U53" s="60">
        <f>SUMIFS('IN STORE SALES RECORD'!$E$6:$E$97,'IN STORE SALES RECORD'!$A$6:$A$97, "WEEK 6",'IN STORE SALES RECORD'!$D$6:$D$97,'WHS STK MGT &amp; ALLOC.'!$A53)</f>
        <v>0</v>
      </c>
      <c r="V53" s="60">
        <f t="shared" si="49"/>
        <v>0</v>
      </c>
      <c r="W53" s="60">
        <f>SUMIFS('IN STORE SALES RECORD'!$E$6:$E$97,'IN STORE SALES RECORD'!$A$6:$A$97, "WEEK 6",'IN STORE SALES RECORD'!$D$6:$D$97,'WHS STK MGT &amp; ALLOC.'!$A53)</f>
        <v>0</v>
      </c>
      <c r="X53" s="60">
        <f t="shared" si="50"/>
        <v>0</v>
      </c>
      <c r="Y53" s="60">
        <f>SUMIFS('IN STORE SALES RECORD'!$E$6:$E$97,'IN STORE SALES RECORD'!$A$6:$A$97, "WEEK 6",'IN STORE SALES RECORD'!$D$6:$D$97,'WHS STK MGT &amp; ALLOC.'!$A53)</f>
        <v>0</v>
      </c>
    </row>
    <row r="54" spans="1:25" ht="45">
      <c r="A54" s="25" t="s">
        <v>234</v>
      </c>
      <c r="B54" s="25" t="str">
        <f>IFERROR(INDEX('REFERENCING &amp; DATABASE'!$E$7:$E$131,MATCH($A54,'REFERENCING &amp; DATABASE'!$D$7:$D$131,0)),"")</f>
        <v>Professional Briefcase</v>
      </c>
      <c r="C54" s="25" t="str">
        <f>IFERROR(INDEX('REFERENCING &amp; DATABASE'!$B$7:$B$131,MATCH($A54,'REFERENCING &amp; DATABASE'!$D$7:$D$131,0)),"")</f>
        <v>ACCESSORIES</v>
      </c>
      <c r="D54" s="25" t="str">
        <f>IFERROR(INDEX('REFERENCING &amp; DATABASE'!$C$7:$C$131,MATCH($A54,'REFERENCING &amp; DATABASE'!$D$7:$D$131,0)),"")</f>
        <v>BAGS</v>
      </c>
      <c r="E54" s="26" t="str">
        <f>IFERROR(INDEX('REFERENCING &amp; DATABASE'!$F$7:$F$131,MATCH($A54,'REFERENCING &amp; DATABASE'!$D$7:$D$131,0)),"")</f>
        <v>A structured and durable bag for carrying work documents and laptops.</v>
      </c>
      <c r="F54" s="25" t="str">
        <f>IFERROR(INDEX('REFERENCING &amp; DATABASE'!$G$7:$G$131,MATCH($A54,'REFERENCING &amp; DATABASE'!$D$7:$D$131,0)),"Not Available")</f>
        <v>red, yellow, brown, nude, pink, white, blue, green</v>
      </c>
      <c r="G54" s="94" t="str">
        <f>IFERROR(INDEX('REFERENCING &amp; DATABASE'!$H$7:$H$131,MATCH($A54,'REFERENCING &amp; DATABASE'!$D$7:$D$131,0)),"")</f>
        <v>M</v>
      </c>
      <c r="H54" s="25">
        <f>IFERROR(INDEX('REFERENCING &amp; DATABASE'!$A$7:$A$131,MATCH($A54,'REFERENCING &amp; DATABASE'!$D$7:$D$131,0)),"")</f>
        <v>345</v>
      </c>
      <c r="I54" s="60">
        <f t="shared" si="51"/>
        <v>335</v>
      </c>
      <c r="J54" s="60">
        <f t="shared" si="43"/>
        <v>2.899</v>
      </c>
      <c r="K54" s="60">
        <f>SUMIFS('IN STORE SALES RECORD'!$E$6:$E$97,'IN STORE SALES RECORD'!$A$6:$A$97, "WEEK 1",'IN STORE SALES RECORD'!$D$6:$D$97,'WHS STK MGT &amp; ALLOC.'!$A54)+10</f>
        <v>10</v>
      </c>
      <c r="L54" s="60">
        <f t="shared" si="44"/>
        <v>0</v>
      </c>
      <c r="M54" s="60">
        <f>SUMIFS('IN STORE SALES RECORD'!$E$6:$E$97,'IN STORE SALES RECORD'!$A$6:$A$97, "WEEK 6",'IN STORE SALES RECORD'!$D$6:$D$97,'WHS STK MGT &amp; ALLOC.'!$A54)</f>
        <v>0</v>
      </c>
      <c r="N54" s="60">
        <f t="shared" si="45"/>
        <v>0</v>
      </c>
      <c r="O54" s="60">
        <f>SUMIFS('IN STORE SALES RECORD'!$E$6:$E$97,'IN STORE SALES RECORD'!$A$6:$A$97, "WEEK 6",'IN STORE SALES RECORD'!$D$6:$D$97,'WHS STK MGT &amp; ALLOC.'!$A54)</f>
        <v>0</v>
      </c>
      <c r="P54" s="60">
        <f t="shared" si="46"/>
        <v>0</v>
      </c>
      <c r="Q54" s="60">
        <f>SUMIFS('IN STORE SALES RECORD'!$E$6:$E$97,'IN STORE SALES RECORD'!$A$6:$A$97, "WEEK 6",'IN STORE SALES RECORD'!$D$6:$D$97,'WHS STK MGT &amp; ALLOC.'!$A54)</f>
        <v>0</v>
      </c>
      <c r="R54" s="60">
        <f t="shared" si="47"/>
        <v>0</v>
      </c>
      <c r="S54" s="60">
        <f>SUMIFS('IN STORE SALES RECORD'!$E$6:$E$97,'IN STORE SALES RECORD'!$A$6:$A$97, "WEEK 6",'IN STORE SALES RECORD'!$D$6:$D$97,'WHS STK MGT &amp; ALLOC.'!$A54)</f>
        <v>0</v>
      </c>
      <c r="T54" s="60">
        <f t="shared" si="48"/>
        <v>0</v>
      </c>
      <c r="U54" s="60">
        <f>SUMIFS('IN STORE SALES RECORD'!$E$6:$E$97,'IN STORE SALES RECORD'!$A$6:$A$97, "WEEK 6",'IN STORE SALES RECORD'!$D$6:$D$97,'WHS STK MGT &amp; ALLOC.'!$A54)</f>
        <v>0</v>
      </c>
      <c r="V54" s="60">
        <f t="shared" si="49"/>
        <v>0</v>
      </c>
      <c r="W54" s="60">
        <f>SUMIFS('IN STORE SALES RECORD'!$E$6:$E$97,'IN STORE SALES RECORD'!$A$6:$A$97, "WEEK 6",'IN STORE SALES RECORD'!$D$6:$D$97,'WHS STK MGT &amp; ALLOC.'!$A54)</f>
        <v>0</v>
      </c>
      <c r="X54" s="60">
        <f t="shared" si="50"/>
        <v>0</v>
      </c>
      <c r="Y54" s="60">
        <f>SUMIFS('IN STORE SALES RECORD'!$E$6:$E$97,'IN STORE SALES RECORD'!$A$6:$A$97, "WEEK 6",'IN STORE SALES RECORD'!$D$6:$D$97,'WHS STK MGT &amp; ALLOC.'!$A54)</f>
        <v>0</v>
      </c>
    </row>
    <row r="55" spans="1:25">
      <c r="A55" s="25" t="s">
        <v>235</v>
      </c>
      <c r="B55" s="25" t="str">
        <f>IFERROR(INDEX('REFERENCING &amp; DATABASE'!$E$7:$E$131,MATCH($A55,'REFERENCING &amp; DATABASE'!$D$7:$D$131,0)),"")</f>
        <v>Genuine Leather Belt</v>
      </c>
      <c r="C55" s="25" t="str">
        <f>IFERROR(INDEX('REFERENCING &amp; DATABASE'!$B$7:$B$131,MATCH($A55,'REFERENCING &amp; DATABASE'!$D$7:$D$131,0)),"")</f>
        <v>ACCESSORIES</v>
      </c>
      <c r="D55" s="25" t="str">
        <f>IFERROR(INDEX('REFERENCING &amp; DATABASE'!$C$7:$C$131,MATCH($A55,'REFERENCING &amp; DATABASE'!$D$7:$D$131,0)),"")</f>
        <v>BELTS</v>
      </c>
      <c r="E55" s="26" t="str">
        <f>IFERROR(INDEX('REFERENCING &amp; DATABASE'!$F$7:$F$131,MATCH($A55,'REFERENCING &amp; DATABASE'!$D$7:$D$131,0)),"")</f>
        <v>A classic and durable belt for everyday use.</v>
      </c>
      <c r="F55" s="25" t="str">
        <f>IFERROR(INDEX('REFERENCING &amp; DATABASE'!$G$7:$G$131,MATCH($A55,'REFERENCING &amp; DATABASE'!$D$7:$D$131,0)),"Not Available")</f>
        <v>Black,Brown</v>
      </c>
      <c r="G55" s="94">
        <f>IFERROR(INDEX('REFERENCING &amp; DATABASE'!$H$7:$H$131,MATCH($A55,'REFERENCING &amp; DATABASE'!$D$7:$D$131,0)),"")</f>
        <v>35</v>
      </c>
      <c r="H55" s="25">
        <f>IFERROR(INDEX('REFERENCING &amp; DATABASE'!$A$7:$A$131,MATCH($A55,'REFERENCING &amp; DATABASE'!$D$7:$D$131,0)),"")</f>
        <v>765</v>
      </c>
      <c r="I55" s="60">
        <f t="shared" si="51"/>
        <v>755</v>
      </c>
      <c r="J55" s="60">
        <f t="shared" si="43"/>
        <v>1.3069999999999999</v>
      </c>
      <c r="K55" s="60">
        <f>SUMIFS('IN STORE SALES RECORD'!$E$6:$E$97,'IN STORE SALES RECORD'!$A$6:$A$97, "WEEK 1",'IN STORE SALES RECORD'!$D$6:$D$97,'WHS STK MGT &amp; ALLOC.'!$A55)+10</f>
        <v>10</v>
      </c>
      <c r="L55" s="60">
        <f t="shared" si="44"/>
        <v>0</v>
      </c>
      <c r="M55" s="60">
        <f>SUMIFS('IN STORE SALES RECORD'!$E$6:$E$97,'IN STORE SALES RECORD'!$A$6:$A$97, "WEEK 6",'IN STORE SALES RECORD'!$D$6:$D$97,'WHS STK MGT &amp; ALLOC.'!$A55)</f>
        <v>0</v>
      </c>
      <c r="N55" s="60">
        <f t="shared" si="45"/>
        <v>0</v>
      </c>
      <c r="O55" s="60">
        <f>SUMIFS('IN STORE SALES RECORD'!$E$6:$E$97,'IN STORE SALES RECORD'!$A$6:$A$97, "WEEK 6",'IN STORE SALES RECORD'!$D$6:$D$97,'WHS STK MGT &amp; ALLOC.'!$A55)</f>
        <v>0</v>
      </c>
      <c r="P55" s="60">
        <f t="shared" si="46"/>
        <v>0</v>
      </c>
      <c r="Q55" s="60">
        <f>SUMIFS('IN STORE SALES RECORD'!$E$6:$E$97,'IN STORE SALES RECORD'!$A$6:$A$97, "WEEK 6",'IN STORE SALES RECORD'!$D$6:$D$97,'WHS STK MGT &amp; ALLOC.'!$A55)</f>
        <v>0</v>
      </c>
      <c r="R55" s="60">
        <f t="shared" si="47"/>
        <v>0</v>
      </c>
      <c r="S55" s="60">
        <f>SUMIFS('IN STORE SALES RECORD'!$E$6:$E$97,'IN STORE SALES RECORD'!$A$6:$A$97, "WEEK 6",'IN STORE SALES RECORD'!$D$6:$D$97,'WHS STK MGT &amp; ALLOC.'!$A55)</f>
        <v>0</v>
      </c>
      <c r="T55" s="60">
        <f t="shared" si="48"/>
        <v>0</v>
      </c>
      <c r="U55" s="60">
        <f>SUMIFS('IN STORE SALES RECORD'!$E$6:$E$97,'IN STORE SALES RECORD'!$A$6:$A$97, "WEEK 6",'IN STORE SALES RECORD'!$D$6:$D$97,'WHS STK MGT &amp; ALLOC.'!$A55)</f>
        <v>0</v>
      </c>
      <c r="V55" s="60">
        <f t="shared" si="49"/>
        <v>0</v>
      </c>
      <c r="W55" s="60">
        <f>SUMIFS('IN STORE SALES RECORD'!$E$6:$E$97,'IN STORE SALES RECORD'!$A$6:$A$97, "WEEK 6",'IN STORE SALES RECORD'!$D$6:$D$97,'WHS STK MGT &amp; ALLOC.'!$A55)</f>
        <v>0</v>
      </c>
      <c r="X55" s="60">
        <f t="shared" si="50"/>
        <v>0</v>
      </c>
      <c r="Y55" s="60">
        <f>SUMIFS('IN STORE SALES RECORD'!$E$6:$E$97,'IN STORE SALES RECORD'!$A$6:$A$97, "WEEK 6",'IN STORE SALES RECORD'!$D$6:$D$97,'WHS STK MGT &amp; ALLOC.'!$A55)</f>
        <v>0</v>
      </c>
    </row>
    <row r="56" spans="1:25" ht="30">
      <c r="A56" s="25" t="s">
        <v>236</v>
      </c>
      <c r="B56" s="25" t="str">
        <f>IFERROR(INDEX('REFERENCING &amp; DATABASE'!$E$7:$E$131,MATCH($A56,'REFERENCING &amp; DATABASE'!$D$7:$D$131,0)),"")</f>
        <v>Woven Canvas Belt</v>
      </c>
      <c r="C56" s="25" t="str">
        <f>IFERROR(INDEX('REFERENCING &amp; DATABASE'!$B$7:$B$131,MATCH($A56,'REFERENCING &amp; DATABASE'!$D$7:$D$131,0)),"")</f>
        <v>ACCESSORIES</v>
      </c>
      <c r="D56" s="25" t="str">
        <f>IFERROR(INDEX('REFERENCING &amp; DATABASE'!$C$7:$C$131,MATCH($A56,'REFERENCING &amp; DATABASE'!$D$7:$D$131,0)),"")</f>
        <v>BELTS</v>
      </c>
      <c r="E56" s="26" t="str">
        <f>IFERROR(INDEX('REFERENCING &amp; DATABASE'!$F$7:$F$131,MATCH($A56,'REFERENCING &amp; DATABASE'!$D$7:$D$131,0)),"")</f>
        <v>A casual and stylish belt perfect for summer outfits.</v>
      </c>
      <c r="F56" s="25" t="str">
        <f>IFERROR(INDEX('REFERENCING &amp; DATABASE'!$G$7:$G$131,MATCH($A56,'REFERENCING &amp; DATABASE'!$D$7:$D$131,0)),"Not Available")</f>
        <v>Black,Brown</v>
      </c>
      <c r="G56" s="94">
        <f>IFERROR(INDEX('REFERENCING &amp; DATABASE'!$H$7:$H$131,MATCH($A56,'REFERENCING &amp; DATABASE'!$D$7:$D$131,0)),"")</f>
        <v>35</v>
      </c>
      <c r="H56" s="25">
        <f>IFERROR(INDEX('REFERENCING &amp; DATABASE'!$A$7:$A$131,MATCH($A56,'REFERENCING &amp; DATABASE'!$D$7:$D$131,0)),"")</f>
        <v>445</v>
      </c>
      <c r="I56" s="60">
        <f t="shared" si="51"/>
        <v>435</v>
      </c>
      <c r="J56" s="60">
        <f t="shared" si="43"/>
        <v>2.2469999999999999</v>
      </c>
      <c r="K56" s="60">
        <f>SUMIFS('IN STORE SALES RECORD'!$E$6:$E$97,'IN STORE SALES RECORD'!$A$6:$A$97, "WEEK 1",'IN STORE SALES RECORD'!$D$6:$D$97,'WHS STK MGT &amp; ALLOC.'!$A56)+10</f>
        <v>10</v>
      </c>
      <c r="L56" s="60">
        <f t="shared" si="44"/>
        <v>0</v>
      </c>
      <c r="M56" s="60">
        <f>SUMIFS('IN STORE SALES RECORD'!$E$6:$E$97,'IN STORE SALES RECORD'!$A$6:$A$97, "WEEK 6",'IN STORE SALES RECORD'!$D$6:$D$97,'WHS STK MGT &amp; ALLOC.'!$A56)</f>
        <v>0</v>
      </c>
      <c r="N56" s="60">
        <f t="shared" si="45"/>
        <v>0</v>
      </c>
      <c r="O56" s="60">
        <f>SUMIFS('IN STORE SALES RECORD'!$E$6:$E$97,'IN STORE SALES RECORD'!$A$6:$A$97, "WEEK 6",'IN STORE SALES RECORD'!$D$6:$D$97,'WHS STK MGT &amp; ALLOC.'!$A56)</f>
        <v>0</v>
      </c>
      <c r="P56" s="60">
        <f t="shared" si="46"/>
        <v>0</v>
      </c>
      <c r="Q56" s="60">
        <f>SUMIFS('IN STORE SALES RECORD'!$E$6:$E$97,'IN STORE SALES RECORD'!$A$6:$A$97, "WEEK 6",'IN STORE SALES RECORD'!$D$6:$D$97,'WHS STK MGT &amp; ALLOC.'!$A56)</f>
        <v>0</v>
      </c>
      <c r="R56" s="60">
        <f t="shared" si="47"/>
        <v>0</v>
      </c>
      <c r="S56" s="60">
        <f>SUMIFS('IN STORE SALES RECORD'!$E$6:$E$97,'IN STORE SALES RECORD'!$A$6:$A$97, "WEEK 6",'IN STORE SALES RECORD'!$D$6:$D$97,'WHS STK MGT &amp; ALLOC.'!$A56)</f>
        <v>0</v>
      </c>
      <c r="T56" s="60">
        <f t="shared" si="48"/>
        <v>0</v>
      </c>
      <c r="U56" s="60">
        <f>SUMIFS('IN STORE SALES RECORD'!$E$6:$E$97,'IN STORE SALES RECORD'!$A$6:$A$97, "WEEK 6",'IN STORE SALES RECORD'!$D$6:$D$97,'WHS STK MGT &amp; ALLOC.'!$A56)</f>
        <v>0</v>
      </c>
      <c r="V56" s="60">
        <f t="shared" si="49"/>
        <v>0</v>
      </c>
      <c r="W56" s="60">
        <f>SUMIFS('IN STORE SALES RECORD'!$E$6:$E$97,'IN STORE SALES RECORD'!$A$6:$A$97, "WEEK 6",'IN STORE SALES RECORD'!$D$6:$D$97,'WHS STK MGT &amp; ALLOC.'!$A56)</f>
        <v>0</v>
      </c>
      <c r="X56" s="60">
        <f t="shared" si="50"/>
        <v>0</v>
      </c>
      <c r="Y56" s="60">
        <f>SUMIFS('IN STORE SALES RECORD'!$E$6:$E$97,'IN STORE SALES RECORD'!$A$6:$A$97, "WEEK 6",'IN STORE SALES RECORD'!$D$6:$D$97,'WHS STK MGT &amp; ALLOC.'!$A56)</f>
        <v>0</v>
      </c>
    </row>
    <row r="57" spans="1:25" ht="30">
      <c r="A57" s="25" t="s">
        <v>237</v>
      </c>
      <c r="B57" s="25" t="str">
        <f>IFERROR(INDEX('REFERENCING &amp; DATABASE'!$E$7:$E$131,MATCH($A57,'REFERENCING &amp; DATABASE'!$D$7:$D$131,0)),"")</f>
        <v>Braided Leather Belt</v>
      </c>
      <c r="C57" s="25" t="str">
        <f>IFERROR(INDEX('REFERENCING &amp; DATABASE'!$B$7:$B$131,MATCH($A57,'REFERENCING &amp; DATABASE'!$D$7:$D$131,0)),"")</f>
        <v>ACCESSORIES</v>
      </c>
      <c r="D57" s="25" t="str">
        <f>IFERROR(INDEX('REFERENCING &amp; DATABASE'!$C$7:$C$131,MATCH($A57,'REFERENCING &amp; DATABASE'!$D$7:$D$131,0)),"")</f>
        <v>BELTS</v>
      </c>
      <c r="E57" s="26" t="str">
        <f>IFERROR(INDEX('REFERENCING &amp; DATABASE'!$F$7:$F$131,MATCH($A57,'REFERENCING &amp; DATABASE'!$D$7:$D$131,0)),"")</f>
        <v>Adds a touch of western-inspired style to your look.</v>
      </c>
      <c r="F57" s="25" t="str">
        <f>IFERROR(INDEX('REFERENCING &amp; DATABASE'!$G$7:$G$131,MATCH($A57,'REFERENCING &amp; DATABASE'!$D$7:$D$131,0)),"Not Available")</f>
        <v>Black,Brown</v>
      </c>
      <c r="G57" s="94">
        <f>IFERROR(INDEX('REFERENCING &amp; DATABASE'!$H$7:$H$131,MATCH($A57,'REFERENCING &amp; DATABASE'!$D$7:$D$131,0)),"")</f>
        <v>35</v>
      </c>
      <c r="H57" s="25">
        <f>IFERROR(INDEX('REFERENCING &amp; DATABASE'!$A$7:$A$131,MATCH($A57,'REFERENCING &amp; DATABASE'!$D$7:$D$131,0)),"")</f>
        <v>200</v>
      </c>
      <c r="I57" s="60">
        <f t="shared" si="51"/>
        <v>190</v>
      </c>
      <c r="J57" s="60">
        <f t="shared" si="43"/>
        <v>5</v>
      </c>
      <c r="K57" s="60">
        <f>SUMIFS('IN STORE SALES RECORD'!$E$6:$E$97,'IN STORE SALES RECORD'!$A$6:$A$97, "WEEK 1",'IN STORE SALES RECORD'!$D$6:$D$97,'WHS STK MGT &amp; ALLOC.'!$A57)+10</f>
        <v>10</v>
      </c>
      <c r="L57" s="60">
        <f t="shared" si="44"/>
        <v>0</v>
      </c>
      <c r="M57" s="60">
        <f>SUMIFS('IN STORE SALES RECORD'!$E$6:$E$97,'IN STORE SALES RECORD'!$A$6:$A$97, "WEEK 6",'IN STORE SALES RECORD'!$D$6:$D$97,'WHS STK MGT &amp; ALLOC.'!$A57)</f>
        <v>0</v>
      </c>
      <c r="N57" s="60">
        <f t="shared" si="45"/>
        <v>0</v>
      </c>
      <c r="O57" s="60">
        <f>SUMIFS('IN STORE SALES RECORD'!$E$6:$E$97,'IN STORE SALES RECORD'!$A$6:$A$97, "WEEK 6",'IN STORE SALES RECORD'!$D$6:$D$97,'WHS STK MGT &amp; ALLOC.'!$A57)</f>
        <v>0</v>
      </c>
      <c r="P57" s="60">
        <f t="shared" si="46"/>
        <v>0</v>
      </c>
      <c r="Q57" s="60">
        <f>SUMIFS('IN STORE SALES RECORD'!$E$6:$E$97,'IN STORE SALES RECORD'!$A$6:$A$97, "WEEK 6",'IN STORE SALES RECORD'!$D$6:$D$97,'WHS STK MGT &amp; ALLOC.'!$A57)</f>
        <v>0</v>
      </c>
      <c r="R57" s="60">
        <f t="shared" si="47"/>
        <v>0</v>
      </c>
      <c r="S57" s="60">
        <f>SUMIFS('IN STORE SALES RECORD'!$E$6:$E$97,'IN STORE SALES RECORD'!$A$6:$A$97, "WEEK 6",'IN STORE SALES RECORD'!$D$6:$D$97,'WHS STK MGT &amp; ALLOC.'!$A57)</f>
        <v>0</v>
      </c>
      <c r="T57" s="60">
        <f t="shared" si="48"/>
        <v>0</v>
      </c>
      <c r="U57" s="60">
        <f>SUMIFS('IN STORE SALES RECORD'!$E$6:$E$97,'IN STORE SALES RECORD'!$A$6:$A$97, "WEEK 6",'IN STORE SALES RECORD'!$D$6:$D$97,'WHS STK MGT &amp; ALLOC.'!$A57)</f>
        <v>0</v>
      </c>
      <c r="V57" s="60">
        <f t="shared" si="49"/>
        <v>0</v>
      </c>
      <c r="W57" s="60">
        <f>SUMIFS('IN STORE SALES RECORD'!$E$6:$E$97,'IN STORE SALES RECORD'!$A$6:$A$97, "WEEK 6",'IN STORE SALES RECORD'!$D$6:$D$97,'WHS STK MGT &amp; ALLOC.'!$A57)</f>
        <v>0</v>
      </c>
      <c r="X57" s="60">
        <f t="shared" si="50"/>
        <v>0</v>
      </c>
      <c r="Y57" s="60">
        <f>SUMIFS('IN STORE SALES RECORD'!$E$6:$E$97,'IN STORE SALES RECORD'!$A$6:$A$97, "WEEK 6",'IN STORE SALES RECORD'!$D$6:$D$97,'WHS STK MGT &amp; ALLOC.'!$A57)</f>
        <v>0</v>
      </c>
    </row>
    <row r="58" spans="1:25" ht="30">
      <c r="A58" s="25" t="s">
        <v>238</v>
      </c>
      <c r="B58" s="25" t="str">
        <f>IFERROR(INDEX('REFERENCING &amp; DATABASE'!$E$7:$E$131,MATCH($A58,'REFERENCING &amp; DATABASE'!$D$7:$D$131,0)),"")</f>
        <v>Slim Dress Belt</v>
      </c>
      <c r="C58" s="25" t="str">
        <f>IFERROR(INDEX('REFERENCING &amp; DATABASE'!$B$7:$B$131,MATCH($A58,'REFERENCING &amp; DATABASE'!$D$7:$D$131,0)),"")</f>
        <v>ACCESSORIES</v>
      </c>
      <c r="D58" s="25" t="str">
        <f>IFERROR(INDEX('REFERENCING &amp; DATABASE'!$C$7:$C$131,MATCH($A58,'REFERENCING &amp; DATABASE'!$D$7:$D$131,0)),"")</f>
        <v>BELTS</v>
      </c>
      <c r="E58" s="26" t="str">
        <f>IFERROR(INDEX('REFERENCING &amp; DATABASE'!$F$7:$F$131,MATCH($A58,'REFERENCING &amp; DATABASE'!$D$7:$D$131,0)),"")</f>
        <v> A polished and sophisticated belt for formal occasions.</v>
      </c>
      <c r="F58" s="25" t="str">
        <f>IFERROR(INDEX('REFERENCING &amp; DATABASE'!$G$7:$G$131,MATCH($A58,'REFERENCING &amp; DATABASE'!$D$7:$D$131,0)),"Not Available")</f>
        <v>Black,Brown</v>
      </c>
      <c r="G58" s="94">
        <f>IFERROR(INDEX('REFERENCING &amp; DATABASE'!$H$7:$H$131,MATCH($A58,'REFERENCING &amp; DATABASE'!$D$7:$D$131,0)),"")</f>
        <v>35</v>
      </c>
      <c r="H58" s="25">
        <f>IFERROR(INDEX('REFERENCING &amp; DATABASE'!$A$7:$A$131,MATCH($A58,'REFERENCING &amp; DATABASE'!$D$7:$D$131,0)),"")</f>
        <v>230</v>
      </c>
      <c r="I58" s="60">
        <f t="shared" si="51"/>
        <v>220</v>
      </c>
      <c r="J58" s="60">
        <f t="shared" si="43"/>
        <v>4.3479999999999999</v>
      </c>
      <c r="K58" s="60">
        <f>SUMIFS('IN STORE SALES RECORD'!$E$6:$E$97,'IN STORE SALES RECORD'!$A$6:$A$97, "WEEK 1",'IN STORE SALES RECORD'!$D$6:$D$97,'WHS STK MGT &amp; ALLOC.'!$A58)+10</f>
        <v>10</v>
      </c>
      <c r="L58" s="60">
        <f t="shared" si="44"/>
        <v>0</v>
      </c>
      <c r="M58" s="60">
        <f>SUMIFS('IN STORE SALES RECORD'!$E$6:$E$97,'IN STORE SALES RECORD'!$A$6:$A$97, "WEEK 6",'IN STORE SALES RECORD'!$D$6:$D$97,'WHS STK MGT &amp; ALLOC.'!$A58)</f>
        <v>0</v>
      </c>
      <c r="N58" s="60">
        <f t="shared" si="45"/>
        <v>0</v>
      </c>
      <c r="O58" s="60">
        <f>SUMIFS('IN STORE SALES RECORD'!$E$6:$E$97,'IN STORE SALES RECORD'!$A$6:$A$97, "WEEK 6",'IN STORE SALES RECORD'!$D$6:$D$97,'WHS STK MGT &amp; ALLOC.'!$A58)</f>
        <v>0</v>
      </c>
      <c r="P58" s="60">
        <f t="shared" si="46"/>
        <v>0</v>
      </c>
      <c r="Q58" s="60">
        <f>SUMIFS('IN STORE SALES RECORD'!$E$6:$E$97,'IN STORE SALES RECORD'!$A$6:$A$97, "WEEK 6",'IN STORE SALES RECORD'!$D$6:$D$97,'WHS STK MGT &amp; ALLOC.'!$A58)</f>
        <v>0</v>
      </c>
      <c r="R58" s="60">
        <f t="shared" si="47"/>
        <v>0</v>
      </c>
      <c r="S58" s="60">
        <f>SUMIFS('IN STORE SALES RECORD'!$E$6:$E$97,'IN STORE SALES RECORD'!$A$6:$A$97, "WEEK 6",'IN STORE SALES RECORD'!$D$6:$D$97,'WHS STK MGT &amp; ALLOC.'!$A58)</f>
        <v>0</v>
      </c>
      <c r="T58" s="60">
        <f t="shared" si="48"/>
        <v>0</v>
      </c>
      <c r="U58" s="60">
        <f>SUMIFS('IN STORE SALES RECORD'!$E$6:$E$97,'IN STORE SALES RECORD'!$A$6:$A$97, "WEEK 6",'IN STORE SALES RECORD'!$D$6:$D$97,'WHS STK MGT &amp; ALLOC.'!$A58)</f>
        <v>0</v>
      </c>
      <c r="V58" s="60">
        <f t="shared" si="49"/>
        <v>0</v>
      </c>
      <c r="W58" s="60">
        <f>SUMIFS('IN STORE SALES RECORD'!$E$6:$E$97,'IN STORE SALES RECORD'!$A$6:$A$97, "WEEK 6",'IN STORE SALES RECORD'!$D$6:$D$97,'WHS STK MGT &amp; ALLOC.'!$A58)</f>
        <v>0</v>
      </c>
      <c r="X58" s="60">
        <f t="shared" si="50"/>
        <v>0</v>
      </c>
      <c r="Y58" s="60">
        <f>SUMIFS('IN STORE SALES RECORD'!$E$6:$E$97,'IN STORE SALES RECORD'!$A$6:$A$97, "WEEK 6",'IN STORE SALES RECORD'!$D$6:$D$97,'WHS STK MGT &amp; ALLOC.'!$A58)</f>
        <v>0</v>
      </c>
    </row>
    <row r="59" spans="1:25">
      <c r="A59" s="25" t="s">
        <v>239</v>
      </c>
      <c r="B59" s="25" t="str">
        <f>IFERROR(INDEX('REFERENCING &amp; DATABASE'!$E$7:$E$131,MATCH($A59,'REFERENCING &amp; DATABASE'!$D$7:$D$131,0)),"")</f>
        <v>Canvas Webbing Belt</v>
      </c>
      <c r="C59" s="25" t="str">
        <f>IFERROR(INDEX('REFERENCING &amp; DATABASE'!$B$7:$B$131,MATCH($A59,'REFERENCING &amp; DATABASE'!$D$7:$D$131,0)),"")</f>
        <v>ACCESSORIES</v>
      </c>
      <c r="D59" s="25" t="str">
        <f>IFERROR(INDEX('REFERENCING &amp; DATABASE'!$C$7:$C$131,MATCH($A59,'REFERENCING &amp; DATABASE'!$D$7:$D$131,0)),"")</f>
        <v>BELTS</v>
      </c>
      <c r="E59" s="26" t="str">
        <f>IFERROR(INDEX('REFERENCING &amp; DATABASE'!$F$7:$F$131,MATCH($A59,'REFERENCING &amp; DATABASE'!$D$7:$D$131,0)),"")</f>
        <v>A versatile and adjustable belt for casual wear.</v>
      </c>
      <c r="F59" s="25" t="str">
        <f>IFERROR(INDEX('REFERENCING &amp; DATABASE'!$G$7:$G$131,MATCH($A59,'REFERENCING &amp; DATABASE'!$D$7:$D$131,0)),"Not Available")</f>
        <v>Black,Brown</v>
      </c>
      <c r="G59" s="94">
        <f>IFERROR(INDEX('REFERENCING &amp; DATABASE'!$H$7:$H$131,MATCH($A59,'REFERENCING &amp; DATABASE'!$D$7:$D$131,0)),"")</f>
        <v>35</v>
      </c>
      <c r="H59" s="25">
        <f>IFERROR(INDEX('REFERENCING &amp; DATABASE'!$A$7:$A$131,MATCH($A59,'REFERENCING &amp; DATABASE'!$D$7:$D$131,0)),"")</f>
        <v>120</v>
      </c>
      <c r="I59" s="60">
        <f t="shared" si="51"/>
        <v>110</v>
      </c>
      <c r="J59" s="60">
        <f t="shared" si="43"/>
        <v>8.3330000000000002</v>
      </c>
      <c r="K59" s="60">
        <f>SUMIFS('IN STORE SALES RECORD'!$E$6:$E$97,'IN STORE SALES RECORD'!$A$6:$A$97, "WEEK 1",'IN STORE SALES RECORD'!$D$6:$D$97,'WHS STK MGT &amp; ALLOC.'!$A59)+10</f>
        <v>10</v>
      </c>
      <c r="L59" s="60">
        <f t="shared" si="44"/>
        <v>0</v>
      </c>
      <c r="M59" s="60">
        <f>SUMIFS('IN STORE SALES RECORD'!$E$6:$E$97,'IN STORE SALES RECORD'!$A$6:$A$97, "WEEK 6",'IN STORE SALES RECORD'!$D$6:$D$97,'WHS STK MGT &amp; ALLOC.'!$A59)</f>
        <v>0</v>
      </c>
      <c r="N59" s="60">
        <f t="shared" si="45"/>
        <v>0</v>
      </c>
      <c r="O59" s="60">
        <f>SUMIFS('IN STORE SALES RECORD'!$E$6:$E$97,'IN STORE SALES RECORD'!$A$6:$A$97, "WEEK 6",'IN STORE SALES RECORD'!$D$6:$D$97,'WHS STK MGT &amp; ALLOC.'!$A59)</f>
        <v>0</v>
      </c>
      <c r="P59" s="60">
        <f t="shared" si="46"/>
        <v>0</v>
      </c>
      <c r="Q59" s="60">
        <f>SUMIFS('IN STORE SALES RECORD'!$E$6:$E$97,'IN STORE SALES RECORD'!$A$6:$A$97, "WEEK 6",'IN STORE SALES RECORD'!$D$6:$D$97,'WHS STK MGT &amp; ALLOC.'!$A59)</f>
        <v>0</v>
      </c>
      <c r="R59" s="60">
        <f t="shared" si="47"/>
        <v>0</v>
      </c>
      <c r="S59" s="60">
        <f>SUMIFS('IN STORE SALES RECORD'!$E$6:$E$97,'IN STORE SALES RECORD'!$A$6:$A$97, "WEEK 6",'IN STORE SALES RECORD'!$D$6:$D$97,'WHS STK MGT &amp; ALLOC.'!$A59)</f>
        <v>0</v>
      </c>
      <c r="T59" s="60">
        <f t="shared" si="48"/>
        <v>0</v>
      </c>
      <c r="U59" s="60">
        <f>SUMIFS('IN STORE SALES RECORD'!$E$6:$E$97,'IN STORE SALES RECORD'!$A$6:$A$97, "WEEK 6",'IN STORE SALES RECORD'!$D$6:$D$97,'WHS STK MGT &amp; ALLOC.'!$A59)</f>
        <v>0</v>
      </c>
      <c r="V59" s="60">
        <f t="shared" si="49"/>
        <v>0</v>
      </c>
      <c r="W59" s="60">
        <f>SUMIFS('IN STORE SALES RECORD'!$E$6:$E$97,'IN STORE SALES RECORD'!$A$6:$A$97, "WEEK 6",'IN STORE SALES RECORD'!$D$6:$D$97,'WHS STK MGT &amp; ALLOC.'!$A59)</f>
        <v>0</v>
      </c>
      <c r="X59" s="60">
        <f t="shared" si="50"/>
        <v>0</v>
      </c>
      <c r="Y59" s="60">
        <f>SUMIFS('IN STORE SALES RECORD'!$E$6:$E$97,'IN STORE SALES RECORD'!$A$6:$A$97, "WEEK 6",'IN STORE SALES RECORD'!$D$6:$D$97,'WHS STK MGT &amp; ALLOC.'!$A59)</f>
        <v>0</v>
      </c>
    </row>
    <row r="60" spans="1:25" ht="30">
      <c r="A60" s="25" t="s">
        <v>240</v>
      </c>
      <c r="B60" s="25" t="str">
        <f>IFERROR(INDEX('REFERENCING &amp; DATABASE'!$E$7:$E$131,MATCH($A60,'REFERENCING &amp; DATABASE'!$D$7:$D$131,0)),"")</f>
        <v>Cozy Cable-Knit Beanie</v>
      </c>
      <c r="C60" s="25" t="str">
        <f>IFERROR(INDEX('REFERENCING &amp; DATABASE'!$B$7:$B$131,MATCH($A60,'REFERENCING &amp; DATABASE'!$D$7:$D$131,0)),"")</f>
        <v>ACCESSORIES</v>
      </c>
      <c r="D60" s="25" t="str">
        <f>IFERROR(INDEX('REFERENCING &amp; DATABASE'!$C$7:$C$131,MATCH($A60,'REFERENCING &amp; DATABASE'!$D$7:$D$131,0)),"")</f>
        <v>HATS</v>
      </c>
      <c r="E60" s="26" t="str">
        <f>IFERROR(INDEX('REFERENCING &amp; DATABASE'!$F$7:$F$131,MATCH($A60,'REFERENCING &amp; DATABASE'!$D$7:$D$131,0)),"")</f>
        <v>: A warm and stylish beanie perfect for winter weather.</v>
      </c>
      <c r="F60" s="25" t="str">
        <f>IFERROR(INDEX('REFERENCING &amp; DATABASE'!$G$7:$G$131,MATCH($A60,'REFERENCING &amp; DATABASE'!$D$7:$D$131,0)),"Not Available")</f>
        <v>Blue</v>
      </c>
      <c r="G60" s="94">
        <f>IFERROR(INDEX('REFERENCING &amp; DATABASE'!$H$7:$H$131,MATCH($A60,'REFERENCING &amp; DATABASE'!$D$7:$D$131,0)),"")</f>
        <v>7</v>
      </c>
      <c r="H60" s="25">
        <f>IFERROR(INDEX('REFERENCING &amp; DATABASE'!$A$7:$A$131,MATCH($A60,'REFERENCING &amp; DATABASE'!$D$7:$D$131,0)),"")</f>
        <v>200</v>
      </c>
      <c r="I60" s="60">
        <f t="shared" si="51"/>
        <v>115</v>
      </c>
      <c r="J60" s="60">
        <f t="shared" si="43"/>
        <v>42.5</v>
      </c>
      <c r="K60" s="60">
        <f>SUMIFS('IN STORE SALES RECORD'!$E$6:$E$97,'IN STORE SALES RECORD'!$A$6:$A$97, "WEEK 1",'IN STORE SALES RECORD'!$D$6:$D$97,'WHS STK MGT &amp; ALLOC.'!$A60)+10</f>
        <v>85</v>
      </c>
      <c r="L60" s="60">
        <f t="shared" si="44"/>
        <v>0</v>
      </c>
      <c r="M60" s="60">
        <f>SUMIFS('IN STORE SALES RECORD'!$E$6:$E$97,'IN STORE SALES RECORD'!$A$6:$A$97, "WEEK 6",'IN STORE SALES RECORD'!$D$6:$D$97,'WHS STK MGT &amp; ALLOC.'!$A60)</f>
        <v>0</v>
      </c>
      <c r="N60" s="60">
        <f t="shared" si="45"/>
        <v>0</v>
      </c>
      <c r="O60" s="60">
        <f>SUMIFS('IN STORE SALES RECORD'!$E$6:$E$97,'IN STORE SALES RECORD'!$A$6:$A$97, "WEEK 6",'IN STORE SALES RECORD'!$D$6:$D$97,'WHS STK MGT &amp; ALLOC.'!$A60)</f>
        <v>0</v>
      </c>
      <c r="P60" s="60">
        <f t="shared" si="46"/>
        <v>0</v>
      </c>
      <c r="Q60" s="60">
        <f>SUMIFS('IN STORE SALES RECORD'!$E$6:$E$97,'IN STORE SALES RECORD'!$A$6:$A$97, "WEEK 6",'IN STORE SALES RECORD'!$D$6:$D$97,'WHS STK MGT &amp; ALLOC.'!$A60)</f>
        <v>0</v>
      </c>
      <c r="R60" s="60">
        <f t="shared" si="47"/>
        <v>0</v>
      </c>
      <c r="S60" s="60">
        <f>SUMIFS('IN STORE SALES RECORD'!$E$6:$E$97,'IN STORE SALES RECORD'!$A$6:$A$97, "WEEK 6",'IN STORE SALES RECORD'!$D$6:$D$97,'WHS STK MGT &amp; ALLOC.'!$A60)</f>
        <v>0</v>
      </c>
      <c r="T60" s="60">
        <f t="shared" si="48"/>
        <v>0</v>
      </c>
      <c r="U60" s="60">
        <f>SUMIFS('IN STORE SALES RECORD'!$E$6:$E$97,'IN STORE SALES RECORD'!$A$6:$A$97, "WEEK 6",'IN STORE SALES RECORD'!$D$6:$D$97,'WHS STK MGT &amp; ALLOC.'!$A60)</f>
        <v>0</v>
      </c>
      <c r="V60" s="60">
        <f t="shared" si="49"/>
        <v>0</v>
      </c>
      <c r="W60" s="60">
        <f>SUMIFS('IN STORE SALES RECORD'!$E$6:$E$97,'IN STORE SALES RECORD'!$A$6:$A$97, "WEEK 6",'IN STORE SALES RECORD'!$D$6:$D$97,'WHS STK MGT &amp; ALLOC.'!$A60)</f>
        <v>0</v>
      </c>
      <c r="X60" s="60">
        <f t="shared" si="50"/>
        <v>0</v>
      </c>
      <c r="Y60" s="60">
        <f>SUMIFS('IN STORE SALES RECORD'!$E$6:$E$97,'IN STORE SALES RECORD'!$A$6:$A$97, "WEEK 6",'IN STORE SALES RECORD'!$D$6:$D$97,'WHS STK MGT &amp; ALLOC.'!$A60)</f>
        <v>0</v>
      </c>
    </row>
    <row r="61" spans="1:25" ht="30">
      <c r="A61" s="25" t="s">
        <v>241</v>
      </c>
      <c r="B61" s="25" t="str">
        <f>IFERROR(INDEX('REFERENCING &amp; DATABASE'!$E$7:$E$131,MATCH($A61,'REFERENCING &amp; DATABASE'!$D$7:$D$131,0)),"")</f>
        <v>Classic Baseball Cap</v>
      </c>
      <c r="C61" s="25" t="str">
        <f>IFERROR(INDEX('REFERENCING &amp; DATABASE'!$B$7:$B$131,MATCH($A61,'REFERENCING &amp; DATABASE'!$D$7:$D$131,0)),"")</f>
        <v>ACCESSORIES</v>
      </c>
      <c r="D61" s="25" t="str">
        <f>IFERROR(INDEX('REFERENCING &amp; DATABASE'!$C$7:$C$131,MATCH($A61,'REFERENCING &amp; DATABASE'!$D$7:$D$131,0)),"")</f>
        <v>HATS</v>
      </c>
      <c r="E61" s="26" t="str">
        <f>IFERROR(INDEX('REFERENCING &amp; DATABASE'!$F$7:$F$131,MATCH($A61,'REFERENCING &amp; DATABASE'!$D$7:$D$131,0)),"")</f>
        <v>: A timeless and versatile cap with an adjustable strap.</v>
      </c>
      <c r="F61" s="25" t="str">
        <f>IFERROR(INDEX('REFERENCING &amp; DATABASE'!$G$7:$G$131,MATCH($A61,'REFERENCING &amp; DATABASE'!$D$7:$D$131,0)),"Not Available")</f>
        <v>Grey,Orange</v>
      </c>
      <c r="G61" s="94">
        <f>IFERROR(INDEX('REFERENCING &amp; DATABASE'!$H$7:$H$131,MATCH($A61,'REFERENCING &amp; DATABASE'!$D$7:$D$131,0)),"")</f>
        <v>7</v>
      </c>
      <c r="H61" s="25">
        <f>IFERROR(INDEX('REFERENCING &amp; DATABASE'!$A$7:$A$131,MATCH($A61,'REFERENCING &amp; DATABASE'!$D$7:$D$131,0)),"")</f>
        <v>305</v>
      </c>
      <c r="I61" s="60">
        <f t="shared" si="51"/>
        <v>295</v>
      </c>
      <c r="J61" s="60">
        <f t="shared" si="43"/>
        <v>3.2789999999999999</v>
      </c>
      <c r="K61" s="60">
        <f>SUMIFS('IN STORE SALES RECORD'!$E$6:$E$97,'IN STORE SALES RECORD'!$A$6:$A$97, "WEEK 1",'IN STORE SALES RECORD'!$D$6:$D$97,'WHS STK MGT &amp; ALLOC.'!$A61)+10</f>
        <v>10</v>
      </c>
      <c r="L61" s="60">
        <f t="shared" si="44"/>
        <v>0</v>
      </c>
      <c r="M61" s="60">
        <f>SUMIFS('IN STORE SALES RECORD'!$E$6:$E$97,'IN STORE SALES RECORD'!$A$6:$A$97, "WEEK 6",'IN STORE SALES RECORD'!$D$6:$D$97,'WHS STK MGT &amp; ALLOC.'!$A61)</f>
        <v>0</v>
      </c>
      <c r="N61" s="60">
        <f t="shared" si="45"/>
        <v>0</v>
      </c>
      <c r="O61" s="60">
        <f>SUMIFS('IN STORE SALES RECORD'!$E$6:$E$97,'IN STORE SALES RECORD'!$A$6:$A$97, "WEEK 6",'IN STORE SALES RECORD'!$D$6:$D$97,'WHS STK MGT &amp; ALLOC.'!$A61)</f>
        <v>0</v>
      </c>
      <c r="P61" s="60">
        <f t="shared" si="46"/>
        <v>0</v>
      </c>
      <c r="Q61" s="60">
        <f>SUMIFS('IN STORE SALES RECORD'!$E$6:$E$97,'IN STORE SALES RECORD'!$A$6:$A$97, "WEEK 6",'IN STORE SALES RECORD'!$D$6:$D$97,'WHS STK MGT &amp; ALLOC.'!$A61)</f>
        <v>0</v>
      </c>
      <c r="R61" s="60">
        <f t="shared" si="47"/>
        <v>0</v>
      </c>
      <c r="S61" s="60">
        <f>SUMIFS('IN STORE SALES RECORD'!$E$6:$E$97,'IN STORE SALES RECORD'!$A$6:$A$97, "WEEK 6",'IN STORE SALES RECORD'!$D$6:$D$97,'WHS STK MGT &amp; ALLOC.'!$A61)</f>
        <v>0</v>
      </c>
      <c r="T61" s="60">
        <f t="shared" si="48"/>
        <v>0</v>
      </c>
      <c r="U61" s="60">
        <f>SUMIFS('IN STORE SALES RECORD'!$E$6:$E$97,'IN STORE SALES RECORD'!$A$6:$A$97, "WEEK 6",'IN STORE SALES RECORD'!$D$6:$D$97,'WHS STK MGT &amp; ALLOC.'!$A61)</f>
        <v>0</v>
      </c>
      <c r="V61" s="60">
        <f t="shared" si="49"/>
        <v>0</v>
      </c>
      <c r="W61" s="60">
        <f>SUMIFS('IN STORE SALES RECORD'!$E$6:$E$97,'IN STORE SALES RECORD'!$A$6:$A$97, "WEEK 6",'IN STORE SALES RECORD'!$D$6:$D$97,'WHS STK MGT &amp; ALLOC.'!$A61)</f>
        <v>0</v>
      </c>
      <c r="X61" s="60">
        <f t="shared" si="50"/>
        <v>0</v>
      </c>
      <c r="Y61" s="60">
        <f>SUMIFS('IN STORE SALES RECORD'!$E$6:$E$97,'IN STORE SALES RECORD'!$A$6:$A$97, "WEEK 6",'IN STORE SALES RECORD'!$D$6:$D$97,'WHS STK MGT &amp; ALLOC.'!$A61)</f>
        <v>0</v>
      </c>
    </row>
    <row r="62" spans="1:25" ht="30">
      <c r="A62" s="25" t="s">
        <v>242</v>
      </c>
      <c r="B62" s="25" t="str">
        <f>IFERROR(INDEX('REFERENCING &amp; DATABASE'!$E$7:$E$131,MATCH($A62,'REFERENCING &amp; DATABASE'!$D$7:$D$131,0)),"")</f>
        <v>Reversible Bucket Hat</v>
      </c>
      <c r="C62" s="25" t="str">
        <f>IFERROR(INDEX('REFERENCING &amp; DATABASE'!$B$7:$B$131,MATCH($A62,'REFERENCING &amp; DATABASE'!$D$7:$D$131,0)),"")</f>
        <v>ACCESSORIES</v>
      </c>
      <c r="D62" s="25" t="str">
        <f>IFERROR(INDEX('REFERENCING &amp; DATABASE'!$C$7:$C$131,MATCH($A62,'REFERENCING &amp; DATABASE'!$D$7:$D$131,0)),"")</f>
        <v>HATS</v>
      </c>
      <c r="E62" s="26" t="str">
        <f>IFERROR(INDEX('REFERENCING &amp; DATABASE'!$F$7:$F$131,MATCH($A62,'REFERENCING &amp; DATABASE'!$D$7:$D$131,0)),"")</f>
        <v>: A trendy and practical bucket hat with two color options.</v>
      </c>
      <c r="F62" s="25" t="str">
        <f>IFERROR(INDEX('REFERENCING &amp; DATABASE'!$G$7:$G$131,MATCH($A62,'REFERENCING &amp; DATABASE'!$D$7:$D$131,0)),"Not Available")</f>
        <v>Brown</v>
      </c>
      <c r="G62" s="94">
        <f>IFERROR(INDEX('REFERENCING &amp; DATABASE'!$H$7:$H$131,MATCH($A62,'REFERENCING &amp; DATABASE'!$D$7:$D$131,0)),"")</f>
        <v>7</v>
      </c>
      <c r="H62" s="25">
        <f>IFERROR(INDEX('REFERENCING &amp; DATABASE'!$A$7:$A$131,MATCH($A62,'REFERENCING &amp; DATABASE'!$D$7:$D$131,0)),"")</f>
        <v>103</v>
      </c>
      <c r="I62" s="60">
        <f t="shared" si="51"/>
        <v>93</v>
      </c>
      <c r="J62" s="60">
        <f t="shared" si="43"/>
        <v>9.7089999999999996</v>
      </c>
      <c r="K62" s="60">
        <f>SUMIFS('IN STORE SALES RECORD'!$E$6:$E$97,'IN STORE SALES RECORD'!$A$6:$A$97, "WEEK 1",'IN STORE SALES RECORD'!$D$6:$D$97,'WHS STK MGT &amp; ALLOC.'!$A62)+10</f>
        <v>10</v>
      </c>
      <c r="L62" s="60">
        <f t="shared" si="44"/>
        <v>0</v>
      </c>
      <c r="M62" s="60">
        <f>SUMIFS('IN STORE SALES RECORD'!$E$6:$E$97,'IN STORE SALES RECORD'!$A$6:$A$97, "WEEK 6",'IN STORE SALES RECORD'!$D$6:$D$97,'WHS STK MGT &amp; ALLOC.'!$A62)</f>
        <v>0</v>
      </c>
      <c r="N62" s="60">
        <f t="shared" si="45"/>
        <v>0</v>
      </c>
      <c r="O62" s="60">
        <f>SUMIFS('IN STORE SALES RECORD'!$E$6:$E$97,'IN STORE SALES RECORD'!$A$6:$A$97, "WEEK 6",'IN STORE SALES RECORD'!$D$6:$D$97,'WHS STK MGT &amp; ALLOC.'!$A62)</f>
        <v>0</v>
      </c>
      <c r="P62" s="60">
        <f t="shared" si="46"/>
        <v>0</v>
      </c>
      <c r="Q62" s="60">
        <f>SUMIFS('IN STORE SALES RECORD'!$E$6:$E$97,'IN STORE SALES RECORD'!$A$6:$A$97, "WEEK 6",'IN STORE SALES RECORD'!$D$6:$D$97,'WHS STK MGT &amp; ALLOC.'!$A62)</f>
        <v>0</v>
      </c>
      <c r="R62" s="60">
        <f t="shared" si="47"/>
        <v>0</v>
      </c>
      <c r="S62" s="60">
        <f>SUMIFS('IN STORE SALES RECORD'!$E$6:$E$97,'IN STORE SALES RECORD'!$A$6:$A$97, "WEEK 6",'IN STORE SALES RECORD'!$D$6:$D$97,'WHS STK MGT &amp; ALLOC.'!$A62)</f>
        <v>0</v>
      </c>
      <c r="T62" s="60">
        <f t="shared" si="48"/>
        <v>0</v>
      </c>
      <c r="U62" s="60">
        <f>SUMIFS('IN STORE SALES RECORD'!$E$6:$E$97,'IN STORE SALES RECORD'!$A$6:$A$97, "WEEK 6",'IN STORE SALES RECORD'!$D$6:$D$97,'WHS STK MGT &amp; ALLOC.'!$A62)</f>
        <v>0</v>
      </c>
      <c r="V62" s="60">
        <f t="shared" si="49"/>
        <v>0</v>
      </c>
      <c r="W62" s="60">
        <f>SUMIFS('IN STORE SALES RECORD'!$E$6:$E$97,'IN STORE SALES RECORD'!$A$6:$A$97, "WEEK 6",'IN STORE SALES RECORD'!$D$6:$D$97,'WHS STK MGT &amp; ALLOC.'!$A62)</f>
        <v>0</v>
      </c>
      <c r="X62" s="60">
        <f t="shared" si="50"/>
        <v>0</v>
      </c>
      <c r="Y62" s="60">
        <f>SUMIFS('IN STORE SALES RECORD'!$E$6:$E$97,'IN STORE SALES RECORD'!$A$6:$A$97, "WEEK 6",'IN STORE SALES RECORD'!$D$6:$D$97,'WHS STK MGT &amp; ALLOC.'!$A62)</f>
        <v>0</v>
      </c>
    </row>
    <row r="63" spans="1:25" ht="30">
      <c r="A63" s="25" t="s">
        <v>243</v>
      </c>
      <c r="B63" s="25" t="str">
        <f>IFERROR(INDEX('REFERENCING &amp; DATABASE'!$E$7:$E$131,MATCH($A63,'REFERENCING &amp; DATABASE'!$D$7:$D$131,0)),"")</f>
        <v>Wide-Brim Sun Hat</v>
      </c>
      <c r="C63" s="25" t="str">
        <f>IFERROR(INDEX('REFERENCING &amp; DATABASE'!$B$7:$B$131,MATCH($A63,'REFERENCING &amp; DATABASE'!$D$7:$D$131,0)),"")</f>
        <v>ACCESSORIES</v>
      </c>
      <c r="D63" s="25" t="str">
        <f>IFERROR(INDEX('REFERENCING &amp; DATABASE'!$C$7:$C$131,MATCH($A63,'REFERENCING &amp; DATABASE'!$D$7:$D$131,0)),"")</f>
        <v>HATS</v>
      </c>
      <c r="E63" s="26" t="str">
        <f>IFERROR(INDEX('REFERENCING &amp; DATABASE'!$F$7:$F$131,MATCH($A63,'REFERENCING &amp; DATABASE'!$D$7:$D$131,0)),"")</f>
        <v>: Provides shade and protection from the sun on hot days.</v>
      </c>
      <c r="F63" s="25" t="str">
        <f>IFERROR(INDEX('REFERENCING &amp; DATABASE'!$G$7:$G$131,MATCH($A63,'REFERENCING &amp; DATABASE'!$D$7:$D$131,0)),"Not Available")</f>
        <v>Brown</v>
      </c>
      <c r="G63" s="94">
        <f>IFERROR(INDEX('REFERENCING &amp; DATABASE'!$H$7:$H$131,MATCH($A63,'REFERENCING &amp; DATABASE'!$D$7:$D$131,0)),"")</f>
        <v>7</v>
      </c>
      <c r="H63" s="25">
        <f>IFERROR(INDEX('REFERENCING &amp; DATABASE'!$A$7:$A$131,MATCH($A63,'REFERENCING &amp; DATABASE'!$D$7:$D$131,0)),"")</f>
        <v>200</v>
      </c>
      <c r="I63" s="60">
        <f t="shared" si="51"/>
        <v>190</v>
      </c>
      <c r="J63" s="60">
        <f t="shared" si="43"/>
        <v>5</v>
      </c>
      <c r="K63" s="60">
        <f>SUMIFS('IN STORE SALES RECORD'!$E$6:$E$97,'IN STORE SALES RECORD'!$A$6:$A$97, "WEEK 1",'IN STORE SALES RECORD'!$D$6:$D$97,'WHS STK MGT &amp; ALLOC.'!$A63)+10</f>
        <v>10</v>
      </c>
      <c r="L63" s="60">
        <f t="shared" si="44"/>
        <v>0</v>
      </c>
      <c r="M63" s="60">
        <f>SUMIFS('IN STORE SALES RECORD'!$E$6:$E$97,'IN STORE SALES RECORD'!$A$6:$A$97, "WEEK 6",'IN STORE SALES RECORD'!$D$6:$D$97,'WHS STK MGT &amp; ALLOC.'!$A63)</f>
        <v>0</v>
      </c>
      <c r="N63" s="60">
        <f t="shared" si="45"/>
        <v>0</v>
      </c>
      <c r="O63" s="60">
        <f>SUMIFS('IN STORE SALES RECORD'!$E$6:$E$97,'IN STORE SALES RECORD'!$A$6:$A$97, "WEEK 6",'IN STORE SALES RECORD'!$D$6:$D$97,'WHS STK MGT &amp; ALLOC.'!$A63)</f>
        <v>0</v>
      </c>
      <c r="P63" s="60">
        <f t="shared" si="46"/>
        <v>0</v>
      </c>
      <c r="Q63" s="60">
        <f>SUMIFS('IN STORE SALES RECORD'!$E$6:$E$97,'IN STORE SALES RECORD'!$A$6:$A$97, "WEEK 6",'IN STORE SALES RECORD'!$D$6:$D$97,'WHS STK MGT &amp; ALLOC.'!$A63)</f>
        <v>0</v>
      </c>
      <c r="R63" s="60">
        <f t="shared" si="47"/>
        <v>0</v>
      </c>
      <c r="S63" s="60">
        <f>SUMIFS('IN STORE SALES RECORD'!$E$6:$E$97,'IN STORE SALES RECORD'!$A$6:$A$97, "WEEK 6",'IN STORE SALES RECORD'!$D$6:$D$97,'WHS STK MGT &amp; ALLOC.'!$A63)</f>
        <v>0</v>
      </c>
      <c r="T63" s="60">
        <f t="shared" si="48"/>
        <v>0</v>
      </c>
      <c r="U63" s="60">
        <f>SUMIFS('IN STORE SALES RECORD'!$E$6:$E$97,'IN STORE SALES RECORD'!$A$6:$A$97, "WEEK 6",'IN STORE SALES RECORD'!$D$6:$D$97,'WHS STK MGT &amp; ALLOC.'!$A63)</f>
        <v>0</v>
      </c>
      <c r="V63" s="60">
        <f t="shared" si="49"/>
        <v>0</v>
      </c>
      <c r="W63" s="60">
        <f>SUMIFS('IN STORE SALES RECORD'!$E$6:$E$97,'IN STORE SALES RECORD'!$A$6:$A$97, "WEEK 6",'IN STORE SALES RECORD'!$D$6:$D$97,'WHS STK MGT &amp; ALLOC.'!$A63)</f>
        <v>0</v>
      </c>
      <c r="X63" s="60">
        <f t="shared" si="50"/>
        <v>0</v>
      </c>
      <c r="Y63" s="60">
        <f>SUMIFS('IN STORE SALES RECORD'!$E$6:$E$97,'IN STORE SALES RECORD'!$A$6:$A$97, "WEEK 6",'IN STORE SALES RECORD'!$D$6:$D$97,'WHS STK MGT &amp; ALLOC.'!$A63)</f>
        <v>0</v>
      </c>
    </row>
    <row r="64" spans="1:25" ht="30">
      <c r="A64" s="25" t="s">
        <v>244</v>
      </c>
      <c r="B64" s="25" t="str">
        <f>IFERROR(INDEX('REFERENCING &amp; DATABASE'!$E$7:$E$131,MATCH($A64,'REFERENCING &amp; DATABASE'!$D$7:$D$131,0)),"")</f>
        <v>Felt Fedora</v>
      </c>
      <c r="C64" s="25" t="str">
        <f>IFERROR(INDEX('REFERENCING &amp; DATABASE'!$B$7:$B$131,MATCH($A64,'REFERENCING &amp; DATABASE'!$D$7:$D$131,0)),"")</f>
        <v>ACCESSORIES</v>
      </c>
      <c r="D64" s="25" t="str">
        <f>IFERROR(INDEX('REFERENCING &amp; DATABASE'!$C$7:$C$131,MATCH($A64,'REFERENCING &amp; DATABASE'!$D$7:$D$131,0)),"")</f>
        <v>HATS</v>
      </c>
      <c r="E64" s="26" t="str">
        <f>IFERROR(INDEX('REFERENCING &amp; DATABASE'!$F$7:$F$131,MATCH($A64,'REFERENCING &amp; DATABASE'!$D$7:$D$131,0)),"")</f>
        <v>: A sophisticated and stylish fedora for a classic look.</v>
      </c>
      <c r="F64" s="25" t="str">
        <f>IFERROR(INDEX('REFERENCING &amp; DATABASE'!$G$7:$G$131,MATCH($A64,'REFERENCING &amp; DATABASE'!$D$7:$D$131,0)),"Not Available")</f>
        <v>Black,Brown</v>
      </c>
      <c r="G64" s="94">
        <f>IFERROR(INDEX('REFERENCING &amp; DATABASE'!$H$7:$H$131,MATCH($A64,'REFERENCING &amp; DATABASE'!$D$7:$D$131,0)),"")</f>
        <v>6</v>
      </c>
      <c r="H64" s="25">
        <f>IFERROR(INDEX('REFERENCING &amp; DATABASE'!$A$7:$A$131,MATCH($A64,'REFERENCING &amp; DATABASE'!$D$7:$D$131,0)),"")</f>
        <v>230</v>
      </c>
      <c r="I64" s="60">
        <f t="shared" si="51"/>
        <v>220</v>
      </c>
      <c r="J64" s="60">
        <f t="shared" si="43"/>
        <v>4.3479999999999999</v>
      </c>
      <c r="K64" s="60">
        <f>SUMIFS('IN STORE SALES RECORD'!$E$6:$E$97,'IN STORE SALES RECORD'!$A$6:$A$97, "WEEK 1",'IN STORE SALES RECORD'!$D$6:$D$97,'WHS STK MGT &amp; ALLOC.'!$A64)+10</f>
        <v>10</v>
      </c>
      <c r="L64" s="60">
        <f t="shared" si="44"/>
        <v>0</v>
      </c>
      <c r="M64" s="60">
        <f>SUMIFS('IN STORE SALES RECORD'!$E$6:$E$97,'IN STORE SALES RECORD'!$A$6:$A$97, "WEEK 6",'IN STORE SALES RECORD'!$D$6:$D$97,'WHS STK MGT &amp; ALLOC.'!$A64)</f>
        <v>0</v>
      </c>
      <c r="N64" s="60">
        <f t="shared" si="45"/>
        <v>0</v>
      </c>
      <c r="O64" s="60">
        <f>SUMIFS('IN STORE SALES RECORD'!$E$6:$E$97,'IN STORE SALES RECORD'!$A$6:$A$97, "WEEK 6",'IN STORE SALES RECORD'!$D$6:$D$97,'WHS STK MGT &amp; ALLOC.'!$A64)</f>
        <v>0</v>
      </c>
      <c r="P64" s="60">
        <f t="shared" si="46"/>
        <v>0</v>
      </c>
      <c r="Q64" s="60">
        <f>SUMIFS('IN STORE SALES RECORD'!$E$6:$E$97,'IN STORE SALES RECORD'!$A$6:$A$97, "WEEK 6",'IN STORE SALES RECORD'!$D$6:$D$97,'WHS STK MGT &amp; ALLOC.'!$A64)</f>
        <v>0</v>
      </c>
      <c r="R64" s="60">
        <f t="shared" si="47"/>
        <v>0</v>
      </c>
      <c r="S64" s="60">
        <f>SUMIFS('IN STORE SALES RECORD'!$E$6:$E$97,'IN STORE SALES RECORD'!$A$6:$A$97, "WEEK 6",'IN STORE SALES RECORD'!$D$6:$D$97,'WHS STK MGT &amp; ALLOC.'!$A64)</f>
        <v>0</v>
      </c>
      <c r="T64" s="60">
        <f t="shared" si="48"/>
        <v>0</v>
      </c>
      <c r="U64" s="60">
        <f>SUMIFS('IN STORE SALES RECORD'!$E$6:$E$97,'IN STORE SALES RECORD'!$A$6:$A$97, "WEEK 6",'IN STORE SALES RECORD'!$D$6:$D$97,'WHS STK MGT &amp; ALLOC.'!$A64)</f>
        <v>0</v>
      </c>
      <c r="V64" s="60">
        <f t="shared" si="49"/>
        <v>0</v>
      </c>
      <c r="W64" s="60">
        <f>SUMIFS('IN STORE SALES RECORD'!$E$6:$E$97,'IN STORE SALES RECORD'!$A$6:$A$97, "WEEK 6",'IN STORE SALES RECORD'!$D$6:$D$97,'WHS STK MGT &amp; ALLOC.'!$A64)</f>
        <v>0</v>
      </c>
      <c r="X64" s="60">
        <f t="shared" si="50"/>
        <v>0</v>
      </c>
      <c r="Y64" s="60">
        <f>SUMIFS('IN STORE SALES RECORD'!$E$6:$E$97,'IN STORE SALES RECORD'!$A$6:$A$97, "WEEK 6",'IN STORE SALES RECORD'!$D$6:$D$97,'WHS STK MGT &amp; ALLOC.'!$A64)</f>
        <v>0</v>
      </c>
    </row>
    <row r="65" spans="1:25">
      <c r="A65" s="27"/>
      <c r="B65" s="25"/>
      <c r="C65" s="25"/>
      <c r="D65" s="25"/>
      <c r="E65" s="26"/>
      <c r="F65" s="25"/>
      <c r="G65" s="94"/>
      <c r="H65" s="25"/>
      <c r="I65" s="60"/>
      <c r="J65" s="60"/>
      <c r="K65" s="60"/>
      <c r="L65" s="60"/>
      <c r="M65" s="60"/>
      <c r="N65" s="60"/>
      <c r="O65" s="60"/>
      <c r="P65" s="60"/>
      <c r="Q65" s="60"/>
      <c r="R65" s="60"/>
      <c r="S65" s="60"/>
      <c r="T65" s="60"/>
      <c r="U65" s="60"/>
      <c r="V65" s="60"/>
      <c r="W65" s="60"/>
      <c r="X65" s="60"/>
      <c r="Y65" s="60"/>
    </row>
    <row r="66" spans="1:25">
      <c r="A66" s="27"/>
      <c r="B66" s="25"/>
      <c r="C66" s="25"/>
      <c r="D66" s="25"/>
      <c r="E66" s="26"/>
      <c r="F66" s="25"/>
      <c r="G66" s="94"/>
      <c r="H66" s="25"/>
      <c r="I66" s="60"/>
      <c r="J66" s="60"/>
      <c r="K66" s="60"/>
      <c r="L66" s="60"/>
      <c r="M66" s="60"/>
      <c r="N66" s="60"/>
      <c r="O66" s="60"/>
      <c r="P66" s="60"/>
      <c r="Q66" s="60"/>
      <c r="R66" s="60"/>
      <c r="S66" s="60"/>
      <c r="T66" s="60"/>
      <c r="U66" s="60"/>
      <c r="V66" s="60"/>
      <c r="W66" s="60"/>
      <c r="X66" s="60"/>
      <c r="Y66" s="60"/>
    </row>
    <row r="67" spans="1:25">
      <c r="A67" s="27"/>
      <c r="B67" s="25"/>
      <c r="C67" s="25"/>
      <c r="D67" s="25"/>
      <c r="E67" s="26"/>
      <c r="F67" s="25"/>
      <c r="G67" s="94"/>
      <c r="H67" s="25"/>
      <c r="I67" s="60"/>
      <c r="J67" s="60"/>
      <c r="K67" s="60"/>
      <c r="L67" s="60"/>
      <c r="M67" s="60"/>
      <c r="N67" s="60"/>
      <c r="O67" s="60"/>
      <c r="P67" s="60"/>
      <c r="Q67" s="60"/>
      <c r="R67" s="60"/>
      <c r="S67" s="60"/>
      <c r="T67" s="60"/>
      <c r="U67" s="60"/>
      <c r="V67" s="60"/>
      <c r="W67" s="60"/>
      <c r="X67" s="60"/>
      <c r="Y67" s="60"/>
    </row>
    <row r="68" spans="1:25">
      <c r="A68" s="27"/>
      <c r="B68" s="25"/>
      <c r="C68" s="25"/>
      <c r="D68" s="25"/>
      <c r="E68" s="26"/>
      <c r="F68" s="25"/>
      <c r="G68" s="94"/>
      <c r="H68" s="25"/>
      <c r="I68" s="60"/>
      <c r="J68" s="60"/>
      <c r="K68" s="60"/>
      <c r="L68" s="60"/>
      <c r="M68" s="60"/>
      <c r="N68" s="60"/>
      <c r="O68" s="60"/>
      <c r="P68" s="60"/>
      <c r="Q68" s="60"/>
      <c r="R68" s="60"/>
      <c r="S68" s="60"/>
      <c r="T68" s="60"/>
      <c r="U68" s="60"/>
      <c r="V68" s="60"/>
      <c r="W68" s="60"/>
      <c r="X68" s="60"/>
      <c r="Y68" s="60"/>
    </row>
    <row r="69" spans="1:25">
      <c r="A69" s="27"/>
      <c r="B69" s="25"/>
      <c r="C69" s="25"/>
      <c r="D69" s="25"/>
      <c r="E69" s="26"/>
      <c r="F69" s="25"/>
      <c r="G69" s="94"/>
      <c r="H69" s="25"/>
      <c r="I69" s="60"/>
      <c r="J69" s="60"/>
      <c r="K69" s="60"/>
      <c r="L69" s="60"/>
      <c r="M69" s="60"/>
      <c r="N69" s="60"/>
      <c r="O69" s="60"/>
      <c r="P69" s="60"/>
      <c r="Q69" s="60"/>
      <c r="R69" s="60"/>
      <c r="S69" s="60"/>
      <c r="T69" s="60"/>
      <c r="U69" s="60"/>
      <c r="V69" s="60"/>
      <c r="W69" s="60"/>
      <c r="X69" s="60"/>
      <c r="Y69" s="60"/>
    </row>
    <row r="70" spans="1:25">
      <c r="A70" s="27"/>
      <c r="B70" s="25"/>
      <c r="C70" s="25"/>
      <c r="D70" s="25"/>
      <c r="E70" s="26"/>
      <c r="F70" s="25"/>
      <c r="G70" s="94"/>
      <c r="H70" s="25"/>
      <c r="I70" s="60"/>
      <c r="J70" s="60"/>
      <c r="K70" s="60"/>
      <c r="L70" s="60"/>
      <c r="M70" s="60"/>
      <c r="N70" s="60"/>
      <c r="O70" s="60"/>
      <c r="P70" s="60"/>
      <c r="Q70" s="60"/>
      <c r="R70" s="60"/>
      <c r="S70" s="60"/>
      <c r="T70" s="60"/>
      <c r="U70" s="60"/>
      <c r="V70" s="60"/>
      <c r="W70" s="60"/>
      <c r="X70" s="60"/>
      <c r="Y70" s="60"/>
    </row>
    <row r="71" spans="1:25">
      <c r="A71" s="27"/>
      <c r="B71" s="25"/>
      <c r="C71" s="25"/>
      <c r="D71" s="25"/>
      <c r="E71" s="26"/>
      <c r="F71" s="25"/>
      <c r="G71" s="94"/>
      <c r="H71" s="25"/>
      <c r="I71" s="60"/>
      <c r="J71" s="60"/>
      <c r="K71" s="60"/>
      <c r="L71" s="60"/>
      <c r="M71" s="60"/>
      <c r="N71" s="60"/>
      <c r="O71" s="60"/>
      <c r="P71" s="60"/>
      <c r="Q71" s="60"/>
      <c r="R71" s="60"/>
      <c r="S71" s="60"/>
      <c r="T71" s="60"/>
      <c r="U71" s="60"/>
      <c r="V71" s="60"/>
      <c r="W71" s="60"/>
      <c r="X71" s="60"/>
      <c r="Y71" s="60"/>
    </row>
    <row r="72" spans="1:25">
      <c r="A72" s="27"/>
      <c r="B72" s="25"/>
      <c r="C72" s="25"/>
      <c r="D72" s="25"/>
      <c r="E72" s="26"/>
      <c r="F72" s="25"/>
      <c r="G72" s="94"/>
      <c r="H72" s="25"/>
      <c r="I72" s="60"/>
      <c r="J72" s="60"/>
      <c r="K72" s="60"/>
      <c r="L72" s="60"/>
      <c r="M72" s="60"/>
      <c r="N72" s="60"/>
      <c r="O72" s="60"/>
      <c r="P72" s="60"/>
      <c r="Q72" s="60"/>
      <c r="R72" s="60"/>
      <c r="S72" s="60"/>
      <c r="T72" s="60"/>
      <c r="U72" s="60"/>
      <c r="V72" s="60"/>
      <c r="W72" s="60"/>
      <c r="X72" s="60"/>
      <c r="Y72" s="60"/>
    </row>
    <row r="73" spans="1:25">
      <c r="A73" s="27"/>
      <c r="B73" s="25"/>
      <c r="C73" s="25"/>
      <c r="D73" s="25"/>
      <c r="E73" s="26"/>
      <c r="F73" s="25"/>
      <c r="G73" s="94"/>
      <c r="H73" s="25"/>
      <c r="I73" s="60"/>
      <c r="J73" s="60"/>
      <c r="K73" s="60"/>
      <c r="L73" s="60"/>
      <c r="M73" s="60"/>
      <c r="N73" s="60"/>
      <c r="O73" s="60"/>
      <c r="P73" s="60"/>
      <c r="Q73" s="60"/>
      <c r="R73" s="60"/>
      <c r="S73" s="60"/>
      <c r="T73" s="60"/>
      <c r="U73" s="60"/>
      <c r="V73" s="60"/>
      <c r="W73" s="60"/>
      <c r="X73" s="60"/>
      <c r="Y73" s="60"/>
    </row>
    <row r="74" spans="1:25">
      <c r="A74" s="27"/>
      <c r="B74" s="25"/>
      <c r="C74" s="25"/>
      <c r="D74" s="25"/>
      <c r="E74" s="26"/>
      <c r="F74" s="25"/>
      <c r="G74" s="94"/>
      <c r="H74" s="25"/>
      <c r="I74" s="60"/>
      <c r="J74" s="60"/>
      <c r="K74" s="60"/>
      <c r="L74" s="60"/>
      <c r="M74" s="60"/>
      <c r="N74" s="60"/>
      <c r="O74" s="60"/>
      <c r="P74" s="60"/>
      <c r="Q74" s="60"/>
      <c r="R74" s="60"/>
      <c r="S74" s="60"/>
      <c r="T74" s="60"/>
      <c r="U74" s="60"/>
      <c r="V74" s="60"/>
      <c r="W74" s="60"/>
      <c r="X74" s="60"/>
      <c r="Y74" s="60"/>
    </row>
    <row r="75" spans="1:25">
      <c r="A75" s="27"/>
      <c r="B75" s="25"/>
      <c r="C75" s="25"/>
      <c r="D75" s="25"/>
      <c r="E75" s="26"/>
      <c r="F75" s="25"/>
      <c r="G75" s="94"/>
      <c r="H75" s="25"/>
      <c r="I75" s="60"/>
      <c r="J75" s="60"/>
      <c r="K75" s="60"/>
      <c r="L75" s="60"/>
      <c r="M75" s="60"/>
      <c r="N75" s="60"/>
      <c r="O75" s="60"/>
      <c r="P75" s="60"/>
      <c r="Q75" s="60"/>
      <c r="R75" s="60"/>
      <c r="S75" s="60"/>
      <c r="T75" s="60"/>
      <c r="U75" s="60"/>
      <c r="V75" s="60"/>
      <c r="W75" s="60"/>
      <c r="X75" s="60"/>
      <c r="Y75" s="60"/>
    </row>
    <row r="76" spans="1:25">
      <c r="A76" s="27"/>
      <c r="B76" s="25"/>
      <c r="C76" s="25"/>
      <c r="D76" s="25"/>
      <c r="E76" s="26"/>
      <c r="F76" s="25"/>
      <c r="G76" s="94"/>
      <c r="H76" s="25"/>
      <c r="I76" s="60"/>
      <c r="J76" s="60"/>
      <c r="K76" s="60"/>
      <c r="L76" s="60"/>
      <c r="M76" s="60"/>
      <c r="N76" s="60"/>
      <c r="O76" s="60"/>
      <c r="P76" s="60"/>
      <c r="Q76" s="60"/>
      <c r="R76" s="60"/>
      <c r="S76" s="60"/>
      <c r="T76" s="60"/>
      <c r="U76" s="60"/>
      <c r="V76" s="60"/>
      <c r="W76" s="60"/>
      <c r="X76" s="60"/>
      <c r="Y76" s="60"/>
    </row>
    <row r="77" spans="1:25">
      <c r="A77" s="27"/>
      <c r="B77" s="25"/>
      <c r="C77" s="25"/>
      <c r="D77" s="25"/>
      <c r="E77" s="26"/>
      <c r="F77" s="25"/>
      <c r="G77" s="94"/>
      <c r="H77" s="25"/>
      <c r="I77" s="60"/>
      <c r="J77" s="60"/>
      <c r="K77" s="60"/>
      <c r="L77" s="60"/>
      <c r="M77" s="60"/>
      <c r="N77" s="60"/>
      <c r="O77" s="60"/>
      <c r="P77" s="60"/>
      <c r="Q77" s="60"/>
      <c r="R77" s="60"/>
      <c r="S77" s="60"/>
      <c r="T77" s="60"/>
      <c r="U77" s="60"/>
      <c r="V77" s="60"/>
      <c r="W77" s="60"/>
      <c r="X77" s="60"/>
      <c r="Y77" s="60"/>
    </row>
    <row r="78" spans="1:25">
      <c r="A78" s="27"/>
      <c r="B78" s="25"/>
      <c r="C78" s="25"/>
      <c r="D78" s="25"/>
      <c r="E78" s="26"/>
      <c r="F78" s="25"/>
      <c r="G78" s="94"/>
      <c r="H78" s="25"/>
      <c r="I78" s="60"/>
      <c r="J78" s="60"/>
      <c r="K78" s="60"/>
      <c r="L78" s="60"/>
      <c r="M78" s="60"/>
      <c r="N78" s="60"/>
      <c r="O78" s="60"/>
      <c r="P78" s="60"/>
      <c r="Q78" s="60"/>
      <c r="R78" s="60"/>
      <c r="S78" s="60"/>
      <c r="T78" s="60"/>
      <c r="U78" s="60"/>
      <c r="V78" s="60"/>
      <c r="W78" s="60"/>
      <c r="X78" s="60"/>
      <c r="Y78" s="60"/>
    </row>
    <row r="79" spans="1:25">
      <c r="A79" s="27"/>
      <c r="B79" s="25"/>
      <c r="C79" s="25"/>
      <c r="D79" s="25"/>
      <c r="E79" s="26"/>
      <c r="F79" s="25"/>
      <c r="G79" s="94"/>
      <c r="H79" s="25"/>
      <c r="I79" s="60"/>
      <c r="J79" s="60"/>
      <c r="K79" s="60"/>
      <c r="L79" s="60"/>
      <c r="M79" s="60"/>
      <c r="N79" s="60"/>
      <c r="O79" s="60"/>
      <c r="P79" s="60"/>
      <c r="Q79" s="60"/>
      <c r="R79" s="60"/>
      <c r="S79" s="60"/>
      <c r="T79" s="60"/>
      <c r="U79" s="60"/>
      <c r="V79" s="60"/>
      <c r="W79" s="60"/>
      <c r="X79" s="60"/>
      <c r="Y79" s="60"/>
    </row>
  </sheetData>
  <mergeCells count="2">
    <mergeCell ref="A1:XFD3"/>
    <mergeCell ref="J4:Q5"/>
  </mergeCells>
  <phoneticPr fontId="22" type="noConversion"/>
  <conditionalFormatting sqref="I7:I1048576">
    <cfRule type="cellIs" dxfId="2" priority="1" operator="lessThan">
      <formula>40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64"/>
  <sheetViews>
    <sheetView zoomScale="51" zoomScaleNormal="79" workbookViewId="0">
      <selection activeCell="J11" sqref="J11"/>
    </sheetView>
  </sheetViews>
  <sheetFormatPr defaultColWidth="8.85546875" defaultRowHeight="15"/>
  <cols>
    <col min="1" max="1" width="16.28515625" style="59" customWidth="1"/>
    <col min="2" max="2" width="23.5703125" style="81" customWidth="1"/>
    <col min="3" max="3" width="16.7109375" style="59" customWidth="1"/>
    <col min="4" max="4" width="25.5703125" style="59" customWidth="1"/>
    <col min="5" max="5" width="40.7109375" style="74" customWidth="1"/>
    <col min="6" max="6" width="18.7109375" style="59" customWidth="1"/>
    <col min="7" max="7" width="13" style="2" customWidth="1"/>
    <col min="8" max="8" width="28" style="59" customWidth="1"/>
    <col min="9" max="9" width="26.5703125" style="59" customWidth="1"/>
    <col min="10" max="10" width="33.42578125" style="59" customWidth="1"/>
    <col min="11" max="11" width="25.5703125" style="59" customWidth="1"/>
    <col min="12" max="12" width="20.7109375" style="59" customWidth="1"/>
    <col min="13" max="13" width="31" style="59" customWidth="1"/>
    <col min="14" max="14" width="38.42578125" style="59" customWidth="1"/>
    <col min="15" max="15" width="22.7109375" style="59" customWidth="1"/>
    <col min="16" max="16" width="15.7109375" style="59" customWidth="1"/>
    <col min="17" max="17" width="17" style="59" customWidth="1"/>
    <col min="18" max="18" width="19" style="59" customWidth="1"/>
    <col min="19" max="19" width="23.28515625" style="59" customWidth="1"/>
    <col min="20" max="20" width="26.140625" style="59" customWidth="1"/>
    <col min="21" max="21" width="19.42578125" style="59" customWidth="1"/>
    <col min="22" max="22" width="21.28515625" style="59" customWidth="1"/>
    <col min="23" max="23" width="31.85546875" style="59" customWidth="1"/>
    <col min="24" max="24" width="20.7109375" style="59" customWidth="1"/>
    <col min="25" max="25" width="19.42578125" style="59" customWidth="1"/>
    <col min="26" max="26" width="18.7109375" style="59" customWidth="1"/>
    <col min="27" max="27" width="15.28515625" style="59" customWidth="1"/>
    <col min="28" max="29" width="21" style="59" customWidth="1"/>
    <col min="30" max="30" width="18.5703125" style="59" customWidth="1"/>
    <col min="31" max="31" width="16" style="59" customWidth="1"/>
    <col min="32" max="16384" width="8.85546875" style="59"/>
  </cols>
  <sheetData>
    <row r="1" spans="1:50" s="125" customFormat="1" ht="14.45" customHeight="1">
      <c r="A1" s="125" t="s">
        <v>39</v>
      </c>
    </row>
    <row r="2" spans="1:50" s="125" customFormat="1" ht="14.45" customHeight="1"/>
    <row r="3" spans="1:50" s="125" customFormat="1" ht="14.45" customHeight="1"/>
    <row r="4" spans="1:50" s="1" customFormat="1" ht="30.6" customHeight="1">
      <c r="A4" s="126" t="s">
        <v>40</v>
      </c>
      <c r="B4" s="127"/>
      <c r="C4" s="127"/>
      <c r="D4" s="127"/>
      <c r="E4" s="127"/>
      <c r="F4" s="127"/>
      <c r="G4" s="127"/>
      <c r="H4" s="127"/>
      <c r="I4" s="127"/>
      <c r="J4" s="127"/>
      <c r="K4" s="127"/>
      <c r="L4" s="127"/>
      <c r="M4" s="128"/>
      <c r="N4" s="70" t="s">
        <v>41</v>
      </c>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row>
    <row r="5" spans="1:50" ht="19.899999999999999" customHeight="1">
      <c r="A5" s="127"/>
      <c r="B5" s="127"/>
      <c r="C5" s="127"/>
      <c r="D5" s="127"/>
      <c r="E5" s="127"/>
      <c r="F5" s="127"/>
      <c r="G5" s="127"/>
      <c r="H5" s="127"/>
      <c r="I5" s="127"/>
      <c r="J5" s="127"/>
      <c r="K5" s="127"/>
      <c r="L5" s="127"/>
      <c r="M5" s="128"/>
      <c r="N5" s="36" t="s">
        <v>42</v>
      </c>
      <c r="O5" s="36"/>
      <c r="P5" s="36" t="s">
        <v>66</v>
      </c>
      <c r="Q5" s="36"/>
      <c r="R5" s="36"/>
      <c r="S5" s="36"/>
      <c r="T5" s="36" t="s">
        <v>43</v>
      </c>
      <c r="U5" s="36">
        <v>1</v>
      </c>
      <c r="V5" s="36"/>
      <c r="W5" s="36"/>
      <c r="X5" s="36"/>
      <c r="Y5" s="36"/>
      <c r="Z5" s="36"/>
      <c r="AA5" s="36"/>
      <c r="AB5" s="36"/>
      <c r="AC5" s="36"/>
      <c r="AD5" s="36"/>
      <c r="AE5" s="36"/>
      <c r="AF5" s="36"/>
      <c r="AG5" s="36"/>
      <c r="AH5" s="36"/>
      <c r="AI5" s="36"/>
      <c r="AJ5" s="36"/>
      <c r="AK5" s="36"/>
      <c r="AL5" s="36"/>
      <c r="AM5" s="36"/>
      <c r="AN5" s="36"/>
      <c r="AO5" s="36"/>
      <c r="AP5" s="36"/>
      <c r="AQ5" s="36"/>
      <c r="AR5" s="71"/>
      <c r="AS5" s="71"/>
      <c r="AT5" s="71"/>
      <c r="AU5" s="71"/>
      <c r="AV5" s="71"/>
      <c r="AW5" s="72"/>
      <c r="AX5" s="72"/>
    </row>
    <row r="6" spans="1:50" s="18" customFormat="1" ht="15.75">
      <c r="A6" s="18" t="s">
        <v>5</v>
      </c>
      <c r="B6" s="68" t="s">
        <v>6</v>
      </c>
      <c r="C6" s="18" t="s">
        <v>3</v>
      </c>
      <c r="D6" s="18" t="s">
        <v>4</v>
      </c>
      <c r="E6" s="73" t="s">
        <v>7</v>
      </c>
      <c r="F6" s="18" t="s">
        <v>8</v>
      </c>
      <c r="G6" s="23" t="s">
        <v>9</v>
      </c>
      <c r="H6" s="18" t="s">
        <v>44</v>
      </c>
      <c r="I6" s="18" t="s">
        <v>45</v>
      </c>
      <c r="J6" s="18" t="s">
        <v>46</v>
      </c>
      <c r="K6" s="18" t="s">
        <v>47</v>
      </c>
      <c r="L6" s="18" t="s">
        <v>48</v>
      </c>
      <c r="M6" s="18" t="s">
        <v>49</v>
      </c>
      <c r="N6" s="18" t="s">
        <v>75</v>
      </c>
      <c r="O6" s="18" t="s">
        <v>51</v>
      </c>
      <c r="P6" s="18" t="s">
        <v>52</v>
      </c>
      <c r="Q6" s="18" t="s">
        <v>53</v>
      </c>
      <c r="R6" s="18" t="s">
        <v>48</v>
      </c>
      <c r="S6" s="18" t="s">
        <v>54</v>
      </c>
      <c r="T6" s="18" t="s">
        <v>55</v>
      </c>
      <c r="U6" s="18" t="s">
        <v>56</v>
      </c>
      <c r="V6" s="18" t="s">
        <v>57</v>
      </c>
    </row>
    <row r="7" spans="1:50" s="77" customFormat="1" ht="45">
      <c r="A7" s="39" t="s">
        <v>99</v>
      </c>
      <c r="B7" s="98" t="str">
        <f>IFERROR(INDEX('REFERENCING &amp; DATABASE'!$E$7:$E$131,MATCH($A7,'REFERENCING &amp; DATABASE'!$D$7:$D$131,0)),"")</f>
        <v>Cozy Comfort Tee</v>
      </c>
      <c r="C7" s="28" t="str">
        <f>IFERROR(INDEX('REFERENCING &amp; DATABASE'!$B$7:$B$131,MATCH($A7,'REFERENCING &amp; DATABASE'!$D$7:$D$131,0)),"")</f>
        <v>TOPS</v>
      </c>
      <c r="D7" s="28" t="str">
        <f>IFERROR(INDEX('REFERENCING &amp; DATABASE'!$C$7:$C$131,MATCH($A7,'REFERENCING &amp; DATABASE'!$D$7:$D$131,0)),"")</f>
        <v>TEES</v>
      </c>
      <c r="E7" s="41" t="str">
        <f>IFERROR(INDEX('REFERENCING &amp; DATABASE'!$F$7:$F$131,MATCH($A7,'REFERENCING &amp; DATABASE'!$D$7:$D$131,0)),"")</f>
        <v xml:space="preserve"> A relaxed-fit tee made from super-soft cotton, perfect for everyday wear. 
</v>
      </c>
      <c r="F7" s="28" t="str">
        <f>IFERROR(INDEX('REFERENCING &amp; DATABASE'!$G$7:$G$131,MATCH($A7,'REFERENCING &amp; DATABASE'!$D$7:$D$131,0)),"")</f>
        <v>Grey,Black,Blue</v>
      </c>
      <c r="G7" s="39">
        <f>IFERROR(INDEX('REFERENCING &amp; DATABASE'!$H$7:$H$131,MATCH($A7,'REFERENCING &amp; DATABASE'!$D$7:$D$131,0)),"")</f>
        <v>58</v>
      </c>
      <c r="H7" s="28">
        <f>IFERROR(INDEX('WHS STK MGT &amp; ALLOC.'!$I:$I,MATCH($A7,'WHS STK MGT &amp; ALLOC.'!$A:$A,0)),"")</f>
        <v>400</v>
      </c>
      <c r="I7" s="60">
        <f>SUM('WHS STK MGT &amp; ALLOC.'!$K7,'WHS STK MGT &amp; ALLOC.'!$M7,'WHS STK MGT &amp; ALLOC.'!$O7,'WHS STK MGT &amp; ALLOC.'!$Q7,'WHS STK MGT &amp; ALLOC.'!$S7,'WHS STK MGT &amp; ALLOC.'!$U7,'WHS STK MGT &amp; ALLOC.'!$W7,'WHS STK MGT &amp; ALLOC.'!$Y7)</f>
        <v>50</v>
      </c>
      <c r="J7" s="60">
        <f>SUMIF('IN STORE SALES RECORD'!$D:$D,'STORE STK &amp; SALES MGT'!$A7,'IN STORE SALES RECORD'!$E:$E)</f>
        <v>40</v>
      </c>
      <c r="K7" s="60">
        <f>SUMIF('IN STORE SALES RECORD'!$D:$D,'STORE STK &amp; SALES MGT'!$A7,'IN STORE SALES RECORD'!$H:$H)</f>
        <v>1400</v>
      </c>
      <c r="L7" s="60">
        <f t="shared" ref="L7:L14" si="0">IFERROR(ROUND(($K7/(SUM($K:$K))) * 100,3),"")</f>
        <v>3.431</v>
      </c>
      <c r="M7" s="60">
        <f>IFERROR(ROUND($J7/$I7 * 100,2),"")</f>
        <v>80</v>
      </c>
      <c r="N7" s="60" cm="1">
        <f t="array" ref="N7">_xlfn.IFS($P$5 = "WEEK 1",'WHS STK MGT &amp; ALLOC.'!$K7,$P$5 = "WEEK 2",'WHS STK MGT &amp; ALLOC.'!$M7,$P$5 = "WEEK 3",'WHS STK MGT &amp; ALLOC.'!$O7,$P$5 = "WEEK 4",'WHS STK MGT &amp; ALLOC.'!Q7,$P$5 ="WEEK 5",'WHS STK MGT &amp; ALLOC.'!$S7,$P$5 ="WEEK 6",'WHS STK MGT &amp; ALLOC.'!$U7,$P$5 ="WEEK 7",'WHS STK MGT &amp; ALLOC.'!$W7,$P$5 ="WEEK 6",'WHS STK MGT &amp; ALLOC.'!$Y7)</f>
        <v>50</v>
      </c>
      <c r="O7" s="60" cm="1">
        <f t="array" ref="O7">_xlfn.SWITCH($P$5,
"WEEK 1",'WHS STK MGT &amp; ALLOC.'!$H7,
"WEEK 2",'WHS STK MGT &amp; ALLOC.'!$H7-'WHS STK MGT &amp; ALLOC.'!$K7,
"WEEK 3",'WHS STK MGT &amp; ALLOC.'!$H7-('WHS STK MGT &amp; ALLOC.'!$K7+'WHS STK MGT &amp; ALLOC.'!$M7),
"WEEK 4",'WHS STK MGT &amp; ALLOC.'!$H7-('WHS STK MGT &amp; ALLOC.'!$K7+'WHS STK MGT &amp; ALLOC.'!$M7+'WHS STK MGT &amp; ALLOC.'!$O7),
"WEEK 5",'WHS STK MGT &amp; ALLOC.'!$H7-('WHS STK MGT &amp; ALLOC.'!$K7+'WHS STK MGT &amp; ALLOC.'!$M7+'WHS STK MGT &amp; ALLOC.'!$O7+'WHS STK MGT &amp; ALLOC.'!$Q7),
"WEEK 6",'WHS STK MGT &amp; ALLOC.'!$H7-('WHS STK MGT &amp; ALLOC.'!$K7+'WHS STK MGT &amp; ALLOC.'!$M7+'WHS STK MGT &amp; ALLOC.'!$O7+'WHS STK MGT &amp; ALLOC.'!$Q7+'WHS STK MGT &amp; ALLOC.'!$S7),
"WEEK 7",'WHS STK MGT &amp; ALLOC.'!$H7-('WHS STK MGT &amp; ALLOC.'!$K7+'WHS STK MGT &amp; ALLOC.'!$M7+'WHS STK MGT &amp; ALLOC.'!$O7+'WHS STK MGT &amp; ALLOC.'!$Q7+'WHS STK MGT &amp; ALLOC.'!$S7+'WHS STK MGT &amp; ALLOC.'!$U7),
"WEEK 8",'WHS STK MGT &amp; ALLOC.'!$H7-('WHS STK MGT &amp; ALLOC.'!$K7+'WHS STK MGT &amp; ALLOC.'!$M7+'WHS STK MGT &amp; ALLOC.'!$O7+'WHS STK MGT &amp; ALLOC.'!$Q7+'WHS STK MGT &amp; ALLOC.'!$S7+'WHS STK MGT &amp; ALLOC.'!$U7+'WHS STK MGT &amp; ALLOC.'!$W7
))</f>
        <v>450</v>
      </c>
      <c r="P7" s="60">
        <f>SUMIFS('IN STORE SALES RECORD'!$E:$E,'IN STORE SALES RECORD'!$D:$D,'STORE STK &amp; SALES MGT'!$A7,'IN STORE SALES RECORD'!$A:$A,'STORE STK &amp; SALES MGT'!$P$5)</f>
        <v>40</v>
      </c>
      <c r="Q7" s="60">
        <f>SUMIFS('IN STORE SALES RECORD'!$H:$H,'IN STORE SALES RECORD'!$D:$D,'STORE STK &amp; SALES MGT'!$A7,'IN STORE SALES RECORD'!$A:$A,'STORE STK &amp; SALES MGT'!$P$5)</f>
        <v>1400</v>
      </c>
      <c r="R7" s="60">
        <f>IFERROR(ROUND(Q7/SUMIF('IN STORE SALES RECORD'!$A:$A,'STORE STK &amp; SALES MGT'!$P$5,'IN STORE SALES RECORD'!$H:$H)*100,3),"")</f>
        <v>6.984</v>
      </c>
      <c r="S7" s="60" cm="1">
        <f t="array" ref="S7">_xlfn.IFS($P$5 ="WEEK 1",'WHS STK MGT &amp; ALLOC.'!$H7-'WHS STK MGT &amp; ALLOC.'!$K7,$P$5 ="WEEK 2",'WHS STK MGT &amp; ALLOC.'!H7-('WHS STK MGT &amp; ALLOC.'!$K7+'WHS STK MGT &amp; ALLOC.'!$M7),$P$5 ="WEEK 3",'WHS STK MGT &amp; ALLOC.'!$H7-'WHS STK MGT &amp; ALLOC.'!$K7-'WHS STK MGT &amp; ALLOC.'!$M7-'WHS STK MGT &amp; ALLOC.'!$O7,$P$5 = "WEEK 4",'WHS STK MGT &amp; ALLOC.'!H7-'WHS STK MGT &amp; ALLOC.'!$K7-'WHS STK MGT &amp; ALLOC.'!$M7-'WHS STK MGT &amp; ALLOC.'!$O7-'WHS STK MGT &amp; ALLOC.'!$Q7,$P$5 = "WEEK 5",'WHS STK MGT &amp; ALLOC.'!H7-'WHS STK MGT &amp; ALLOC.'!$K7-'WHS STK MGT &amp; ALLOC.'!$M7-'WHS STK MGT &amp; ALLOC.'!$O7-'WHS STK MGT &amp; ALLOC.'!$Q7-'WHS STK MGT &amp; ALLOC.'!$S7)</f>
        <v>400</v>
      </c>
      <c r="T7" s="99">
        <f>SUMIFS('IN STORE SALES RECORD'!$E:$E,'IN STORE SALES RECORD'!$D:$D,'STORE STK &amp; SALES MGT'!$A7,'IN STORE SALES RECORD'!$C:$C,'STORE STK &amp; SALES MGT'!$U$5)</f>
        <v>40</v>
      </c>
      <c r="U7" s="60">
        <f>SUMIFS('IN STORE SALES RECORD'!$H:$H,'IN STORE SALES RECORD'!$D:$D,'STORE STK &amp; SALES MGT'!$A7,'IN STORE SALES RECORD'!$C:$C,'STORE STK &amp; SALES MGT'!$U$5)</f>
        <v>1400</v>
      </c>
      <c r="V7" s="99">
        <f>IFERROR(ROUND(SUMIFS('IN STORE SALES RECORD'!$H:$H,'IN STORE SALES RECORD'!$C:$C,'STORE STK &amp; SALES MGT'!$U$5,'STORE STK &amp; SALES MGT'!$A:$A,'STORE STK &amp; SALES MGT'!$A7)/SUMIF('IN STORE SALES RECORD'!$C:$C,'STORE STK &amp; SALES MGT'!$U$5,'IN STORE SALES RECORD'!$H:$H)*100,3),"")</f>
        <v>6.8630000000000004</v>
      </c>
      <c r="W7" s="60"/>
      <c r="X7" s="60"/>
      <c r="Y7" s="60"/>
      <c r="AA7" s="60"/>
      <c r="AB7" s="60"/>
      <c r="AF7" s="60"/>
      <c r="AG7" s="60"/>
      <c r="AH7" s="60"/>
      <c r="AJ7" s="60"/>
      <c r="AN7" s="60"/>
      <c r="AO7" s="60"/>
      <c r="AP7" s="60"/>
    </row>
    <row r="8" spans="1:50" s="77" customFormat="1" ht="45">
      <c r="A8" s="27" t="s">
        <v>249</v>
      </c>
      <c r="B8" s="98" t="str">
        <f>IFERROR(INDEX('REFERENCING &amp; DATABASE'!$E$7:$E$131,MATCH($A8,'REFERENCING &amp; DATABASE'!$D$7:$D$131,0)),"")</f>
        <v>Graphic Statement Tee</v>
      </c>
      <c r="C8" s="28" t="str">
        <f>IFERROR(INDEX('REFERENCING &amp; DATABASE'!$B$7:$B$131,MATCH($A8,'REFERENCING &amp; DATABASE'!$D$7:$D$131,0)),"")</f>
        <v>TOPS</v>
      </c>
      <c r="D8" s="28" t="str">
        <f>IFERROR(INDEX('REFERENCING &amp; DATABASE'!$C$7:$C$131,MATCH($A8,'REFERENCING &amp; DATABASE'!$D$7:$D$131,0)),"")</f>
        <v>TEES</v>
      </c>
      <c r="E8" s="41" t="str">
        <f>IFERROR(INDEX('REFERENCING &amp; DATABASE'!$F$7:$F$131,MATCH($A8,'REFERENCING &amp; DATABASE'!$D$7:$D$131,0)),"")</f>
        <v xml:space="preserve">
A bold graphic tee that expresses your unique style. </v>
      </c>
      <c r="F8" s="28" t="str">
        <f>IFERROR(INDEX('REFERENCING &amp; DATABASE'!$G$7:$G$131,MATCH($A8,'REFERENCING &amp; DATABASE'!$D$7:$D$131,0)),"")</f>
        <v>Blue,Black,White</v>
      </c>
      <c r="G8" s="39">
        <f>IFERROR(INDEX('REFERENCING &amp; DATABASE'!$H$7:$H$131,MATCH($A8,'REFERENCING &amp; DATABASE'!$D$7:$D$131,0)),"")</f>
        <v>58</v>
      </c>
      <c r="H8" s="28">
        <f>IFERROR(INDEX('WHS STK MGT &amp; ALLOC.'!$I:$I,MATCH($A8,'WHS STK MGT &amp; ALLOC.'!$A:$A,0)),"")</f>
        <v>290</v>
      </c>
      <c r="I8" s="60">
        <f>SUM('WHS STK MGT &amp; ALLOC.'!$K8,'WHS STK MGT &amp; ALLOC.'!$M8,'WHS STK MGT &amp; ALLOC.'!$O8,'WHS STK MGT &amp; ALLOC.'!$Q8,'WHS STK MGT &amp; ALLOC.'!$S8,'WHS STK MGT &amp; ALLOC.'!$U8,'WHS STK MGT &amp; ALLOC.'!$W8,'WHS STK MGT &amp; ALLOC.'!$Y8)</f>
        <v>10</v>
      </c>
      <c r="J8" s="60">
        <f>SUMIF('IN STORE SALES RECORD'!$D:$D,'STORE STK &amp; SALES MGT'!$A8,'IN STORE SALES RECORD'!$E:$E)</f>
        <v>0</v>
      </c>
      <c r="K8" s="60">
        <f>SUMIF('IN STORE SALES RECORD'!$D:$D,'STORE STK &amp; SALES MGT'!$A8,'IN STORE SALES RECORD'!$H:$H)</f>
        <v>0</v>
      </c>
      <c r="L8" s="60">
        <f t="shared" si="0"/>
        <v>0</v>
      </c>
      <c r="M8" s="60">
        <f t="shared" ref="M8:M14" si="1">IFERROR(ROUND($J8/$I8 * 100,2),"")</f>
        <v>0</v>
      </c>
      <c r="N8" s="60" cm="1">
        <f t="array" ref="N8">_xlfn.IFS($P$5 = "WEEK 1",'WHS STK MGT &amp; ALLOC.'!$K8,$P$5 = "WEEK 2",'WHS STK MGT &amp; ALLOC.'!$M8,$P$5 = "WEEK 3",'WHS STK MGT &amp; ALLOC.'!$O8,$P$5 = "WEEK 4",'WHS STK MGT &amp; ALLOC.'!Q8,$P$5 ="WEEK 5",'WHS STK MGT &amp; ALLOC.'!$S8)</f>
        <v>10</v>
      </c>
      <c r="O8" s="60" cm="1">
        <f t="array" ref="O8">_xlfn.SWITCH($P$5,
  "WEEK 1", 'WHS STK MGT &amp; ALLOC.'!$H8,
  "WEEK 2", 'WHS STK MGT &amp; ALLOC.'!$H8 - 'WHS STK MGT &amp; ALLOC.'!$K8,
  "WEEK 3", 'WHS STK MGT &amp; ALLOC.'!$H8 - ('WHS STK MGT &amp; ALLOC.'!$K8 + 'WHS STK MGT &amp; ALLOC.'!$M8),
  "WEEK 4", 'WHS STK MGT &amp; ALLOC.'!$H8 - ('WHS STK MGT &amp; ALLOC.'!$K8 + 'WHS STK MGT &amp; ALLOC.'!$M8 + 'WHS STK MGT &amp; ALLOC.'!$O8),
  "WEEK 5", 'WHS STK MGT &amp; ALLOC.'!$H8 - ('WHS STK MGT &amp; ALLOC.'!$K8 + 'WHS STK MGT &amp; ALLOC.'!$M8 + 'WHS STK MGT &amp; ALLOC.'!$O8 + 'WHS STK MGT &amp; ALLOC.'!$Q8),
  "WEEK 6", 'WHS STK MGT &amp; ALLOC.'!$H8 - ('WHS STK MGT &amp; ALLOC.'!$K8 + 'WHS STK MGT &amp; ALLOC.'!$M8 + 'WHS STK MGT &amp; ALLOC.'!$O8 + 'WHS STK MGT &amp; ALLOC.'!$Q8 + 'WHS STK MGT &amp; ALLOC.'!$S8),
  "WEEK 7", 'WHS STK MGT &amp; ALLOC.'!$H8 - ('WHS STK MGT &amp; ALLOC.'!$K8 + 'WHS STK MGT &amp; ALLOC.'!$M8 + 'WHS STK MGT &amp; ALLOC.'!$O8 + 'WHS STK MGT &amp; ALLOC.'!$Q8 + 'WHS STK MGT &amp; ALLOC.'!$S8 + 'WHS STK MGT &amp; ALLOC.'!$U8),
  "Other Weeks", 0
)</f>
        <v>300</v>
      </c>
      <c r="P8" s="60">
        <f>SUMIFS('IN STORE SALES RECORD'!$E:$E,'IN STORE SALES RECORD'!$D:$D,'STORE STK &amp; SALES MGT'!$A8,'IN STORE SALES RECORD'!$A:$A,'STORE STK &amp; SALES MGT'!$P$5)</f>
        <v>0</v>
      </c>
      <c r="Q8" s="60">
        <f>SUMIFS('IN STORE SALES RECORD'!$H:$H,'IN STORE SALES RECORD'!$D:$D,'STORE STK &amp; SALES MGT'!$A8,'IN STORE SALES RECORD'!$A:$A,'STORE STK &amp; SALES MGT'!$P$5)</f>
        <v>0</v>
      </c>
      <c r="R8" s="60">
        <f>IFERROR(ROUND(Q8/SUMIF('IN STORE SALES RECORD'!$A:$A,'STORE STK &amp; SALES MGT'!$P$5,'IN STORE SALES RECORD'!$H:$H)*100,3),"")</f>
        <v>0</v>
      </c>
      <c r="S8" s="60" cm="1">
        <f t="array" ref="S8">_xlfn.IFS($P$5 ="WEEK 1",'WHS STK MGT &amp; ALLOC.'!$H8-'WHS STK MGT &amp; ALLOC.'!$K8,$P$5 ="WEEK 2",'WHS STK MGT &amp; ALLOC.'!H8-('WHS STK MGT &amp; ALLOC.'!$K8+'WHS STK MGT &amp; ALLOC.'!$M8),$P$5 ="WEEK 3",'WHS STK MGT &amp; ALLOC.'!$H8-'WHS STK MGT &amp; ALLOC.'!$K8-'WHS STK MGT &amp; ALLOC.'!$M8-'WHS STK MGT &amp; ALLOC.'!$O8,$P$5 = "WEEK 4",'WHS STK MGT &amp; ALLOC.'!H8-'WHS STK MGT &amp; ALLOC.'!$K8-'WHS STK MGT &amp; ALLOC.'!$M8-'WHS STK MGT &amp; ALLOC.'!$O8-'WHS STK MGT &amp; ALLOC.'!$Q8,$P$5 = "WEEK 5",'WHS STK MGT &amp; ALLOC.'!H8-'WHS STK MGT &amp; ALLOC.'!$K8-'WHS STK MGT &amp; ALLOC.'!$M8-'WHS STK MGT &amp; ALLOC.'!$O8-'WHS STK MGT &amp; ALLOC.'!$Q8-'WHS STK MGT &amp; ALLOC.'!$S8)</f>
        <v>290</v>
      </c>
      <c r="T8" s="99">
        <f>SUMIFS('IN STORE SALES RECORD'!$E:$E,'IN STORE SALES RECORD'!$D:$D,'STORE STK &amp; SALES MGT'!$A8,'IN STORE SALES RECORD'!$C:$C,'STORE STK &amp; SALES MGT'!$U$5)</f>
        <v>0</v>
      </c>
      <c r="U8" s="60">
        <f>SUMIFS('IN STORE SALES RECORD'!$H:$H,'IN STORE SALES RECORD'!$D:$D,'STORE STK &amp; SALES MGT'!$A8,'IN STORE SALES RECORD'!$C:$C,'STORE STK &amp; SALES MGT'!$U$5)</f>
        <v>0</v>
      </c>
      <c r="V8" s="99">
        <f>IFERROR(ROUND(SUMIFS('IN STORE SALES RECORD'!$H:$H,'IN STORE SALES RECORD'!$C:$C,'STORE STK &amp; SALES MGT'!$U$5,'STORE STK &amp; SALES MGT'!$A:$A,'STORE STK &amp; SALES MGT'!$A8)/SUMIF('IN STORE SALES RECORD'!$C:$C,'STORE STK &amp; SALES MGT'!$U$5,'IN STORE SALES RECORD'!$H:$H)*100,3),"")</f>
        <v>4.5960000000000001</v>
      </c>
      <c r="W8" s="60"/>
      <c r="X8" s="60"/>
      <c r="AA8" s="60"/>
      <c r="AB8" s="60"/>
    </row>
    <row r="9" spans="1:50" s="77" customFormat="1" ht="30">
      <c r="A9" s="27" t="s">
        <v>113</v>
      </c>
      <c r="B9" s="98" t="str">
        <f>IFERROR(INDEX('REFERENCING &amp; DATABASE'!$E$7:$E$131,MATCH($A9,'REFERENCING &amp; DATABASE'!$D$7:$D$131,0)),"")</f>
        <v>Classic Button-Down Shirt</v>
      </c>
      <c r="C9" s="28" t="str">
        <f>IFERROR(INDEX('REFERENCING &amp; DATABASE'!$B$7:$B$131,MATCH($A9,'REFERENCING &amp; DATABASE'!$D$7:$D$131,0)),"")</f>
        <v>TOPS</v>
      </c>
      <c r="D9" s="28" t="str">
        <f>IFERROR(INDEX('REFERENCING &amp; DATABASE'!$C$7:$C$131,MATCH($A9,'REFERENCING &amp; DATABASE'!$D$7:$D$131,0)),"")</f>
        <v>SHIRTS</v>
      </c>
      <c r="E9" s="41" t="str">
        <f>IFERROR(INDEX('REFERENCING &amp; DATABASE'!$F$7:$F$131,MATCH($A9,'REFERENCING &amp; DATABASE'!$D$7:$D$131,0)),"")</f>
        <v>A timeless and versatile shirt for work or casual occasions.</v>
      </c>
      <c r="F9" s="28" t="str">
        <f>IFERROR(INDEX('REFERENCING &amp; DATABASE'!$G$7:$G$131,MATCH($A9,'REFERENCING &amp; DATABASE'!$D$7:$D$131,0)),"")</f>
        <v>Pink, Brown,Yellow</v>
      </c>
      <c r="G9" s="39">
        <f>IFERROR(INDEX('REFERENCING &amp; DATABASE'!$H$7:$H$131,MATCH($A9,'REFERENCING &amp; DATABASE'!$D$7:$D$131,0)),"")</f>
        <v>10</v>
      </c>
      <c r="H9" s="28">
        <f>IFERROR(INDEX('WHS STK MGT &amp; ALLOC.'!$I:$I,MATCH($A9,'WHS STK MGT &amp; ALLOC.'!$A:$A,0)),"")</f>
        <v>60</v>
      </c>
      <c r="I9" s="60">
        <f>SUM('WHS STK MGT &amp; ALLOC.'!$K9,'WHS STK MGT &amp; ALLOC.'!$M9,'WHS STK MGT &amp; ALLOC.'!$O9,'WHS STK MGT &amp; ALLOC.'!$Q9,'WHS STK MGT &amp; ALLOC.'!$S9,'WHS STK MGT &amp; ALLOC.'!$U9,'WHS STK MGT &amp; ALLOC.'!$W9,'WHS STK MGT &amp; ALLOC.'!$Y9)</f>
        <v>240</v>
      </c>
      <c r="J9" s="60">
        <f>SUMIF('IN STORE SALES RECORD'!$D:$D,'STORE STK &amp; SALES MGT'!$A9,'IN STORE SALES RECORD'!$E:$E)</f>
        <v>230</v>
      </c>
      <c r="K9" s="60">
        <f>SUMIF('IN STORE SALES RECORD'!$D:$D,'STORE STK &amp; SALES MGT'!$A9,'IN STORE SALES RECORD'!$H:$H)</f>
        <v>9200</v>
      </c>
      <c r="L9" s="60">
        <f t="shared" si="0"/>
        <v>22.548999999999999</v>
      </c>
      <c r="M9" s="60">
        <f t="shared" si="1"/>
        <v>95.83</v>
      </c>
      <c r="N9" s="60" cm="1">
        <f t="array" ref="N9">_xlfn.IFS($P$5 = "WEEK 1",'WHS STK MGT &amp; ALLOC.'!$K9,$P$5 = "WEEK 2",'WHS STK MGT &amp; ALLOC.'!$M9,$P$5 = "WEEK 3",'WHS STK MGT &amp; ALLOC.'!$O9,$P$5 = "WEEK 4",'WHS STK MGT &amp; ALLOC.'!Q9,$P$5 ="WEEK 5",'WHS STK MGT &amp; ALLOC.'!$S9)</f>
        <v>240</v>
      </c>
      <c r="O9" s="60" cm="1">
        <f t="array" ref="O9">_xlfn.SWITCH($P$5,
  "WEEK 1", 'WHS STK MGT &amp; ALLOC.'!$H9,
  "WEEK 2", 'WHS STK MGT &amp; ALLOC.'!$H9 - 'WHS STK MGT &amp; ALLOC.'!$K9,
  "WEEK 3", 'WHS STK MGT &amp; ALLOC.'!$H9 - ('WHS STK MGT &amp; ALLOC.'!$K9 + 'WHS STK MGT &amp; ALLOC.'!$M9),
  "WEEK 4", 'WHS STK MGT &amp; ALLOC.'!$H9 - ('WHS STK MGT &amp; ALLOC.'!$K9 + 'WHS STK MGT &amp; ALLOC.'!$M9 + 'WHS STK MGT &amp; ALLOC.'!$O9),
  "WEEK 5", 'WHS STK MGT &amp; ALLOC.'!$H9 - ('WHS STK MGT &amp; ALLOC.'!$K9 + 'WHS STK MGT &amp; ALLOC.'!$M9 + 'WHS STK MGT &amp; ALLOC.'!$O9 + 'WHS STK MGT &amp; ALLOC.'!$Q9),
  "WEEK 6", 'WHS STK MGT &amp; ALLOC.'!$H9 - ('WHS STK MGT &amp; ALLOC.'!$K9 + 'WHS STK MGT &amp; ALLOC.'!$M9 + 'WHS STK MGT &amp; ALLOC.'!$O9 + 'WHS STK MGT &amp; ALLOC.'!$Q9 + 'WHS STK MGT &amp; ALLOC.'!$S9),
  "WEEK 7", 'WHS STK MGT &amp; ALLOC.'!$H9 - ('WHS STK MGT &amp; ALLOC.'!$K9 + 'WHS STK MGT &amp; ALLOC.'!$M9 + 'WHS STK MGT &amp; ALLOC.'!$O9 + 'WHS STK MGT &amp; ALLOC.'!$Q9 + 'WHS STK MGT &amp; ALLOC.'!$S9 + 'WHS STK MGT &amp; ALLOC.'!$U9),
  "Other Weeks", 0
)</f>
        <v>300</v>
      </c>
      <c r="P9" s="60">
        <f>SUMIFS('IN STORE SALES RECORD'!$E:$E,'IN STORE SALES RECORD'!$D:$D,'STORE STK &amp; SALES MGT'!$A9,'IN STORE SALES RECORD'!$A:$A,'STORE STK &amp; SALES MGT'!$P$5)</f>
        <v>230</v>
      </c>
      <c r="Q9" s="60">
        <f>SUMIFS('IN STORE SALES RECORD'!$H:$H,'IN STORE SALES RECORD'!$D:$D,'STORE STK &amp; SALES MGT'!$A9,'IN STORE SALES RECORD'!$A:$A,'STORE STK &amp; SALES MGT'!$P$5)</f>
        <v>9200</v>
      </c>
      <c r="R9" s="60">
        <f>IFERROR(ROUND(Q9/SUMIF('IN STORE SALES RECORD'!$A:$A,'STORE STK &amp; SALES MGT'!$P$5,'IN STORE SALES RECORD'!$H:$H)*100,3),"")</f>
        <v>45.896999999999998</v>
      </c>
      <c r="S9" s="60" cm="1">
        <f t="array" ref="S9">_xlfn.IFS($P$5 ="WEEK 1",'WHS STK MGT &amp; ALLOC.'!$H9-'WHS STK MGT &amp; ALLOC.'!$K9,$P$5 ="WEEK 2",'WHS STK MGT &amp; ALLOC.'!H9-('WHS STK MGT &amp; ALLOC.'!$K9+'WHS STK MGT &amp; ALLOC.'!$M9),$P$5 ="WEEK 3",'WHS STK MGT &amp; ALLOC.'!$H9-'WHS STK MGT &amp; ALLOC.'!$K9-'WHS STK MGT &amp; ALLOC.'!$M9-'WHS STK MGT &amp; ALLOC.'!$O9,$P$5 = "WEEK 4",'WHS STK MGT &amp; ALLOC.'!H9-'WHS STK MGT &amp; ALLOC.'!$K9-'WHS STK MGT &amp; ALLOC.'!$M9-'WHS STK MGT &amp; ALLOC.'!$O9-'WHS STK MGT &amp; ALLOC.'!$Q9,$P$5 = "WEEK 5",'WHS STK MGT &amp; ALLOC.'!H9-'WHS STK MGT &amp; ALLOC.'!$K9-'WHS STK MGT &amp; ALLOC.'!$M9-'WHS STK MGT &amp; ALLOC.'!$O9-'WHS STK MGT &amp; ALLOC.'!$Q9-'WHS STK MGT &amp; ALLOC.'!$S9)</f>
        <v>60</v>
      </c>
      <c r="T9" s="99">
        <f>SUMIFS('IN STORE SALES RECORD'!$E:$E,'IN STORE SALES RECORD'!$D:$D,'STORE STK &amp; SALES MGT'!$A9,'IN STORE SALES RECORD'!$C:$C,'STORE STK &amp; SALES MGT'!$U$5)</f>
        <v>230</v>
      </c>
      <c r="U9" s="60">
        <f>SUMIFS('IN STORE SALES RECORD'!$H:$H,'IN STORE SALES RECORD'!$D:$D,'STORE STK &amp; SALES MGT'!$A9,'IN STORE SALES RECORD'!$C:$C,'STORE STK &amp; SALES MGT'!$U$5)</f>
        <v>9200</v>
      </c>
      <c r="V9" s="99">
        <f>IFERROR(ROUND(SUMIFS('IN STORE SALES RECORD'!$H:$H,'IN STORE SALES RECORD'!$C:$C,'STORE STK &amp; SALES MGT'!$U$5,'STORE STK &amp; SALES MGT'!$A:$A,'STORE STK &amp; SALES MGT'!$A9)/SUMIF('IN STORE SALES RECORD'!$C:$C,'STORE STK &amp; SALES MGT'!$U$5,'IN STORE SALES RECORD'!$H:$H)*100,3),"")</f>
        <v>22.548999999999999</v>
      </c>
      <c r="W9" s="60"/>
      <c r="X9" s="60"/>
      <c r="AA9" s="60"/>
      <c r="AB9" s="60"/>
    </row>
    <row r="10" spans="1:50" s="77" customFormat="1" ht="30">
      <c r="A10" s="27" t="s">
        <v>114</v>
      </c>
      <c r="B10" s="98" t="str">
        <f>IFERROR(INDEX('REFERENCING &amp; DATABASE'!$E$7:$E$131,MATCH($A10,'REFERENCING &amp; DATABASE'!$D$7:$D$131,0)),"")</f>
        <v>Linen Blend Shirt</v>
      </c>
      <c r="C10" s="28" t="str">
        <f>IFERROR(INDEX('REFERENCING &amp; DATABASE'!$B$7:$B$131,MATCH($A10,'REFERENCING &amp; DATABASE'!$D$7:$D$131,0)),"")</f>
        <v>TOPS</v>
      </c>
      <c r="D10" s="28" t="str">
        <f>IFERROR(INDEX('REFERENCING &amp; DATABASE'!$C$7:$C$131,MATCH($A10,'REFERENCING &amp; DATABASE'!$D$7:$D$131,0)),"")</f>
        <v>SHIRTS</v>
      </c>
      <c r="E10" s="41" t="str">
        <f>IFERROR(INDEX('REFERENCING &amp; DATABASE'!$F$7:$F$131,MATCH($A10,'REFERENCING &amp; DATABASE'!$D$7:$D$131,0)),"")</f>
        <v xml:space="preserve">A lightweight and breathable shirt for warmer weather. </v>
      </c>
      <c r="F10" s="28" t="str">
        <f>IFERROR(INDEX('REFERENCING &amp; DATABASE'!$G$7:$G$131,MATCH($A10,'REFERENCING &amp; DATABASE'!$D$7:$D$131,0)),"")</f>
        <v>Pink, Clear</v>
      </c>
      <c r="G10" s="39">
        <f>IFERROR(INDEX('REFERENCING &amp; DATABASE'!$H$7:$H$131,MATCH($A10,'REFERENCING &amp; DATABASE'!$D$7:$D$131,0)),"")</f>
        <v>10</v>
      </c>
      <c r="H10" s="28">
        <f>IFERROR(INDEX('WHS STK MGT &amp; ALLOC.'!$I:$I,MATCH($A10,'WHS STK MGT &amp; ALLOC.'!$A:$A,0)),"")</f>
        <v>390</v>
      </c>
      <c r="I10" s="60">
        <f>SUM('WHS STK MGT &amp; ALLOC.'!$K10,'WHS STK MGT &amp; ALLOC.'!$M10,'WHS STK MGT &amp; ALLOC.'!$O10,'WHS STK MGT &amp; ALLOC.'!$Q10,'WHS STK MGT &amp; ALLOC.'!$S10,'WHS STK MGT &amp; ALLOC.'!$U10,'WHS STK MGT &amp; ALLOC.'!$W10,'WHS STK MGT &amp; ALLOC.'!$Y10)</f>
        <v>10</v>
      </c>
      <c r="J10" s="60">
        <f>SUMIF('IN STORE SALES RECORD'!$D:$D,'STORE STK &amp; SALES MGT'!$A10,'IN STORE SALES RECORD'!$E:$E)</f>
        <v>0</v>
      </c>
      <c r="K10" s="60">
        <f>SUMIF('IN STORE SALES RECORD'!$D:$D,'STORE STK &amp; SALES MGT'!$A10,'IN STORE SALES RECORD'!$H:$H)</f>
        <v>0</v>
      </c>
      <c r="L10" s="60">
        <f t="shared" si="0"/>
        <v>0</v>
      </c>
      <c r="M10" s="60">
        <f t="shared" si="1"/>
        <v>0</v>
      </c>
      <c r="N10" s="60" cm="1">
        <f t="array" ref="N10">_xlfn.IFS($P$5 = "WEEK 1",'WHS STK MGT &amp; ALLOC.'!$K10,$P$5 = "WEEK 2",'WHS STK MGT &amp; ALLOC.'!$M10,$P$5 = "WEEK 3",'WHS STK MGT &amp; ALLOC.'!$O10,$P$5 = "WEEK 4",'WHS STK MGT &amp; ALLOC.'!Q10,$P$5 ="WEEK 5",'WHS STK MGT &amp; ALLOC.'!$S10)</f>
        <v>10</v>
      </c>
      <c r="O10" s="60" cm="1">
        <f t="array" ref="O10">_xlfn.SWITCH($P$5,
  "WEEK 1", 'WHS STK MGT &amp; ALLOC.'!$H10,
  "WEEK 2", 'WHS STK MGT &amp; ALLOC.'!$H10 - 'WHS STK MGT &amp; ALLOC.'!$K10,
  "WEEK 3", 'WHS STK MGT &amp; ALLOC.'!$H10 - ('WHS STK MGT &amp; ALLOC.'!$K10 + 'WHS STK MGT &amp; ALLOC.'!$M10),
  "WEEK 4", 'WHS STK MGT &amp; ALLOC.'!$H10 - ('WHS STK MGT &amp; ALLOC.'!$K10 + 'WHS STK MGT &amp; ALLOC.'!$M10 + 'WHS STK MGT &amp; ALLOC.'!$O10),
  "WEEK 5", 'WHS STK MGT &amp; ALLOC.'!$H10 - ('WHS STK MGT &amp; ALLOC.'!$K10 + 'WHS STK MGT &amp; ALLOC.'!$M10 + 'WHS STK MGT &amp; ALLOC.'!$O10 + 'WHS STK MGT &amp; ALLOC.'!$Q10),
  "WEEK 6", 'WHS STK MGT &amp; ALLOC.'!$H10 - ('WHS STK MGT &amp; ALLOC.'!$K10 + 'WHS STK MGT &amp; ALLOC.'!$M10 + 'WHS STK MGT &amp; ALLOC.'!$O10 + 'WHS STK MGT &amp; ALLOC.'!$Q10 + 'WHS STK MGT &amp; ALLOC.'!$S10),
  "WEEK 7", 'WHS STK MGT &amp; ALLOC.'!$H10 - ('WHS STK MGT &amp; ALLOC.'!$K10 + 'WHS STK MGT &amp; ALLOC.'!$M10 + 'WHS STK MGT &amp; ALLOC.'!$O10 + 'WHS STK MGT &amp; ALLOC.'!$Q10 + 'WHS STK MGT &amp; ALLOC.'!$S10 + 'WHS STK MGT &amp; ALLOC.'!$U10),
  "Other Weeks", 0
)</f>
        <v>400</v>
      </c>
      <c r="P10" s="60">
        <f>SUMIFS('IN STORE SALES RECORD'!$E:$E,'IN STORE SALES RECORD'!$D:$D,'STORE STK &amp; SALES MGT'!$A10,'IN STORE SALES RECORD'!$A:$A,'STORE STK &amp; SALES MGT'!$P$5)</f>
        <v>0</v>
      </c>
      <c r="Q10" s="60">
        <f>SUMIFS('IN STORE SALES RECORD'!$H:$H,'IN STORE SALES RECORD'!$D:$D,'STORE STK &amp; SALES MGT'!$A10,'IN STORE SALES RECORD'!$A:$A,'STORE STK &amp; SALES MGT'!$P$5)</f>
        <v>0</v>
      </c>
      <c r="R10" s="60">
        <f>IFERROR(ROUND(Q10/SUMIF('IN STORE SALES RECORD'!$A:$A,'STORE STK &amp; SALES MGT'!$P$5,'IN STORE SALES RECORD'!$H:$H)*100,3),"")</f>
        <v>0</v>
      </c>
      <c r="S10" s="60" cm="1">
        <f t="array" ref="S10">_xlfn.IFS($P$5 ="WEEK 1",'WHS STK MGT &amp; ALLOC.'!$H10-'WHS STK MGT &amp; ALLOC.'!$K10,$P$5 ="WEEK 2",'WHS STK MGT &amp; ALLOC.'!H10-('WHS STK MGT &amp; ALLOC.'!$K10+'WHS STK MGT &amp; ALLOC.'!$M10),$P$5 ="WEEK 3",'WHS STK MGT &amp; ALLOC.'!$H10-'WHS STK MGT &amp; ALLOC.'!$K10-'WHS STK MGT &amp; ALLOC.'!$M10-'WHS STK MGT &amp; ALLOC.'!$O10,$P$5 = "WEEK 4",'WHS STK MGT &amp; ALLOC.'!H10-'WHS STK MGT &amp; ALLOC.'!$K10-'WHS STK MGT &amp; ALLOC.'!$M10-'WHS STK MGT &amp; ALLOC.'!$O10-'WHS STK MGT &amp; ALLOC.'!$Q10,$P$5 = "WEEK 5",'WHS STK MGT &amp; ALLOC.'!H10-'WHS STK MGT &amp; ALLOC.'!$K10-'WHS STK MGT &amp; ALLOC.'!$M10-'WHS STK MGT &amp; ALLOC.'!$O10-'WHS STK MGT &amp; ALLOC.'!$Q10-'WHS STK MGT &amp; ALLOC.'!$S10)</f>
        <v>390</v>
      </c>
      <c r="T10" s="99">
        <f>SUMIFS('IN STORE SALES RECORD'!$E:$E,'IN STORE SALES RECORD'!$D:$D,'STORE STK &amp; SALES MGT'!$A10,'IN STORE SALES RECORD'!$C:$C,'STORE STK &amp; SALES MGT'!$U$5)</f>
        <v>0</v>
      </c>
      <c r="U10" s="60">
        <f>SUMIFS('IN STORE SALES RECORD'!$H:$H,'IN STORE SALES RECORD'!$D:$D,'STORE STK &amp; SALES MGT'!$A10,'IN STORE SALES RECORD'!$C:$C,'STORE STK &amp; SALES MGT'!$U$5)</f>
        <v>0</v>
      </c>
      <c r="V10" s="99">
        <f>IFERROR(ROUND(SUMIFS('IN STORE SALES RECORD'!$H:$H,'IN STORE SALES RECORD'!$C:$C,'STORE STK &amp; SALES MGT'!$U$5,'STORE STK &amp; SALES MGT'!$A:$A,'STORE STK &amp; SALES MGT'!$A10)/SUMIF('IN STORE SALES RECORD'!$C:$C,'STORE STK &amp; SALES MGT'!$U$5,'IN STORE SALES RECORD'!$H:$H)*100,3),"")</f>
        <v>0</v>
      </c>
      <c r="W10" s="60"/>
      <c r="X10" s="60"/>
      <c r="AA10" s="60"/>
      <c r="AB10" s="60"/>
    </row>
    <row r="11" spans="1:50" s="77" customFormat="1" ht="30">
      <c r="A11" s="27" t="s">
        <v>115</v>
      </c>
      <c r="B11" s="98" t="str">
        <f>IFERROR(INDEX('REFERENCING &amp; DATABASE'!$E$7:$E$131,MATCH($A11,'REFERENCING &amp; DATABASE'!$D$7:$D$131,0)),"")</f>
        <v>Cozy Cable-Knit Sweater</v>
      </c>
      <c r="C11" s="28" t="str">
        <f>IFERROR(INDEX('REFERENCING &amp; DATABASE'!$B$7:$B$131,MATCH($A11,'REFERENCING &amp; DATABASE'!$D$7:$D$131,0)),"")</f>
        <v>TOPS</v>
      </c>
      <c r="D11" s="28" t="str">
        <f>IFERROR(INDEX('REFERENCING &amp; DATABASE'!$C$7:$C$131,MATCH($A11,'REFERENCING &amp; DATABASE'!$D$7:$D$131,0)),"")</f>
        <v>SWEATERS</v>
      </c>
      <c r="E11" s="41" t="str">
        <f>IFERROR(INDEX('REFERENCING &amp; DATABASE'!$F$7:$F$131,MATCH($A11,'REFERENCING &amp; DATABASE'!$D$7:$D$131,0)),"")</f>
        <v>A warm and stylish sweater for cooler days.</v>
      </c>
      <c r="F11" s="28" t="str">
        <f>IFERROR(INDEX('REFERENCING &amp; DATABASE'!$G$7:$G$131,MATCH($A11,'REFERENCING &amp; DATABASE'!$D$7:$D$131,0)),"")</f>
        <v>Nude, Brown</v>
      </c>
      <c r="G11" s="39">
        <f>IFERROR(INDEX('REFERENCING &amp; DATABASE'!$H$7:$H$131,MATCH($A11,'REFERENCING &amp; DATABASE'!$D$7:$D$131,0)),"")</f>
        <v>10</v>
      </c>
      <c r="H11" s="28">
        <f>IFERROR(INDEX('WHS STK MGT &amp; ALLOC.'!$I:$I,MATCH($A11,'WHS STK MGT &amp; ALLOC.'!$A:$A,0)),"")</f>
        <v>190</v>
      </c>
      <c r="I11" s="60">
        <f>SUM('WHS STK MGT &amp; ALLOC.'!$K11,'WHS STK MGT &amp; ALLOC.'!$M11,'WHS STK MGT &amp; ALLOC.'!$O11,'WHS STK MGT &amp; ALLOC.'!$Q11,'WHS STK MGT &amp; ALLOC.'!$S11,'WHS STK MGT &amp; ALLOC.'!$U11,'WHS STK MGT &amp; ALLOC.'!$W11,'WHS STK MGT &amp; ALLOC.'!$Y11)</f>
        <v>10</v>
      </c>
      <c r="J11" s="60">
        <f>SUMIF('IN STORE SALES RECORD'!$D:$D,'STORE STK &amp; SALES MGT'!$A11,'IN STORE SALES RECORD'!$E:$E)</f>
        <v>90</v>
      </c>
      <c r="K11" s="60">
        <f>SUMIF('IN STORE SALES RECORD'!$D:$D,'STORE STK &amp; SALES MGT'!$A11,'IN STORE SALES RECORD'!$H:$H)</f>
        <v>6300</v>
      </c>
      <c r="L11" s="60">
        <f t="shared" si="0"/>
        <v>15.441000000000001</v>
      </c>
      <c r="M11" s="60">
        <f t="shared" si="1"/>
        <v>900</v>
      </c>
      <c r="N11" s="60" cm="1">
        <f t="array" ref="N11">_xlfn.IFS($P$5 = "WEEK 1",'WHS STK MGT &amp; ALLOC.'!$K11,$P$5 = "WEEK 2",'WHS STK MGT &amp; ALLOC.'!$M11,$P$5 = "WEEK 3",'WHS STK MGT &amp; ALLOC.'!$O11,$P$5 = "WEEK 4",'WHS STK MGT &amp; ALLOC.'!Q11,$P$5 ="WEEK 5",'WHS STK MGT &amp; ALLOC.'!$S11)</f>
        <v>10</v>
      </c>
      <c r="O11" s="60" cm="1">
        <f t="array" ref="O11">_xlfn.SWITCH($P$5,
  "WEEK 1", 'WHS STK MGT &amp; ALLOC.'!$H11,
  "WEEK 2", 'WHS STK MGT &amp; ALLOC.'!$H11 - 'WHS STK MGT &amp; ALLOC.'!$K11,
  "WEEK 3", 'WHS STK MGT &amp; ALLOC.'!$H11 - ('WHS STK MGT &amp; ALLOC.'!$K11 + 'WHS STK MGT &amp; ALLOC.'!$M11),
  "WEEK 4", 'WHS STK MGT &amp; ALLOC.'!$H11 - ('WHS STK MGT &amp; ALLOC.'!$K11 + 'WHS STK MGT &amp; ALLOC.'!$M11 + 'WHS STK MGT &amp; ALLOC.'!$O11),
  "WEEK 5", 'WHS STK MGT &amp; ALLOC.'!$H11 - ('WHS STK MGT &amp; ALLOC.'!$K11 + 'WHS STK MGT &amp; ALLOC.'!$M11 + 'WHS STK MGT &amp; ALLOC.'!$O11 + 'WHS STK MGT &amp; ALLOC.'!$Q11),
  "WEEK 6", 'WHS STK MGT &amp; ALLOC.'!$H11 - ('WHS STK MGT &amp; ALLOC.'!$K11 + 'WHS STK MGT &amp; ALLOC.'!$M11 + 'WHS STK MGT &amp; ALLOC.'!$O11 + 'WHS STK MGT &amp; ALLOC.'!$Q11 + 'WHS STK MGT &amp; ALLOC.'!$S11),
  "WEEK 7", 'WHS STK MGT &amp; ALLOC.'!$H11 - ('WHS STK MGT &amp; ALLOC.'!$K11 + 'WHS STK MGT &amp; ALLOC.'!$M11 + 'WHS STK MGT &amp; ALLOC.'!$O11 + 'WHS STK MGT &amp; ALLOC.'!$Q11 + 'WHS STK MGT &amp; ALLOC.'!$S11 + 'WHS STK MGT &amp; ALLOC.'!$U11),
  "Other Weeks", 0
)</f>
        <v>200</v>
      </c>
      <c r="P11" s="60">
        <f>SUMIFS('IN STORE SALES RECORD'!$E:$E,'IN STORE SALES RECORD'!$D:$D,'STORE STK &amp; SALES MGT'!$A11,'IN STORE SALES RECORD'!$A:$A,'STORE STK &amp; SALES MGT'!$P$5)</f>
        <v>0</v>
      </c>
      <c r="Q11" s="60">
        <f>SUMIFS('IN STORE SALES RECORD'!$H:$H,'IN STORE SALES RECORD'!$D:$D,'STORE STK &amp; SALES MGT'!$A11,'IN STORE SALES RECORD'!$A:$A,'STORE STK &amp; SALES MGT'!$P$5)</f>
        <v>0</v>
      </c>
      <c r="R11" s="60">
        <f>IFERROR(ROUND(Q11/SUMIF('IN STORE SALES RECORD'!$A:$A,'STORE STK &amp; SALES MGT'!$P$5,'IN STORE SALES RECORD'!$H:$H)*100,3),"")</f>
        <v>0</v>
      </c>
      <c r="S11" s="60" cm="1">
        <f t="array" ref="S11">_xlfn.IFS($P$5 ="WEEK 1",'WHS STK MGT &amp; ALLOC.'!$H11-'WHS STK MGT &amp; ALLOC.'!$K11,$P$5 ="WEEK 2",'WHS STK MGT &amp; ALLOC.'!H11-('WHS STK MGT &amp; ALLOC.'!$K11+'WHS STK MGT &amp; ALLOC.'!$M11),$P$5 ="WEEK 3",'WHS STK MGT &amp; ALLOC.'!$H11-'WHS STK MGT &amp; ALLOC.'!$K11-'WHS STK MGT &amp; ALLOC.'!$M11-'WHS STK MGT &amp; ALLOC.'!$O11,$P$5 = "WEEK 4",'WHS STK MGT &amp; ALLOC.'!H11-'WHS STK MGT &amp; ALLOC.'!$K11-'WHS STK MGT &amp; ALLOC.'!$M11-'WHS STK MGT &amp; ALLOC.'!$O11-'WHS STK MGT &amp; ALLOC.'!$Q11,$P$5 = "WEEK 5",'WHS STK MGT &amp; ALLOC.'!H11-'WHS STK MGT &amp; ALLOC.'!$K11-'WHS STK MGT &amp; ALLOC.'!$M11-'WHS STK MGT &amp; ALLOC.'!$O11-'WHS STK MGT &amp; ALLOC.'!$Q11-'WHS STK MGT &amp; ALLOC.'!$S11)</f>
        <v>190</v>
      </c>
      <c r="T11" s="99">
        <f>SUMIFS('IN STORE SALES RECORD'!$E:$E,'IN STORE SALES RECORD'!$D:$D,'STORE STK &amp; SALES MGT'!$A11,'IN STORE SALES RECORD'!$C:$C,'STORE STK &amp; SALES MGT'!$U$5)</f>
        <v>90</v>
      </c>
      <c r="U11" s="60">
        <f>SUMIFS('IN STORE SALES RECORD'!$H:$H,'IN STORE SALES RECORD'!$D:$D,'STORE STK &amp; SALES MGT'!$A11,'IN STORE SALES RECORD'!$C:$C,'STORE STK &amp; SALES MGT'!$U$5)</f>
        <v>6300</v>
      </c>
      <c r="V11" s="99">
        <f>IFERROR(ROUND(SUMIFS('IN STORE SALES RECORD'!$H:$H,'IN STORE SALES RECORD'!$C:$C,'STORE STK &amp; SALES MGT'!$U$5,'STORE STK &amp; SALES MGT'!$A:$A,'STORE STK &amp; SALES MGT'!$A11)/SUMIF('IN STORE SALES RECORD'!$C:$C,'STORE STK &amp; SALES MGT'!$U$5,'IN STORE SALES RECORD'!$H:$H)*100,3),"")</f>
        <v>11.691000000000001</v>
      </c>
    </row>
    <row r="12" spans="1:50" s="77" customFormat="1" ht="30">
      <c r="A12" s="27" t="s">
        <v>261</v>
      </c>
      <c r="B12" s="98" t="str">
        <f>IFERROR(INDEX('REFERENCING &amp; DATABASE'!$E$7:$E$131,MATCH($A12,'REFERENCING &amp; DATABASE'!$D$7:$D$131,0)),"")</f>
        <v>Hooded Sweatshirt</v>
      </c>
      <c r="C12" s="28" t="str">
        <f>IFERROR(INDEX('REFERENCING &amp; DATABASE'!$B$7:$B$131,MATCH($A12,'REFERENCING &amp; DATABASE'!$D$7:$D$131,0)),"")</f>
        <v>TOPS</v>
      </c>
      <c r="D12" s="28" t="str">
        <f>IFERROR(INDEX('REFERENCING &amp; DATABASE'!$C$7:$C$131,MATCH($A12,'REFERENCING &amp; DATABASE'!$D$7:$D$131,0)),"")</f>
        <v>SWEATERS</v>
      </c>
      <c r="E12" s="41" t="str">
        <f>IFERROR(INDEX('REFERENCING &amp; DATABASE'!$F$7:$F$131,MATCH($A12,'REFERENCING &amp; DATABASE'!$D$7:$D$131,0)),"")</f>
        <v>A comfortable and casual sweatshirt perfect for lounging or layering.</v>
      </c>
      <c r="F12" s="28" t="str">
        <f>IFERROR(INDEX('REFERENCING &amp; DATABASE'!$G$7:$G$131,MATCH($A12,'REFERENCING &amp; DATABASE'!$D$7:$D$131,0)),"")</f>
        <v>Black,Grey</v>
      </c>
      <c r="G12" s="39">
        <f>IFERROR(INDEX('REFERENCING &amp; DATABASE'!$H$7:$H$131,MATCH($A12,'REFERENCING &amp; DATABASE'!$D$7:$D$131,0)),"")</f>
        <v>10</v>
      </c>
      <c r="H12" s="28">
        <f>IFERROR(INDEX('WHS STK MGT &amp; ALLOC.'!$I:$I,MATCH($A12,'WHS STK MGT &amp; ALLOC.'!$A:$A,0)),"")</f>
        <v>290</v>
      </c>
      <c r="I12" s="60">
        <f>SUM('WHS STK MGT &amp; ALLOC.'!$K12,'WHS STK MGT &amp; ALLOC.'!$M12,'WHS STK MGT &amp; ALLOC.'!$O12,'WHS STK MGT &amp; ALLOC.'!$Q12,'WHS STK MGT &amp; ALLOC.'!$S12,'WHS STK MGT &amp; ALLOC.'!$U12,'WHS STK MGT &amp; ALLOC.'!$W12,'WHS STK MGT &amp; ALLOC.'!$Y12)</f>
        <v>10</v>
      </c>
      <c r="J12" s="60">
        <f>SUMIF('IN STORE SALES RECORD'!$D:$D,'STORE STK &amp; SALES MGT'!$A12,'IN STORE SALES RECORD'!$E:$E)</f>
        <v>0</v>
      </c>
      <c r="K12" s="60">
        <f>SUMIF('IN STORE SALES RECORD'!$D:$D,'STORE STK &amp; SALES MGT'!$A12,'IN STORE SALES RECORD'!$H:$H)</f>
        <v>0</v>
      </c>
      <c r="L12" s="60">
        <f t="shared" si="0"/>
        <v>0</v>
      </c>
      <c r="M12" s="60">
        <f t="shared" si="1"/>
        <v>0</v>
      </c>
      <c r="N12" s="60" cm="1">
        <f t="array" ref="N12">_xlfn.IFS($P$5 = "WEEK 1",'WHS STK MGT &amp; ALLOC.'!$K12,$P$5 = "WEEK 2",'WHS STK MGT &amp; ALLOC.'!$M12,$P$5 = "WEEK 3",'WHS STK MGT &amp; ALLOC.'!$O12,$P$5 = "WEEK 4",'WHS STK MGT &amp; ALLOC.'!Q12,$P$5 ="WEEK 5",'WHS STK MGT &amp; ALLOC.'!$S12)</f>
        <v>10</v>
      </c>
      <c r="O12" s="60" cm="1">
        <f t="array" ref="O12">_xlfn.SWITCH($P$5,
  "WEEK 1", 'WHS STK MGT &amp; ALLOC.'!$H12,
  "WEEK 2", 'WHS STK MGT &amp; ALLOC.'!$H12 - 'WHS STK MGT &amp; ALLOC.'!$K12,
  "WEEK 3", 'WHS STK MGT &amp; ALLOC.'!$H12 - ('WHS STK MGT &amp; ALLOC.'!$K12 + 'WHS STK MGT &amp; ALLOC.'!$M12),
  "WEEK 4", 'WHS STK MGT &amp; ALLOC.'!$H12 - ('WHS STK MGT &amp; ALLOC.'!$K12 + 'WHS STK MGT &amp; ALLOC.'!$M12 + 'WHS STK MGT &amp; ALLOC.'!$O12),
  "WEEK 5", 'WHS STK MGT &amp; ALLOC.'!$H12 - ('WHS STK MGT &amp; ALLOC.'!$K12 + 'WHS STK MGT &amp; ALLOC.'!$M12 + 'WHS STK MGT &amp; ALLOC.'!$O12 + 'WHS STK MGT &amp; ALLOC.'!$Q12),
  "WEEK 6", 'WHS STK MGT &amp; ALLOC.'!$H12 - ('WHS STK MGT &amp; ALLOC.'!$K12 + 'WHS STK MGT &amp; ALLOC.'!$M12 + 'WHS STK MGT &amp; ALLOC.'!$O12 + 'WHS STK MGT &amp; ALLOC.'!$Q12 + 'WHS STK MGT &amp; ALLOC.'!$S12),
  "WEEK 7", 'WHS STK MGT &amp; ALLOC.'!$H12 - ('WHS STK MGT &amp; ALLOC.'!$K12 + 'WHS STK MGT &amp; ALLOC.'!$M12 + 'WHS STK MGT &amp; ALLOC.'!$O12 + 'WHS STK MGT &amp; ALLOC.'!$Q12 + 'WHS STK MGT &amp; ALLOC.'!$S12 + 'WHS STK MGT &amp; ALLOC.'!$U12),
  "Other Weeks", 0
)</f>
        <v>300</v>
      </c>
      <c r="P12" s="60">
        <f>SUMIFS('IN STORE SALES RECORD'!$E:$E,'IN STORE SALES RECORD'!$D:$D,'STORE STK &amp; SALES MGT'!$A12,'IN STORE SALES RECORD'!$A:$A,'STORE STK &amp; SALES MGT'!$P$5)</f>
        <v>0</v>
      </c>
      <c r="Q12" s="60">
        <f>SUMIFS('IN STORE SALES RECORD'!$H:$H,'IN STORE SALES RECORD'!$D:$D,'STORE STK &amp; SALES MGT'!$A12,'IN STORE SALES RECORD'!$A:$A,'STORE STK &amp; SALES MGT'!$P$5)</f>
        <v>0</v>
      </c>
      <c r="R12" s="60">
        <f>IFERROR(ROUND(Q12/SUMIF('IN STORE SALES RECORD'!$A:$A,'STORE STK &amp; SALES MGT'!$P$5,'IN STORE SALES RECORD'!$H:$H)*100,3),"")</f>
        <v>0</v>
      </c>
      <c r="S12" s="60" cm="1">
        <f t="array" ref="S12">_xlfn.IFS($P$5 ="WEEK 1",'WHS STK MGT &amp; ALLOC.'!$H12-'WHS STK MGT &amp; ALLOC.'!$K12,$P$5 ="WEEK 2",'WHS STK MGT &amp; ALLOC.'!H12-('WHS STK MGT &amp; ALLOC.'!$K12+'WHS STK MGT &amp; ALLOC.'!$M12),$P$5 ="WEEK 3",'WHS STK MGT &amp; ALLOC.'!$H12-'WHS STK MGT &amp; ALLOC.'!$K12-'WHS STK MGT &amp; ALLOC.'!$M12-'WHS STK MGT &amp; ALLOC.'!$O12,$P$5 = "WEEK 4",'WHS STK MGT &amp; ALLOC.'!H12-'WHS STK MGT &amp; ALLOC.'!$K12-'WHS STK MGT &amp; ALLOC.'!$M12-'WHS STK MGT &amp; ALLOC.'!$O12-'WHS STK MGT &amp; ALLOC.'!$Q12,$P$5 = "WEEK 5",'WHS STK MGT &amp; ALLOC.'!H12-'WHS STK MGT &amp; ALLOC.'!$K12-'WHS STK MGT &amp; ALLOC.'!$M12-'WHS STK MGT &amp; ALLOC.'!$O12-'WHS STK MGT &amp; ALLOC.'!$Q12-'WHS STK MGT &amp; ALLOC.'!$S12)</f>
        <v>290</v>
      </c>
      <c r="T12" s="99">
        <f>SUMIFS('IN STORE SALES RECORD'!$E:$E,'IN STORE SALES RECORD'!$D:$D,'STORE STK &amp; SALES MGT'!$A12,'IN STORE SALES RECORD'!$C:$C,'STORE STK &amp; SALES MGT'!$U$5)</f>
        <v>0</v>
      </c>
      <c r="U12" s="60">
        <f>SUMIFS('IN STORE SALES RECORD'!$H:$H,'IN STORE SALES RECORD'!$D:$D,'STORE STK &amp; SALES MGT'!$A12,'IN STORE SALES RECORD'!$C:$C,'STORE STK &amp; SALES MGT'!$U$5)</f>
        <v>0</v>
      </c>
      <c r="V12" s="99">
        <f>IFERROR(ROUND(SUMIFS('IN STORE SALES RECORD'!$H:$H,'IN STORE SALES RECORD'!$C:$C,'STORE STK &amp; SALES MGT'!$U$5,'STORE STK &amp; SALES MGT'!$A:$A,'STORE STK &amp; SALES MGT'!$A12)/SUMIF('IN STORE SALES RECORD'!$C:$C,'STORE STK &amp; SALES MGT'!$U$5,'IN STORE SALES RECORD'!$H:$H)*100,3),"")</f>
        <v>0</v>
      </c>
    </row>
    <row r="13" spans="1:50" s="77" customFormat="1" ht="30">
      <c r="A13" s="27" t="s">
        <v>116</v>
      </c>
      <c r="B13" s="98" t="str">
        <f>IFERROR(INDEX('REFERENCING &amp; DATABASE'!$E$7:$E$131,MATCH($A13,'REFERENCING &amp; DATABASE'!$D$7:$D$131,0)),"")</f>
        <v>Denim Jacket</v>
      </c>
      <c r="C13" s="28" t="str">
        <f>IFERROR(INDEX('REFERENCING &amp; DATABASE'!$B$7:$B$131,MATCH($A13,'REFERENCING &amp; DATABASE'!$D$7:$D$131,0)),"")</f>
        <v>TOPS</v>
      </c>
      <c r="D13" s="28" t="str">
        <f>IFERROR(INDEX('REFERENCING &amp; DATABASE'!$C$7:$C$131,MATCH($A13,'REFERENCING &amp; DATABASE'!$D$7:$D$131,0)),"")</f>
        <v>JACKETS</v>
      </c>
      <c r="E13" s="41" t="str">
        <f>IFERROR(INDEX('REFERENCING &amp; DATABASE'!$F$7:$F$131,MATCH($A13,'REFERENCING &amp; DATABASE'!$D$7:$D$131,0)),"")</f>
        <v>A timeless and versatile jacket that adds an edge to any outfit.</v>
      </c>
      <c r="F13" s="28" t="str">
        <f>IFERROR(INDEX('REFERENCING &amp; DATABASE'!$G$7:$G$131,MATCH($A13,'REFERENCING &amp; DATABASE'!$D$7:$D$131,0)),"")</f>
        <v>Nude, Purple</v>
      </c>
      <c r="G13" s="39">
        <f>IFERROR(INDEX('REFERENCING &amp; DATABASE'!$H$7:$H$131,MATCH($A13,'REFERENCING &amp; DATABASE'!$D$7:$D$131,0)),"")</f>
        <v>10</v>
      </c>
      <c r="H13" s="28">
        <f>IFERROR(INDEX('WHS STK MGT &amp; ALLOC.'!$I:$I,MATCH($A13,'WHS STK MGT &amp; ALLOC.'!$A:$A,0)),"")</f>
        <v>90</v>
      </c>
      <c r="I13" s="60">
        <f>SUM('WHS STK MGT &amp; ALLOC.'!$K13,'WHS STK MGT &amp; ALLOC.'!$M13,'WHS STK MGT &amp; ALLOC.'!$O13,'WHS STK MGT &amp; ALLOC.'!$Q13,'WHS STK MGT &amp; ALLOC.'!$S13,'WHS STK MGT &amp; ALLOC.'!$U13,'WHS STK MGT &amp; ALLOC.'!$W13,'WHS STK MGT &amp; ALLOC.'!$Y13)</f>
        <v>10</v>
      </c>
      <c r="J13" s="60">
        <f>SUMIF('IN STORE SALES RECORD'!$D:$D,'STORE STK &amp; SALES MGT'!$A13,'IN STORE SALES RECORD'!$E:$E)</f>
        <v>0</v>
      </c>
      <c r="K13" s="60">
        <f>SUMIF('IN STORE SALES RECORD'!$D:$D,'STORE STK &amp; SALES MGT'!$A13,'IN STORE SALES RECORD'!$H:$H)</f>
        <v>0</v>
      </c>
      <c r="L13" s="60">
        <f t="shared" si="0"/>
        <v>0</v>
      </c>
      <c r="M13" s="60">
        <f t="shared" si="1"/>
        <v>0</v>
      </c>
      <c r="N13" s="60" cm="1">
        <f t="array" ref="N13">_xlfn.IFS($P$5 = "WEEK 1",'WHS STK MGT &amp; ALLOC.'!$K13,$P$5 = "WEEK 2",'WHS STK MGT &amp; ALLOC.'!$M13,$P$5 = "WEEK 3",'WHS STK MGT &amp; ALLOC.'!$O13,$P$5 = "WEEK 4",'WHS STK MGT &amp; ALLOC.'!Q13,$P$5 ="WEEK 5",'WHS STK MGT &amp; ALLOC.'!$S13)</f>
        <v>10</v>
      </c>
      <c r="O13" s="60" cm="1">
        <f t="array" ref="O13">_xlfn.SWITCH($P$5,
  "WEEK 1", 'WHS STK MGT &amp; ALLOC.'!$H13,
  "WEEK 2", 'WHS STK MGT &amp; ALLOC.'!$H13 - 'WHS STK MGT &amp; ALLOC.'!$K13,
  "WEEK 3", 'WHS STK MGT &amp; ALLOC.'!$H13 - ('WHS STK MGT &amp; ALLOC.'!$K13 + 'WHS STK MGT &amp; ALLOC.'!$M13),
  "WEEK 4", 'WHS STK MGT &amp; ALLOC.'!$H13 - ('WHS STK MGT &amp; ALLOC.'!$K13 + 'WHS STK MGT &amp; ALLOC.'!$M13 + 'WHS STK MGT &amp; ALLOC.'!$O13),
  "WEEK 5", 'WHS STK MGT &amp; ALLOC.'!$H13 - ('WHS STK MGT &amp; ALLOC.'!$K13 + 'WHS STK MGT &amp; ALLOC.'!$M13 + 'WHS STK MGT &amp; ALLOC.'!$O13 + 'WHS STK MGT &amp; ALLOC.'!$Q13),
  "WEEK 6", 'WHS STK MGT &amp; ALLOC.'!$H13 - ('WHS STK MGT &amp; ALLOC.'!$K13 + 'WHS STK MGT &amp; ALLOC.'!$M13 + 'WHS STK MGT &amp; ALLOC.'!$O13 + 'WHS STK MGT &amp; ALLOC.'!$Q13 + 'WHS STK MGT &amp; ALLOC.'!$S13),
  "WEEK 7", 'WHS STK MGT &amp; ALLOC.'!$H13 - ('WHS STK MGT &amp; ALLOC.'!$K13 + 'WHS STK MGT &amp; ALLOC.'!$M13 + 'WHS STK MGT &amp; ALLOC.'!$O13 + 'WHS STK MGT &amp; ALLOC.'!$Q13 + 'WHS STK MGT &amp; ALLOC.'!$S13 + 'WHS STK MGT &amp; ALLOC.'!$U13),
  "Other Weeks", 0
)</f>
        <v>100</v>
      </c>
      <c r="P13" s="60">
        <f>SUMIFS('IN STORE SALES RECORD'!$E:$E,'IN STORE SALES RECORD'!$D:$D,'STORE STK &amp; SALES MGT'!$A13,'IN STORE SALES RECORD'!$A:$A,'STORE STK &amp; SALES MGT'!$P$5)</f>
        <v>0</v>
      </c>
      <c r="Q13" s="60">
        <f>SUMIFS('IN STORE SALES RECORD'!$H:$H,'IN STORE SALES RECORD'!$D:$D,'STORE STK &amp; SALES MGT'!$A13,'IN STORE SALES RECORD'!$A:$A,'STORE STK &amp; SALES MGT'!$P$5)</f>
        <v>0</v>
      </c>
      <c r="R13" s="60">
        <f>IFERROR(ROUND(Q13/SUMIF('IN STORE SALES RECORD'!$A:$A,'STORE STK &amp; SALES MGT'!$P$5,'IN STORE SALES RECORD'!$H:$H)*100,3),"")</f>
        <v>0</v>
      </c>
      <c r="S13" s="60" cm="1">
        <f t="array" ref="S13">_xlfn.IFS($P$5 ="WEEK 1",'WHS STK MGT &amp; ALLOC.'!$H13-'WHS STK MGT &amp; ALLOC.'!$K13,$P$5 ="WEEK 2",'WHS STK MGT &amp; ALLOC.'!H13-('WHS STK MGT &amp; ALLOC.'!$K13+'WHS STK MGT &amp; ALLOC.'!$M13),$P$5 ="WEEK 3",'WHS STK MGT &amp; ALLOC.'!$H13-'WHS STK MGT &amp; ALLOC.'!$K13-'WHS STK MGT &amp; ALLOC.'!$M13-'WHS STK MGT &amp; ALLOC.'!$O13,$P$5 = "WEEK 4",'WHS STK MGT &amp; ALLOC.'!H13-'WHS STK MGT &amp; ALLOC.'!$K13-'WHS STK MGT &amp; ALLOC.'!$M13-'WHS STK MGT &amp; ALLOC.'!$O13-'WHS STK MGT &amp; ALLOC.'!$Q13,$P$5 = "WEEK 5",'WHS STK MGT &amp; ALLOC.'!H13-'WHS STK MGT &amp; ALLOC.'!$K13-'WHS STK MGT &amp; ALLOC.'!$M13-'WHS STK MGT &amp; ALLOC.'!$O13-'WHS STK MGT &amp; ALLOC.'!$Q13-'WHS STK MGT &amp; ALLOC.'!$S13)</f>
        <v>90</v>
      </c>
      <c r="T13" s="99">
        <f>SUMIFS('IN STORE SALES RECORD'!$E:$E,'IN STORE SALES RECORD'!$D:$D,'STORE STK &amp; SALES MGT'!$A13,'IN STORE SALES RECORD'!$C:$C,'STORE STK &amp; SALES MGT'!$U$5)</f>
        <v>0</v>
      </c>
      <c r="U13" s="60">
        <f>SUMIFS('IN STORE SALES RECORD'!$H:$H,'IN STORE SALES RECORD'!$D:$D,'STORE STK &amp; SALES MGT'!$A13,'IN STORE SALES RECORD'!$C:$C,'STORE STK &amp; SALES MGT'!$U$5)</f>
        <v>0</v>
      </c>
      <c r="V13" s="99">
        <f>IFERROR(ROUND(SUMIFS('IN STORE SALES RECORD'!$H:$H,'IN STORE SALES RECORD'!$C:$C,'STORE STK &amp; SALES MGT'!$U$5,'STORE STK &amp; SALES MGT'!$A:$A,'STORE STK &amp; SALES MGT'!$A13)/SUMIF('IN STORE SALES RECORD'!$C:$C,'STORE STK &amp; SALES MGT'!$U$5,'IN STORE SALES RECORD'!$H:$H)*100,3),"")</f>
        <v>6.0659999999999998</v>
      </c>
    </row>
    <row r="14" spans="1:50" s="77" customFormat="1" ht="30">
      <c r="A14" s="27" t="s">
        <v>117</v>
      </c>
      <c r="B14" s="98" t="str">
        <f>IFERROR(INDEX('REFERENCING &amp; DATABASE'!$E$7:$E$131,MATCH($A14,'REFERENCING &amp; DATABASE'!$D$7:$D$131,0)),"")</f>
        <v>Lightweight Puffer Jacket</v>
      </c>
      <c r="C14" s="28" t="str">
        <f>IFERROR(INDEX('REFERENCING &amp; DATABASE'!$B$7:$B$131,MATCH($A14,'REFERENCING &amp; DATABASE'!$D$7:$D$131,0)),"")</f>
        <v>TOPS</v>
      </c>
      <c r="D14" s="28" t="str">
        <f>IFERROR(INDEX('REFERENCING &amp; DATABASE'!$C$7:$C$131,MATCH($A14,'REFERENCING &amp; DATABASE'!$D$7:$D$131,0)),"")</f>
        <v>JACKETS</v>
      </c>
      <c r="E14" s="41" t="str">
        <f>IFERROR(INDEX('REFERENCING &amp; DATABASE'!$F$7:$F$131,MATCH($A14,'REFERENCING &amp; DATABASE'!$D$7:$D$131,0)),"")</f>
        <v>: A warm and packable jacket for all your adventures.</v>
      </c>
      <c r="F14" s="28" t="str">
        <f>IFERROR(INDEX('REFERENCING &amp; DATABASE'!$G$7:$G$131,MATCH($A14,'REFERENCING &amp; DATABASE'!$D$7:$D$131,0)),"")</f>
        <v>Nude, Pink, Red</v>
      </c>
      <c r="G14" s="39">
        <f>IFERROR(INDEX('REFERENCING &amp; DATABASE'!$H$7:$H$131,MATCH($A14,'REFERENCING &amp; DATABASE'!$D$7:$D$131,0)),"")</f>
        <v>10</v>
      </c>
      <c r="H14" s="28">
        <f>IFERROR(INDEX('WHS STK MGT &amp; ALLOC.'!$I:$I,MATCH($A14,'WHS STK MGT &amp; ALLOC.'!$A:$A,0)),"")</f>
        <v>140</v>
      </c>
      <c r="I14" s="60">
        <f>SUM('WHS STK MGT &amp; ALLOC.'!$K14,'WHS STK MGT &amp; ALLOC.'!$M14,'WHS STK MGT &amp; ALLOC.'!$O14,'WHS STK MGT &amp; ALLOC.'!$Q14,'WHS STK MGT &amp; ALLOC.'!$S14,'WHS STK MGT &amp; ALLOC.'!$U14,'WHS STK MGT &amp; ALLOC.'!$W14,'WHS STK MGT &amp; ALLOC.'!$Y14)</f>
        <v>10</v>
      </c>
      <c r="J14" s="60">
        <f>SUMIF('IN STORE SALES RECORD'!$D:$D,'STORE STK &amp; SALES MGT'!$A14,'IN STORE SALES RECORD'!$E:$E)</f>
        <v>0</v>
      </c>
      <c r="K14" s="60">
        <f>SUMIF('IN STORE SALES RECORD'!$D:$D,'STORE STK &amp; SALES MGT'!$A14,'IN STORE SALES RECORD'!$H:$H)</f>
        <v>0</v>
      </c>
      <c r="L14" s="60">
        <f t="shared" si="0"/>
        <v>0</v>
      </c>
      <c r="M14" s="60">
        <f t="shared" si="1"/>
        <v>0</v>
      </c>
      <c r="N14" s="60" cm="1">
        <f t="array" ref="N14">_xlfn.IFS($P$5 = "WEEK 1",'WHS STK MGT &amp; ALLOC.'!$K14,$P$5 = "WEEK 2",'WHS STK MGT &amp; ALLOC.'!$M14,$P$5 = "WEEK 3",'WHS STK MGT &amp; ALLOC.'!$O14,$P$5 = "WEEK 4",'WHS STK MGT &amp; ALLOC.'!Q14,$P$5 ="WEEK 5",'WHS STK MGT &amp; ALLOC.'!$S14)</f>
        <v>10</v>
      </c>
      <c r="O14" s="60" cm="1">
        <f t="array" ref="O14">_xlfn.SWITCH($P$5,
  "WEEK 1", 'WHS STK MGT &amp; ALLOC.'!$H14,
  "WEEK 2", 'WHS STK MGT &amp; ALLOC.'!$H14 - 'WHS STK MGT &amp; ALLOC.'!$K14,
  "WEEK 3", 'WHS STK MGT &amp; ALLOC.'!$H14 - ('WHS STK MGT &amp; ALLOC.'!$K14 + 'WHS STK MGT &amp; ALLOC.'!$M14),
  "WEEK 4", 'WHS STK MGT &amp; ALLOC.'!$H14 - ('WHS STK MGT &amp; ALLOC.'!$K14 + 'WHS STK MGT &amp; ALLOC.'!$M14 + 'WHS STK MGT &amp; ALLOC.'!$O14),
  "WEEK 5", 'WHS STK MGT &amp; ALLOC.'!$H14 - ('WHS STK MGT &amp; ALLOC.'!$K14 + 'WHS STK MGT &amp; ALLOC.'!$M14 + 'WHS STK MGT &amp; ALLOC.'!$O14 + 'WHS STK MGT &amp; ALLOC.'!$Q14),
  "WEEK 6", 'WHS STK MGT &amp; ALLOC.'!$H14 - ('WHS STK MGT &amp; ALLOC.'!$K14 + 'WHS STK MGT &amp; ALLOC.'!$M14 + 'WHS STK MGT &amp; ALLOC.'!$O14 + 'WHS STK MGT &amp; ALLOC.'!$Q14 + 'WHS STK MGT &amp; ALLOC.'!$S14),
  "WEEK 7", 'WHS STK MGT &amp; ALLOC.'!$H14 - ('WHS STK MGT &amp; ALLOC.'!$K14 + 'WHS STK MGT &amp; ALLOC.'!$M14 + 'WHS STK MGT &amp; ALLOC.'!$O14 + 'WHS STK MGT &amp; ALLOC.'!$Q14 + 'WHS STK MGT &amp; ALLOC.'!$S14 + 'WHS STK MGT &amp; ALLOC.'!$U14),
  "Other Weeks", 0
)</f>
        <v>150</v>
      </c>
      <c r="P14" s="60">
        <f>SUMIFS('IN STORE SALES RECORD'!$E:$E,'IN STORE SALES RECORD'!$D:$D,'STORE STK &amp; SALES MGT'!$A14,'IN STORE SALES RECORD'!$A:$A,'STORE STK &amp; SALES MGT'!$P$5)</f>
        <v>0</v>
      </c>
      <c r="Q14" s="60">
        <f>SUMIFS('IN STORE SALES RECORD'!$H:$H,'IN STORE SALES RECORD'!$D:$D,'STORE STK &amp; SALES MGT'!$A14,'IN STORE SALES RECORD'!$A:$A,'STORE STK &amp; SALES MGT'!$P$5)</f>
        <v>0</v>
      </c>
      <c r="R14" s="60">
        <f>IFERROR(ROUND(Q14/SUMIF('IN STORE SALES RECORD'!$A:$A,'STORE STK &amp; SALES MGT'!$P$5,'IN STORE SALES RECORD'!$H:$H)*100,3),"")</f>
        <v>0</v>
      </c>
      <c r="S14" s="60" cm="1">
        <f t="array" ref="S14">_xlfn.IFS($P$5 ="WEEK 1",'WHS STK MGT &amp; ALLOC.'!$H14-'WHS STK MGT &amp; ALLOC.'!$K14,$P$5 ="WEEK 2",'WHS STK MGT &amp; ALLOC.'!H14-('WHS STK MGT &amp; ALLOC.'!$K14+'WHS STK MGT &amp; ALLOC.'!$M14),$P$5 ="WEEK 3",'WHS STK MGT &amp; ALLOC.'!$H14-'WHS STK MGT &amp; ALLOC.'!$K14-'WHS STK MGT &amp; ALLOC.'!$M14-'WHS STK MGT &amp; ALLOC.'!$O14,$P$5 = "WEEK 4",'WHS STK MGT &amp; ALLOC.'!H14-'WHS STK MGT &amp; ALLOC.'!$K14-'WHS STK MGT &amp; ALLOC.'!$M14-'WHS STK MGT &amp; ALLOC.'!$O14-'WHS STK MGT &amp; ALLOC.'!$Q14,$P$5 = "WEEK 5",'WHS STK MGT &amp; ALLOC.'!H14-'WHS STK MGT &amp; ALLOC.'!$K14-'WHS STK MGT &amp; ALLOC.'!$M14-'WHS STK MGT &amp; ALLOC.'!$O14-'WHS STK MGT &amp; ALLOC.'!$Q14-'WHS STK MGT &amp; ALLOC.'!$S14)</f>
        <v>140</v>
      </c>
      <c r="T14" s="99">
        <f>SUMIFS('IN STORE SALES RECORD'!$E:$E,'IN STORE SALES RECORD'!$D:$D,'STORE STK &amp; SALES MGT'!$A14,'IN STORE SALES RECORD'!$C:$C,'STORE STK &amp; SALES MGT'!$U$5)</f>
        <v>0</v>
      </c>
      <c r="U14" s="60">
        <f>SUMIFS('IN STORE SALES RECORD'!$H:$H,'IN STORE SALES RECORD'!$D:$D,'STORE STK &amp; SALES MGT'!$A14,'IN STORE SALES RECORD'!$C:$C,'STORE STK &amp; SALES MGT'!$U$5)</f>
        <v>0</v>
      </c>
      <c r="V14" s="99">
        <f>IFERROR(ROUND(SUMIFS('IN STORE SALES RECORD'!$H:$H,'IN STORE SALES RECORD'!$C:$C,'STORE STK &amp; SALES MGT'!$U$5,'STORE STK &amp; SALES MGT'!$A:$A,'STORE STK &amp; SALES MGT'!$A14)/SUMIF('IN STORE SALES RECORD'!$C:$C,'STORE STK &amp; SALES MGT'!$U$5,'IN STORE SALES RECORD'!$H:$H)*100,3),"")</f>
        <v>0</v>
      </c>
    </row>
    <row r="15" spans="1:50">
      <c r="A15" s="19"/>
      <c r="B15" s="100"/>
      <c r="C15" s="101"/>
      <c r="D15" s="101"/>
      <c r="E15" s="102"/>
      <c r="F15" s="101"/>
      <c r="G15" s="64"/>
      <c r="H15" s="101"/>
      <c r="I15" s="61"/>
      <c r="J15" s="61"/>
      <c r="K15" s="61"/>
      <c r="L15" s="61"/>
      <c r="M15" s="61"/>
      <c r="N15" s="61"/>
      <c r="O15" s="61"/>
      <c r="P15" s="61"/>
      <c r="Q15" s="61"/>
      <c r="R15" s="61"/>
      <c r="S15" s="61"/>
      <c r="T15" s="103"/>
      <c r="U15" s="103"/>
      <c r="V15" s="103"/>
    </row>
    <row r="16" spans="1:50">
      <c r="A16" s="19"/>
      <c r="B16" s="100"/>
      <c r="C16" s="101"/>
      <c r="D16" s="101"/>
      <c r="E16" s="102"/>
      <c r="F16" s="101"/>
      <c r="G16" s="64"/>
      <c r="H16" s="101"/>
      <c r="I16" s="61"/>
      <c r="J16" s="61"/>
      <c r="K16" s="61"/>
      <c r="L16" s="61"/>
      <c r="M16" s="61"/>
      <c r="N16" s="61"/>
      <c r="O16" s="61"/>
      <c r="P16" s="61"/>
      <c r="Q16" s="61"/>
      <c r="R16" s="61"/>
      <c r="S16" s="61"/>
      <c r="T16" s="103"/>
      <c r="U16" s="103"/>
      <c r="V16" s="103"/>
    </row>
    <row r="17" spans="1:51">
      <c r="A17" s="19"/>
      <c r="B17" s="100"/>
      <c r="C17" s="101"/>
      <c r="D17" s="101"/>
      <c r="E17" s="102"/>
      <c r="F17" s="101"/>
      <c r="G17" s="64"/>
      <c r="H17" s="101"/>
      <c r="I17" s="61"/>
      <c r="J17" s="61"/>
      <c r="K17" s="61"/>
      <c r="L17" s="61"/>
      <c r="M17" s="61"/>
      <c r="N17" s="61"/>
      <c r="O17" s="61"/>
      <c r="P17" s="61"/>
      <c r="Q17" s="61"/>
      <c r="R17" s="61"/>
      <c r="S17" s="61"/>
      <c r="T17" s="103"/>
      <c r="U17" s="103"/>
      <c r="V17" s="103"/>
    </row>
    <row r="18" spans="1:51" s="76" customFormat="1" ht="15.75">
      <c r="A18" s="75" t="s">
        <v>5</v>
      </c>
      <c r="B18" s="68" t="s">
        <v>6</v>
      </c>
      <c r="C18" s="18" t="s">
        <v>3</v>
      </c>
      <c r="D18" s="18" t="s">
        <v>4</v>
      </c>
      <c r="E18" s="73" t="s">
        <v>7</v>
      </c>
      <c r="F18" s="18" t="s">
        <v>8</v>
      </c>
      <c r="G18" s="65" t="s">
        <v>9</v>
      </c>
      <c r="H18" s="23" t="s">
        <v>44</v>
      </c>
      <c r="I18" s="18" t="s">
        <v>45</v>
      </c>
      <c r="J18" s="18" t="s">
        <v>46</v>
      </c>
      <c r="K18" s="18" t="s">
        <v>47</v>
      </c>
      <c r="L18" s="18" t="s">
        <v>48</v>
      </c>
      <c r="M18" s="18" t="s">
        <v>49</v>
      </c>
      <c r="N18" s="18" t="s">
        <v>50</v>
      </c>
      <c r="O18" s="18" t="s">
        <v>51</v>
      </c>
      <c r="P18" s="18" t="s">
        <v>52</v>
      </c>
      <c r="Q18" s="18" t="s">
        <v>53</v>
      </c>
      <c r="R18" s="18" t="s">
        <v>48</v>
      </c>
      <c r="S18" s="18" t="s">
        <v>54</v>
      </c>
      <c r="T18" s="18" t="s">
        <v>58</v>
      </c>
      <c r="U18" s="18" t="s">
        <v>56</v>
      </c>
      <c r="V18" s="18" t="s">
        <v>57</v>
      </c>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row>
    <row r="19" spans="1:51" s="77" customFormat="1" ht="30">
      <c r="A19" s="25" t="s">
        <v>250</v>
      </c>
      <c r="B19" s="78" t="str">
        <f>IFERROR(INDEX('REFERENCING &amp; DATABASE'!$E$7:$E$131,MATCH($A19,'REFERENCING &amp; DATABASE'!$D$7:$D$131,0)),"")</f>
        <v>Classic Straight Leg Jeans</v>
      </c>
      <c r="C19" s="25" t="str">
        <f>IFERROR(INDEX('REFERENCING &amp; DATABASE'!$B$7:$B$131,MATCH($A19,'REFERENCING &amp; DATABASE'!$D$7:$D$131,0)),"")</f>
        <v>BOTTOMS</v>
      </c>
      <c r="D19" s="25" t="str">
        <f>IFERROR(INDEX('REFERENCING &amp; DATABASE'!$C$7:$C$131,MATCH($A19,'REFERENCING &amp; DATABASE'!$D$7:$D$131,0)),"")</f>
        <v>JEANS</v>
      </c>
      <c r="E19" s="26" t="str">
        <f>IFERROR(INDEX('REFERENCING &amp; DATABASE'!$F$7:$F$131,MATCH($A19,'REFERENCING &amp; DATABASE'!$D$7:$D$131,0)),"")</f>
        <v xml:space="preserve">A timeless and versatile style that flatters all body types. </v>
      </c>
      <c r="F19" s="28" t="str">
        <f>IFERROR(INDEX('REFERENCING &amp; DATABASE'!$G$7:$G$131,MATCH($A19,'REFERENCING &amp; DATABASE'!$D$7:$D$131,0)),"")</f>
        <v>Blue,Black,Grey</v>
      </c>
      <c r="G19" s="39">
        <f>IFERROR(INDEX('REFERENCING &amp; DATABASE'!$H$7:$H$131,MATCH($A19,'REFERENCING &amp; DATABASE'!$D$7:$D$131,0)),"")</f>
        <v>10</v>
      </c>
      <c r="H19" s="28">
        <f>IFERROR(INDEX('WHS STK MGT &amp; ALLOC.'!$I:$I,MATCH($A19,'WHS STK MGT &amp; ALLOC.'!$A:$A,0)),"")</f>
        <v>616</v>
      </c>
      <c r="I19" s="60">
        <f>SUM('WHS STK MGT &amp; ALLOC.'!$K19,'WHS STK MGT &amp; ALLOC.'!$M19,'WHS STK MGT &amp; ALLOC.'!$O19,'WHS STK MGT &amp; ALLOC.'!$Q19,'WHS STK MGT &amp; ALLOC.'!$S19,'WHS STK MGT &amp; ALLOC.'!$U19,'WHS STK MGT &amp; ALLOC.'!$W19,'WHS STK MGT &amp; ALLOC.'!$Y19)</f>
        <v>10</v>
      </c>
      <c r="J19" s="60">
        <f>SUMIF('IN STORE SALES RECORD'!$D:$D,'STORE STK &amp; SALES MGT'!$A19,'IN STORE SALES RECORD'!$E:$E)</f>
        <v>0</v>
      </c>
      <c r="K19" s="60">
        <f>SUMIF('IN STORE SALES RECORD'!$D:$D,'STORE STK &amp; SALES MGT'!$A19,'IN STORE SALES RECORD'!$H:$H)</f>
        <v>0</v>
      </c>
      <c r="L19" s="60">
        <f t="shared" ref="L19:L31" si="2">IFERROR(ROUND(($K19/(SUM($K:$K))) * 100,3),"")</f>
        <v>0</v>
      </c>
      <c r="M19" s="60">
        <f t="shared" ref="M19:M31" si="3">IFERROR(ROUND($J19/$I19 * 100,2),"")</f>
        <v>0</v>
      </c>
      <c r="N19" s="60" cm="1">
        <f t="array" ref="N19">_xlfn.IFS($P$5 = "WEEK 1",'WHS STK MGT &amp; ALLOC.'!$K19,$P$5 = "WEEK 2",'WHS STK MGT &amp; ALLOC.'!$M19,$P$5 = "WEEK 3",'WHS STK MGT &amp; ALLOC.'!$O19,$P$5 = "WEEK 4",'WHS STK MGT &amp; ALLOC.'!Q19,$P$5 ="WEEK 5",'WHS STK MGT &amp; ALLOC.'!$S19)</f>
        <v>10</v>
      </c>
      <c r="O19" s="60" cm="1">
        <f t="array" ref="O19">_xlfn.SWITCH($P$5,
  "WEEK 1", 'WHS STK MGT &amp; ALLOC.'!$H19,
  "WEEK 2", 'WHS STK MGT &amp; ALLOC.'!$H19 - 'WHS STK MGT &amp; ALLOC.'!$K19,
  "WEEK 3", 'WHS STK MGT &amp; ALLOC.'!$H19 - ('WHS STK MGT &amp; ALLOC.'!$K19 + 'WHS STK MGT &amp; ALLOC.'!$M19),
  "WEEK 4", 'WHS STK MGT &amp; ALLOC.'!$H19 - ('WHS STK MGT &amp; ALLOC.'!$K19 + 'WHS STK MGT &amp; ALLOC.'!$M19 + 'WHS STK MGT &amp; ALLOC.'!$O19),
  "WEEK 5", 'WHS STK MGT &amp; ALLOC.'!$H19 - ('WHS STK MGT &amp; ALLOC.'!$K19 + 'WHS STK MGT &amp; ALLOC.'!$M19 + 'WHS STK MGT &amp; ALLOC.'!$O19 + 'WHS STK MGT &amp; ALLOC.'!$Q19),
  "WEEK 6", 'WHS STK MGT &amp; ALLOC.'!$H19 - ('WHS STK MGT &amp; ALLOC.'!$K19 + 'WHS STK MGT &amp; ALLOC.'!$M19 + 'WHS STK MGT &amp; ALLOC.'!$O19 + 'WHS STK MGT &amp; ALLOC.'!$Q19 + 'WHS STK MGT &amp; ALLOC.'!$S19),
  "WEEK 7", 'WHS STK MGT &amp; ALLOC.'!$H19 - ('WHS STK MGT &amp; ALLOC.'!$K19 + 'WHS STK MGT &amp; ALLOC.'!$M19 + 'WHS STK MGT &amp; ALLOC.'!$O19 + 'WHS STK MGT &amp; ALLOC.'!$Q19 + 'WHS STK MGT &amp; ALLOC.'!$S19 + 'WHS STK MGT &amp; ALLOC.'!$U19),
  "Other Weeks", 0
)</f>
        <v>626</v>
      </c>
      <c r="P19" s="60">
        <f>SUMIFS('IN STORE SALES RECORD'!$E:$E,'IN STORE SALES RECORD'!$D:$D,'STORE STK &amp; SALES MGT'!$A19,'IN STORE SALES RECORD'!$A:$A,'STORE STK &amp; SALES MGT'!$P$5)</f>
        <v>0</v>
      </c>
      <c r="Q19" s="60">
        <f>SUMIFS('IN STORE SALES RECORD'!$H:$H,'IN STORE SALES RECORD'!$D:$D,'STORE STK &amp; SALES MGT'!$A19,'IN STORE SALES RECORD'!$A:$A,'STORE STK &amp; SALES MGT'!$P$5)</f>
        <v>0</v>
      </c>
      <c r="R19" s="60">
        <f>IFERROR(ROUND(Q19/SUMIF('IN STORE SALES RECORD'!$A:$A,'STORE STK &amp; SALES MGT'!$P$5,'IN STORE SALES RECORD'!$H:$H)*100,3),"")</f>
        <v>0</v>
      </c>
      <c r="S19" s="60" cm="1">
        <f t="array" ref="S19">_xlfn.IFS($P$5 ="WEEK 1",'WHS STK MGT &amp; ALLOC.'!$H19-'WHS STK MGT &amp; ALLOC.'!$K19,$P$5 ="WEEK 2",'WHS STK MGT &amp; ALLOC.'!H19-('WHS STK MGT &amp; ALLOC.'!$K19+'WHS STK MGT &amp; ALLOC.'!$M19),$P$5 ="WEEK 3",'WHS STK MGT &amp; ALLOC.'!$H19-'WHS STK MGT &amp; ALLOC.'!$K19-'WHS STK MGT &amp; ALLOC.'!$M19-'WHS STK MGT &amp; ALLOC.'!$O19,$P$5 = "WEEK 4",'WHS STK MGT &amp; ALLOC.'!H19-'WHS STK MGT &amp; ALLOC.'!$K19-'WHS STK MGT &amp; ALLOC.'!$M19-'WHS STK MGT &amp; ALLOC.'!$O19-'WHS STK MGT &amp; ALLOC.'!$Q19,$P$5 = "WEEK 5",'WHS STK MGT &amp; ALLOC.'!H19-'WHS STK MGT &amp; ALLOC.'!$K19-'WHS STK MGT &amp; ALLOC.'!$M19-'WHS STK MGT &amp; ALLOC.'!$O19-'WHS STK MGT &amp; ALLOC.'!$Q19-'WHS STK MGT &amp; ALLOC.'!$S19)</f>
        <v>616</v>
      </c>
      <c r="T19" s="99">
        <f>SUMIFS('IN STORE SALES RECORD'!$E:$E,'IN STORE SALES RECORD'!$D:$D,'STORE STK &amp; SALES MGT'!$A19,'IN STORE SALES RECORD'!$C:$C,'STORE STK &amp; SALES MGT'!$U$5)</f>
        <v>0</v>
      </c>
      <c r="U19" s="60">
        <f>SUMIFS('IN STORE SALES RECORD'!$H:$H,'IN STORE SALES RECORD'!$D:$D,'STORE STK &amp; SALES MGT'!$A19,'IN STORE SALES RECORD'!$C:$C,'STORE STK &amp; SALES MGT'!$U$5)</f>
        <v>0</v>
      </c>
      <c r="V19" s="99">
        <f>IFERROR(ROUND(SUMIFS('IN STORE SALES RECORD'!$H:$H,'IN STORE SALES RECORD'!$C:$C,'STORE STK &amp; SALES MGT'!$U$5,'STORE STK &amp; SALES MGT'!$A:$A,'STORE STK &amp; SALES MGT'!$A19)/SUMIF('IN STORE SALES RECORD'!$C:$C,'STORE STK &amp; SALES MGT'!$U$5,'IN STORE SALES RECORD'!$H:$H)*100,3),"")</f>
        <v>0</v>
      </c>
    </row>
    <row r="20" spans="1:51" s="77" customFormat="1" ht="30">
      <c r="A20" s="25" t="s">
        <v>251</v>
      </c>
      <c r="B20" s="78" t="str">
        <f>IFERROR(INDEX('REFERENCING &amp; DATABASE'!$E$7:$E$131,MATCH($A20,'REFERENCING &amp; DATABASE'!$D$7:$D$131,0)),"")</f>
        <v>Skinny Fit Jeans</v>
      </c>
      <c r="C20" s="25" t="str">
        <f>IFERROR(INDEX('REFERENCING &amp; DATABASE'!$B$7:$B$131,MATCH($A20,'REFERENCING &amp; DATABASE'!$D$7:$D$131,0)),"")</f>
        <v>BOTTOMS</v>
      </c>
      <c r="D20" s="25" t="str">
        <f>IFERROR(INDEX('REFERENCING &amp; DATABASE'!$C$7:$C$131,MATCH($A20,'REFERENCING &amp; DATABASE'!$D$7:$D$131,0)),"")</f>
        <v>JEANS</v>
      </c>
      <c r="E20" s="26" t="str">
        <f>IFERROR(INDEX('REFERENCING &amp; DATABASE'!$F$7:$F$131,MATCH($A20,'REFERENCING &amp; DATABASE'!$D$7:$D$131,0)),"")</f>
        <v>A form-fitting silhouette that hugs your curves.</v>
      </c>
      <c r="F20" s="28" t="str">
        <f>IFERROR(INDEX('REFERENCING &amp; DATABASE'!$G$7:$G$131,MATCH($A20,'REFERENCING &amp; DATABASE'!$D$7:$D$131,0)),"")</f>
        <v>Blue,Black,Grey</v>
      </c>
      <c r="G20" s="39">
        <f>IFERROR(INDEX('REFERENCING &amp; DATABASE'!$H$7:$H$131,MATCH($A20,'REFERENCING &amp; DATABASE'!$D$7:$D$131,0)),"")</f>
        <v>10</v>
      </c>
      <c r="H20" s="28">
        <f>IFERROR(INDEX('WHS STK MGT &amp; ALLOC.'!$I:$I,MATCH($A20,'WHS STK MGT &amp; ALLOC.'!$A:$A,0)),"")</f>
        <v>197</v>
      </c>
      <c r="I20" s="60">
        <f>SUM('WHS STK MGT &amp; ALLOC.'!$K20,'WHS STK MGT &amp; ALLOC.'!$M20,'WHS STK MGT &amp; ALLOC.'!$O20,'WHS STK MGT &amp; ALLOC.'!$Q20,'WHS STK MGT &amp; ALLOC.'!$S20,'WHS STK MGT &amp; ALLOC.'!$U20,'WHS STK MGT &amp; ALLOC.'!$W20,'WHS STK MGT &amp; ALLOC.'!$Y20)</f>
        <v>10</v>
      </c>
      <c r="J20" s="60">
        <f>SUMIF('IN STORE SALES RECORD'!$D:$D,'STORE STK &amp; SALES MGT'!$A20,'IN STORE SALES RECORD'!$E:$E)</f>
        <v>55</v>
      </c>
      <c r="K20" s="60">
        <f>SUMIF('IN STORE SALES RECORD'!$D:$D,'STORE STK &amp; SALES MGT'!$A20,'IN STORE SALES RECORD'!$H:$H)</f>
        <v>2475</v>
      </c>
      <c r="L20" s="60">
        <f t="shared" si="2"/>
        <v>6.0659999999999998</v>
      </c>
      <c r="M20" s="60">
        <f t="shared" si="3"/>
        <v>550</v>
      </c>
      <c r="N20" s="60" cm="1">
        <f t="array" ref="N20">_xlfn.IFS($P$5 = "WEEK 1",'WHS STK MGT &amp; ALLOC.'!$K20,$P$5 = "WEEK 2",'WHS STK MGT &amp; ALLOC.'!$M20,$P$5 = "WEEK 3",'WHS STK MGT &amp; ALLOC.'!$O20,$P$5 = "WEEK 4",'WHS STK MGT &amp; ALLOC.'!Q20,$P$5 ="WEEK 5",'WHS STK MGT &amp; ALLOC.'!$S20)</f>
        <v>10</v>
      </c>
      <c r="O20" s="60" cm="1">
        <f t="array" ref="O20">_xlfn.SWITCH($P$5,
  "WEEK 1", 'WHS STK MGT &amp; ALLOC.'!$H20,
  "WEEK 2", 'WHS STK MGT &amp; ALLOC.'!$H20 - 'WHS STK MGT &amp; ALLOC.'!$K20,
  "WEEK 3", 'WHS STK MGT &amp; ALLOC.'!$H20 - ('WHS STK MGT &amp; ALLOC.'!$K20 + 'WHS STK MGT &amp; ALLOC.'!$M20),
  "WEEK 4", 'WHS STK MGT &amp; ALLOC.'!$H20 - ('WHS STK MGT &amp; ALLOC.'!$K20 + 'WHS STK MGT &amp; ALLOC.'!$M20 + 'WHS STK MGT &amp; ALLOC.'!$O20),
  "WEEK 5", 'WHS STK MGT &amp; ALLOC.'!$H20 - ('WHS STK MGT &amp; ALLOC.'!$K20 + 'WHS STK MGT &amp; ALLOC.'!$M20 + 'WHS STK MGT &amp; ALLOC.'!$O20 + 'WHS STK MGT &amp; ALLOC.'!$Q20),
  "WEEK 6", 'WHS STK MGT &amp; ALLOC.'!$H20 - ('WHS STK MGT &amp; ALLOC.'!$K20 + 'WHS STK MGT &amp; ALLOC.'!$M20 + 'WHS STK MGT &amp; ALLOC.'!$O20 + 'WHS STK MGT &amp; ALLOC.'!$Q20 + 'WHS STK MGT &amp; ALLOC.'!$S20),
  "WEEK 7", 'WHS STK MGT &amp; ALLOC.'!$H20 - ('WHS STK MGT &amp; ALLOC.'!$K20 + 'WHS STK MGT &amp; ALLOC.'!$M20 + 'WHS STK MGT &amp; ALLOC.'!$O20 + 'WHS STK MGT &amp; ALLOC.'!$Q20 + 'WHS STK MGT &amp; ALLOC.'!$S20 + 'WHS STK MGT &amp; ALLOC.'!$U20),
  "Other Weeks", 0
)</f>
        <v>207</v>
      </c>
      <c r="P20" s="60">
        <f>SUMIFS('IN STORE SALES RECORD'!$E:$E,'IN STORE SALES RECORD'!$D:$D,'STORE STK &amp; SALES MGT'!$A20,'IN STORE SALES RECORD'!$A:$A,'STORE STK &amp; SALES MGT'!$P$5)</f>
        <v>0</v>
      </c>
      <c r="Q20" s="60">
        <f>SUMIFS('IN STORE SALES RECORD'!$H:$H,'IN STORE SALES RECORD'!$D:$D,'STORE STK &amp; SALES MGT'!$A20,'IN STORE SALES RECORD'!$A:$A,'STORE STK &amp; SALES MGT'!$P$5)</f>
        <v>0</v>
      </c>
      <c r="R20" s="60">
        <f>IFERROR(ROUND(Q20/SUMIF('IN STORE SALES RECORD'!$A:$A,'STORE STK &amp; SALES MGT'!$P$5,'IN STORE SALES RECORD'!$H:$H)*100,3),"")</f>
        <v>0</v>
      </c>
      <c r="S20" s="60" cm="1">
        <f t="array" ref="S20">_xlfn.IFS($P$5 ="WEEK 1",'WHS STK MGT &amp; ALLOC.'!$H20-'WHS STK MGT &amp; ALLOC.'!$K20,$P$5 ="WEEK 2",'WHS STK MGT &amp; ALLOC.'!H20-('WHS STK MGT &amp; ALLOC.'!$K20+'WHS STK MGT &amp; ALLOC.'!$M20),$P$5 ="WEEK 3",'WHS STK MGT &amp; ALLOC.'!$H20-'WHS STK MGT &amp; ALLOC.'!$K20-'WHS STK MGT &amp; ALLOC.'!$M20-'WHS STK MGT &amp; ALLOC.'!$O20,$P$5 = "WEEK 4",'WHS STK MGT &amp; ALLOC.'!H20-'WHS STK MGT &amp; ALLOC.'!$K20-'WHS STK MGT &amp; ALLOC.'!$M20-'WHS STK MGT &amp; ALLOC.'!$O20-'WHS STK MGT &amp; ALLOC.'!$Q20,$P$5 = "WEEK 5",'WHS STK MGT &amp; ALLOC.'!H20-'WHS STK MGT &amp; ALLOC.'!$K20-'WHS STK MGT &amp; ALLOC.'!$M20-'WHS STK MGT &amp; ALLOC.'!$O20-'WHS STK MGT &amp; ALLOC.'!$Q20-'WHS STK MGT &amp; ALLOC.'!$S20)</f>
        <v>197</v>
      </c>
      <c r="T20" s="99">
        <f>SUMIFS('IN STORE SALES RECORD'!$E:$E,'IN STORE SALES RECORD'!$D:$D,'STORE STK &amp; SALES MGT'!$A20,'IN STORE SALES RECORD'!$C:$C,'STORE STK &amp; SALES MGT'!$U$5)</f>
        <v>55</v>
      </c>
      <c r="U20" s="60">
        <f>SUMIFS('IN STORE SALES RECORD'!$H:$H,'IN STORE SALES RECORD'!$D:$D,'STORE STK &amp; SALES MGT'!$A20,'IN STORE SALES RECORD'!$C:$C,'STORE STK &amp; SALES MGT'!$U$5)</f>
        <v>2475</v>
      </c>
      <c r="V20" s="99">
        <f>IFERROR(ROUND(SUMIFS('IN STORE SALES RECORD'!$H:$H,'IN STORE SALES RECORD'!$C:$C,'STORE STK &amp; SALES MGT'!$U$5,'STORE STK &amp; SALES MGT'!$A:$A,'STORE STK &amp; SALES MGT'!$A20)/SUMIF('IN STORE SALES RECORD'!$C:$C,'STORE STK &amp; SALES MGT'!$U$5,'IN STORE SALES RECORD'!$H:$H)*100,3),"")</f>
        <v>2.7450000000000001</v>
      </c>
    </row>
    <row r="21" spans="1:51" s="77" customFormat="1" ht="30">
      <c r="A21" s="25" t="s">
        <v>252</v>
      </c>
      <c r="B21" s="78" t="str">
        <f>IFERROR(INDEX('REFERENCING &amp; DATABASE'!$E$7:$E$131,MATCH($A21,'REFERENCING &amp; DATABASE'!$D$7:$D$131,0)),"")</f>
        <v>Bootcut Jeans</v>
      </c>
      <c r="C21" s="25" t="str">
        <f>IFERROR(INDEX('REFERENCING &amp; DATABASE'!$B$7:$B$131,MATCH($A21,'REFERENCING &amp; DATABASE'!$D$7:$D$131,0)),"")</f>
        <v>BOTTOMS</v>
      </c>
      <c r="D21" s="25" t="str">
        <f>IFERROR(INDEX('REFERENCING &amp; DATABASE'!$C$7:$C$131,MATCH($A21,'REFERENCING &amp; DATABASE'!$D$7:$D$131,0)),"")</f>
        <v>JEANS</v>
      </c>
      <c r="E21" s="26" t="str">
        <f>IFERROR(INDEX('REFERENCING &amp; DATABASE'!$F$7:$F$131,MATCH($A21,'REFERENCING &amp; DATABASE'!$D$7:$D$131,0)),"")</f>
        <v xml:space="preserve"> A flattering style that flares slightly at the ankle. </v>
      </c>
      <c r="F21" s="28" t="str">
        <f>IFERROR(INDEX('REFERENCING &amp; DATABASE'!$G$7:$G$131,MATCH($A21,'REFERENCING &amp; DATABASE'!$D$7:$D$131,0)),"")</f>
        <v>Blue,Black,Grey</v>
      </c>
      <c r="G21" s="39">
        <f>IFERROR(INDEX('REFERENCING &amp; DATABASE'!$H$7:$H$131,MATCH($A21,'REFERENCING &amp; DATABASE'!$D$7:$D$131,0)),"")</f>
        <v>10</v>
      </c>
      <c r="H21" s="28">
        <f>IFERROR(INDEX('WHS STK MGT &amp; ALLOC.'!$I:$I,MATCH($A21,'WHS STK MGT &amp; ALLOC.'!$A:$A,0)),"")</f>
        <v>634</v>
      </c>
      <c r="I21" s="60">
        <f>SUM('WHS STK MGT &amp; ALLOC.'!$K21,'WHS STK MGT &amp; ALLOC.'!$M21,'WHS STK MGT &amp; ALLOC.'!$O21,'WHS STK MGT &amp; ALLOC.'!$Q21,'WHS STK MGT &amp; ALLOC.'!$S21,'WHS STK MGT &amp; ALLOC.'!$U21,'WHS STK MGT &amp; ALLOC.'!$W21,'WHS STK MGT &amp; ALLOC.'!$Y21)</f>
        <v>10</v>
      </c>
      <c r="J21" s="60">
        <f>SUMIF('IN STORE SALES RECORD'!$D:$D,'STORE STK &amp; SALES MGT'!$A21,'IN STORE SALES RECORD'!$E:$E)</f>
        <v>0</v>
      </c>
      <c r="K21" s="60">
        <f>SUMIF('IN STORE SALES RECORD'!$D:$D,'STORE STK &amp; SALES MGT'!$A21,'IN STORE SALES RECORD'!$H:$H)</f>
        <v>0</v>
      </c>
      <c r="L21" s="60">
        <f t="shared" si="2"/>
        <v>0</v>
      </c>
      <c r="M21" s="60">
        <f t="shared" si="3"/>
        <v>0</v>
      </c>
      <c r="N21" s="60" cm="1">
        <f t="array" ref="N21">_xlfn.IFS($P$5 = "WEEK 1",'WHS STK MGT &amp; ALLOC.'!$K21,$P$5 = "WEEK 2",'WHS STK MGT &amp; ALLOC.'!$M21,$P$5 = "WEEK 3",'WHS STK MGT &amp; ALLOC.'!$O21,$P$5 = "WEEK 4",'WHS STK MGT &amp; ALLOC.'!Q21,$P$5 ="WEEK 5",'WHS STK MGT &amp; ALLOC.'!$S21)</f>
        <v>10</v>
      </c>
      <c r="O21" s="60" cm="1">
        <f t="array" ref="O21">_xlfn.SWITCH($P$5,
  "WEEK 1", 'WHS STK MGT &amp; ALLOC.'!$H21,
  "WEEK 2", 'WHS STK MGT &amp; ALLOC.'!$H21 - 'WHS STK MGT &amp; ALLOC.'!$K21,
  "WEEK 3", 'WHS STK MGT &amp; ALLOC.'!$H21 - ('WHS STK MGT &amp; ALLOC.'!$K21 + 'WHS STK MGT &amp; ALLOC.'!$M21),
  "WEEK 4", 'WHS STK MGT &amp; ALLOC.'!$H21 - ('WHS STK MGT &amp; ALLOC.'!$K21 + 'WHS STK MGT &amp; ALLOC.'!$M21 + 'WHS STK MGT &amp; ALLOC.'!$O21),
  "WEEK 5", 'WHS STK MGT &amp; ALLOC.'!$H21 - ('WHS STK MGT &amp; ALLOC.'!$K21 + 'WHS STK MGT &amp; ALLOC.'!$M21 + 'WHS STK MGT &amp; ALLOC.'!$O21 + 'WHS STK MGT &amp; ALLOC.'!$Q21),
  "WEEK 6", 'WHS STK MGT &amp; ALLOC.'!$H21 - ('WHS STK MGT &amp; ALLOC.'!$K21 + 'WHS STK MGT &amp; ALLOC.'!$M21 + 'WHS STK MGT &amp; ALLOC.'!$O21 + 'WHS STK MGT &amp; ALLOC.'!$Q21 + 'WHS STK MGT &amp; ALLOC.'!$S21),
  "WEEK 7", 'WHS STK MGT &amp; ALLOC.'!$H21 - ('WHS STK MGT &amp; ALLOC.'!$K21 + 'WHS STK MGT &amp; ALLOC.'!$M21 + 'WHS STK MGT &amp; ALLOC.'!$O21 + 'WHS STK MGT &amp; ALLOC.'!$Q21 + 'WHS STK MGT &amp; ALLOC.'!$S21 + 'WHS STK MGT &amp; ALLOC.'!$U21),
  "Other Weeks", 0
)</f>
        <v>644</v>
      </c>
      <c r="P21" s="60">
        <f>SUMIFS('IN STORE SALES RECORD'!$E:$E,'IN STORE SALES RECORD'!$D:$D,'STORE STK &amp; SALES MGT'!$A21,'IN STORE SALES RECORD'!$A:$A,'STORE STK &amp; SALES MGT'!$P$5)</f>
        <v>0</v>
      </c>
      <c r="Q21" s="60">
        <f>SUMIFS('IN STORE SALES RECORD'!$H:$H,'IN STORE SALES RECORD'!$D:$D,'STORE STK &amp; SALES MGT'!$A21,'IN STORE SALES RECORD'!$A:$A,'STORE STK &amp; SALES MGT'!$P$5)</f>
        <v>0</v>
      </c>
      <c r="R21" s="60">
        <f>IFERROR(ROUND(Q21/SUMIF('IN STORE SALES RECORD'!$A:$A,'STORE STK &amp; SALES MGT'!$P$5,'IN STORE SALES RECORD'!$H:$H)*100,3),"")</f>
        <v>0</v>
      </c>
      <c r="S21" s="60" cm="1">
        <f t="array" ref="S21">_xlfn.IFS($P$5 ="WEEK 1",'WHS STK MGT &amp; ALLOC.'!$H21-'WHS STK MGT &amp; ALLOC.'!$K21,$P$5 ="WEEK 2",'WHS STK MGT &amp; ALLOC.'!H21-('WHS STK MGT &amp; ALLOC.'!$K21+'WHS STK MGT &amp; ALLOC.'!$M21),$P$5 ="WEEK 3",'WHS STK MGT &amp; ALLOC.'!$H21-'WHS STK MGT &amp; ALLOC.'!$K21-'WHS STK MGT &amp; ALLOC.'!$M21-'WHS STK MGT &amp; ALLOC.'!$O21,$P$5 = "WEEK 4",'WHS STK MGT &amp; ALLOC.'!H21-'WHS STK MGT &amp; ALLOC.'!$K21-'WHS STK MGT &amp; ALLOC.'!$M21-'WHS STK MGT &amp; ALLOC.'!$O21-'WHS STK MGT &amp; ALLOC.'!$Q21,$P$5 = "WEEK 5",'WHS STK MGT &amp; ALLOC.'!H21-'WHS STK MGT &amp; ALLOC.'!$K21-'WHS STK MGT &amp; ALLOC.'!$M21-'WHS STK MGT &amp; ALLOC.'!$O21-'WHS STK MGT &amp; ALLOC.'!$Q21-'WHS STK MGT &amp; ALLOC.'!$S21)</f>
        <v>634</v>
      </c>
      <c r="T21" s="99">
        <f>SUMIFS('IN STORE SALES RECORD'!$E:$E,'IN STORE SALES RECORD'!$D:$D,'STORE STK &amp; SALES MGT'!$A21,'IN STORE SALES RECORD'!$C:$C,'STORE STK &amp; SALES MGT'!$U$5)</f>
        <v>0</v>
      </c>
      <c r="U21" s="60">
        <f>SUMIFS('IN STORE SALES RECORD'!$H:$H,'IN STORE SALES RECORD'!$D:$D,'STORE STK &amp; SALES MGT'!$A21,'IN STORE SALES RECORD'!$C:$C,'STORE STK &amp; SALES MGT'!$U$5)</f>
        <v>0</v>
      </c>
      <c r="V21" s="99">
        <f>IFERROR(ROUND(SUMIFS('IN STORE SALES RECORD'!$H:$H,'IN STORE SALES RECORD'!$C:$C,'STORE STK &amp; SALES MGT'!$U$5,'STORE STK &amp; SALES MGT'!$A:$A,'STORE STK &amp; SALES MGT'!$A21)/SUMIF('IN STORE SALES RECORD'!$C:$C,'STORE STK &amp; SALES MGT'!$U$5,'IN STORE SALES RECORD'!$H:$H)*100,3),"")</f>
        <v>26.617999999999999</v>
      </c>
    </row>
    <row r="22" spans="1:51" s="77" customFormat="1" ht="30">
      <c r="A22" s="25" t="s">
        <v>253</v>
      </c>
      <c r="B22" s="78" t="str">
        <f>IFERROR(INDEX('REFERENCING &amp; DATABASE'!$E$7:$E$131,MATCH($A22,'REFERENCING &amp; DATABASE'!$D$7:$D$131,0)),"")</f>
        <v>High-Waisted Jeans</v>
      </c>
      <c r="C22" s="25" t="str">
        <f>IFERROR(INDEX('REFERENCING &amp; DATABASE'!$B$7:$B$131,MATCH($A22,'REFERENCING &amp; DATABASE'!$D$7:$D$131,0)),"")</f>
        <v>BOTTOMS</v>
      </c>
      <c r="D22" s="25" t="str">
        <f>IFERROR(INDEX('REFERENCING &amp; DATABASE'!$C$7:$C$131,MATCH($A22,'REFERENCING &amp; DATABASE'!$D$7:$D$131,0)),"")</f>
        <v>JEANS</v>
      </c>
      <c r="E22" s="26" t="str">
        <f>IFERROR(INDEX('REFERENCING &amp; DATABASE'!$F$7:$F$131,MATCH($A22,'REFERENCING &amp; DATABASE'!$D$7:$D$131,0)),"")</f>
        <v>A high-rise silhouette that elongates your legs and flatters your figure.</v>
      </c>
      <c r="F22" s="28" t="str">
        <f>IFERROR(INDEX('REFERENCING &amp; DATABASE'!$G$7:$G$131,MATCH($A22,'REFERENCING &amp; DATABASE'!$D$7:$D$131,0)),"")</f>
        <v>Blue,Black,Grey</v>
      </c>
      <c r="G22" s="39">
        <f>IFERROR(INDEX('REFERENCING &amp; DATABASE'!$H$7:$H$131,MATCH($A22,'REFERENCING &amp; DATABASE'!$D$7:$D$131,0)),"")</f>
        <v>10</v>
      </c>
      <c r="H22" s="28">
        <f>IFERROR(INDEX('WHS STK MGT &amp; ALLOC.'!$I:$I,MATCH($A22,'WHS STK MGT &amp; ALLOC.'!$A:$A,0)),"")</f>
        <v>485</v>
      </c>
      <c r="I22" s="60">
        <f>SUM('WHS STK MGT &amp; ALLOC.'!$K22,'WHS STK MGT &amp; ALLOC.'!$M22,'WHS STK MGT &amp; ALLOC.'!$O22,'WHS STK MGT &amp; ALLOC.'!$Q22,'WHS STK MGT &amp; ALLOC.'!$S22,'WHS STK MGT &amp; ALLOC.'!$U22,'WHS STK MGT &amp; ALLOC.'!$W22,'WHS STK MGT &amp; ALLOC.'!$Y22)</f>
        <v>100</v>
      </c>
      <c r="J22" s="60">
        <f>SUMIF('IN STORE SALES RECORD'!$D:$D,'STORE STK &amp; SALES MGT'!$A22,'IN STORE SALES RECORD'!$E:$E)</f>
        <v>90</v>
      </c>
      <c r="K22" s="60">
        <f>SUMIF('IN STORE SALES RECORD'!$D:$D,'STORE STK &amp; SALES MGT'!$A22,'IN STORE SALES RECORD'!$H:$H)</f>
        <v>4770</v>
      </c>
      <c r="L22" s="60">
        <f t="shared" si="2"/>
        <v>11.691000000000001</v>
      </c>
      <c r="M22" s="60">
        <f t="shared" si="3"/>
        <v>90</v>
      </c>
      <c r="N22" s="60" cm="1">
        <f t="array" ref="N22">_xlfn.IFS($P$5 = "WEEK 1",'WHS STK MGT &amp; ALLOC.'!$K22,$P$5 = "WEEK 2",'WHS STK MGT &amp; ALLOC.'!$M22,$P$5 = "WEEK 3",'WHS STK MGT &amp; ALLOC.'!$O22,$P$5 = "WEEK 4",'WHS STK MGT &amp; ALLOC.'!Q22,$P$5 ="WEEK 5",'WHS STK MGT &amp; ALLOC.'!$S22)</f>
        <v>100</v>
      </c>
      <c r="O22" s="60" cm="1">
        <f t="array" ref="O22">_xlfn.SWITCH($P$5,
  "WEEK 1", 'WHS STK MGT &amp; ALLOC.'!$H22,
  "WEEK 2", 'WHS STK MGT &amp; ALLOC.'!$H22 - 'WHS STK MGT &amp; ALLOC.'!$K22,
  "WEEK 3", 'WHS STK MGT &amp; ALLOC.'!$H22 - ('WHS STK MGT &amp; ALLOC.'!$K22 + 'WHS STK MGT &amp; ALLOC.'!$M22),
  "WEEK 4", 'WHS STK MGT &amp; ALLOC.'!$H22 - ('WHS STK MGT &amp; ALLOC.'!$K22 + 'WHS STK MGT &amp; ALLOC.'!$M22 + 'WHS STK MGT &amp; ALLOC.'!$O22),
  "WEEK 5", 'WHS STK MGT &amp; ALLOC.'!$H22 - ('WHS STK MGT &amp; ALLOC.'!$K22 + 'WHS STK MGT &amp; ALLOC.'!$M22 + 'WHS STK MGT &amp; ALLOC.'!$O22 + 'WHS STK MGT &amp; ALLOC.'!$Q22),
  "WEEK 6", 'WHS STK MGT &amp; ALLOC.'!$H22 - ('WHS STK MGT &amp; ALLOC.'!$K22 + 'WHS STK MGT &amp; ALLOC.'!$M22 + 'WHS STK MGT &amp; ALLOC.'!$O22 + 'WHS STK MGT &amp; ALLOC.'!$Q22 + 'WHS STK MGT &amp; ALLOC.'!$S22),
  "WEEK 7", 'WHS STK MGT &amp; ALLOC.'!$H22 - ('WHS STK MGT &amp; ALLOC.'!$K22 + 'WHS STK MGT &amp; ALLOC.'!$M22 + 'WHS STK MGT &amp; ALLOC.'!$O22 + 'WHS STK MGT &amp; ALLOC.'!$Q22 + 'WHS STK MGT &amp; ALLOC.'!$S22 + 'WHS STK MGT &amp; ALLOC.'!$U22),
  "Other Weeks", 0
)</f>
        <v>585</v>
      </c>
      <c r="P22" s="60">
        <f>SUMIFS('IN STORE SALES RECORD'!$E:$E,'IN STORE SALES RECORD'!$D:$D,'STORE STK &amp; SALES MGT'!$A22,'IN STORE SALES RECORD'!$A:$A,'STORE STK &amp; SALES MGT'!$P$5)</f>
        <v>90</v>
      </c>
      <c r="Q22" s="60">
        <f>SUMIFS('IN STORE SALES RECORD'!$H:$H,'IN STORE SALES RECORD'!$D:$D,'STORE STK &amp; SALES MGT'!$A22,'IN STORE SALES RECORD'!$A:$A,'STORE STK &amp; SALES MGT'!$P$5)</f>
        <v>4770</v>
      </c>
      <c r="R22" s="60">
        <f>IFERROR(ROUND(Q22/SUMIF('IN STORE SALES RECORD'!$A:$A,'STORE STK &amp; SALES MGT'!$P$5,'IN STORE SALES RECORD'!$H:$H)*100,3),"")</f>
        <v>23.795999999999999</v>
      </c>
      <c r="S22" s="60" cm="1">
        <f t="array" ref="S22">_xlfn.IFS($P$5 ="WEEK 1",'WHS STK MGT &amp; ALLOC.'!$H22-'WHS STK MGT &amp; ALLOC.'!$K22,$P$5 ="WEEK 2",'WHS STK MGT &amp; ALLOC.'!H22-('WHS STK MGT &amp; ALLOC.'!$K22+'WHS STK MGT &amp; ALLOC.'!$M22),$P$5 ="WEEK 3",'WHS STK MGT &amp; ALLOC.'!$H22-'WHS STK MGT &amp; ALLOC.'!$K22-'WHS STK MGT &amp; ALLOC.'!$M22-'WHS STK MGT &amp; ALLOC.'!$O22,$P$5 = "WEEK 4",'WHS STK MGT &amp; ALLOC.'!H22-'WHS STK MGT &amp; ALLOC.'!$K22-'WHS STK MGT &amp; ALLOC.'!$M22-'WHS STK MGT &amp; ALLOC.'!$O22-'WHS STK MGT &amp; ALLOC.'!$Q22,$P$5 = "WEEK 5",'WHS STK MGT &amp; ALLOC.'!H22-'WHS STK MGT &amp; ALLOC.'!$K22-'WHS STK MGT &amp; ALLOC.'!$M22-'WHS STK MGT &amp; ALLOC.'!$O22-'WHS STK MGT &amp; ALLOC.'!$Q22-'WHS STK MGT &amp; ALLOC.'!$S22)</f>
        <v>485</v>
      </c>
      <c r="T22" s="99">
        <f>SUMIFS('IN STORE SALES RECORD'!$E:$E,'IN STORE SALES RECORD'!$D:$D,'STORE STK &amp; SALES MGT'!$A22,'IN STORE SALES RECORD'!$C:$C,'STORE STK &amp; SALES MGT'!$U$5)</f>
        <v>90</v>
      </c>
      <c r="U22" s="60">
        <f>SUMIFS('IN STORE SALES RECORD'!$H:$H,'IN STORE SALES RECORD'!$D:$D,'STORE STK &amp; SALES MGT'!$A22,'IN STORE SALES RECORD'!$C:$C,'STORE STK &amp; SALES MGT'!$U$5)</f>
        <v>4770</v>
      </c>
      <c r="V22" s="99">
        <f>IFERROR(ROUND(SUMIFS('IN STORE SALES RECORD'!$H:$H,'IN STORE SALES RECORD'!$C:$C,'STORE STK &amp; SALES MGT'!$U$5,'STORE STK &amp; SALES MGT'!$A:$A,'STORE STK &amp; SALES MGT'!$A22)/SUMIF('IN STORE SALES RECORD'!$C:$C,'STORE STK &amp; SALES MGT'!$U$5,'IN STORE SALES RECORD'!$H:$H)*100,3),"")</f>
        <v>0</v>
      </c>
    </row>
    <row r="23" spans="1:51" s="77" customFormat="1" ht="30">
      <c r="A23" s="25" t="s">
        <v>254</v>
      </c>
      <c r="B23" s="78" t="str">
        <f>IFERROR(INDEX('REFERENCING &amp; DATABASE'!$E$7:$E$131,MATCH($A23,'REFERENCING &amp; DATABASE'!$D$7:$D$131,0)),"")</f>
        <v>Khaki Chinos</v>
      </c>
      <c r="C23" s="25" t="str">
        <f>IFERROR(INDEX('REFERENCING &amp; DATABASE'!$B$7:$B$131,MATCH($A23,'REFERENCING &amp; DATABASE'!$D$7:$D$131,0)),"")</f>
        <v>BOTTOMS</v>
      </c>
      <c r="D23" s="25" t="str">
        <f>IFERROR(INDEX('REFERENCING &amp; DATABASE'!$C$7:$C$131,MATCH($A23,'REFERENCING &amp; DATABASE'!$D$7:$D$131,0)),"")</f>
        <v>PANTS</v>
      </c>
      <c r="E23" s="26" t="str">
        <f>IFERROR(INDEX('REFERENCING &amp; DATABASE'!$F$7:$F$131,MATCH($A23,'REFERENCING &amp; DATABASE'!$D$7:$D$131,0)),"")</f>
        <v>A versatile and comfortable option for work or casual wear.</v>
      </c>
      <c r="F23" s="28" t="str">
        <f>IFERROR(INDEX('REFERENCING &amp; DATABASE'!$G$7:$G$131,MATCH($A23,'REFERENCING &amp; DATABASE'!$D$7:$D$131,0)),"")</f>
        <v>Brown,Black</v>
      </c>
      <c r="G23" s="39">
        <f>IFERROR(INDEX('REFERENCING &amp; DATABASE'!$H$7:$H$131,MATCH($A23,'REFERENCING &amp; DATABASE'!$D$7:$D$131,0)),"")</f>
        <v>10</v>
      </c>
      <c r="H23" s="28">
        <f>IFERROR(INDEX('WHS STK MGT &amp; ALLOC.'!$I:$I,MATCH($A23,'WHS STK MGT &amp; ALLOC.'!$A:$A,0)),"")</f>
        <v>587</v>
      </c>
      <c r="I23" s="60">
        <f>SUM('WHS STK MGT &amp; ALLOC.'!$K23,'WHS STK MGT &amp; ALLOC.'!$M23,'WHS STK MGT &amp; ALLOC.'!$O23,'WHS STK MGT &amp; ALLOC.'!$Q23,'WHS STK MGT &amp; ALLOC.'!$S23,'WHS STK MGT &amp; ALLOC.'!$U23,'WHS STK MGT &amp; ALLOC.'!$W23,'WHS STK MGT &amp; ALLOC.'!$Y23)</f>
        <v>10</v>
      </c>
      <c r="J23" s="60">
        <f>SUMIF('IN STORE SALES RECORD'!$D:$D,'STORE STK &amp; SALES MGT'!$A23,'IN STORE SALES RECORD'!$E:$E)</f>
        <v>0</v>
      </c>
      <c r="K23" s="60">
        <f>SUMIF('IN STORE SALES RECORD'!$D:$D,'STORE STK &amp; SALES MGT'!$A23,'IN STORE SALES RECORD'!$H:$H)</f>
        <v>0</v>
      </c>
      <c r="L23" s="60">
        <f t="shared" si="2"/>
        <v>0</v>
      </c>
      <c r="M23" s="60">
        <f t="shared" si="3"/>
        <v>0</v>
      </c>
      <c r="N23" s="60" cm="1">
        <f t="array" ref="N23">_xlfn.IFS($P$5 = "WEEK 1",'WHS STK MGT &amp; ALLOC.'!$K23,$P$5 = "WEEK 2",'WHS STK MGT &amp; ALLOC.'!$M23,$P$5 = "WEEK 3",'WHS STK MGT &amp; ALLOC.'!$O23,$P$5 = "WEEK 4",'WHS STK MGT &amp; ALLOC.'!Q23,$P$5 ="WEEK 5",'WHS STK MGT &amp; ALLOC.'!$S23)</f>
        <v>10</v>
      </c>
      <c r="O23" s="60" cm="1">
        <f t="array" ref="O23">_xlfn.SWITCH($P$5,
  "WEEK 1", 'WHS STK MGT &amp; ALLOC.'!$H23,
  "WEEK 2", 'WHS STK MGT &amp; ALLOC.'!$H23 - 'WHS STK MGT &amp; ALLOC.'!$K23,
  "WEEK 3", 'WHS STK MGT &amp; ALLOC.'!$H23 - ('WHS STK MGT &amp; ALLOC.'!$K23 + 'WHS STK MGT &amp; ALLOC.'!$M23),
  "WEEK 4", 'WHS STK MGT &amp; ALLOC.'!$H23 - ('WHS STK MGT &amp; ALLOC.'!$K23 + 'WHS STK MGT &amp; ALLOC.'!$M23 + 'WHS STK MGT &amp; ALLOC.'!$O23),
  "WEEK 5", 'WHS STK MGT &amp; ALLOC.'!$H23 - ('WHS STK MGT &amp; ALLOC.'!$K23 + 'WHS STK MGT &amp; ALLOC.'!$M23 + 'WHS STK MGT &amp; ALLOC.'!$O23 + 'WHS STK MGT &amp; ALLOC.'!$Q23),
  "WEEK 6", 'WHS STK MGT &amp; ALLOC.'!$H23 - ('WHS STK MGT &amp; ALLOC.'!$K23 + 'WHS STK MGT &amp; ALLOC.'!$M23 + 'WHS STK MGT &amp; ALLOC.'!$O23 + 'WHS STK MGT &amp; ALLOC.'!$Q23 + 'WHS STK MGT &amp; ALLOC.'!$S23),
  "WEEK 7", 'WHS STK MGT &amp; ALLOC.'!$H23 - ('WHS STK MGT &amp; ALLOC.'!$K23 + 'WHS STK MGT &amp; ALLOC.'!$M23 + 'WHS STK MGT &amp; ALLOC.'!$O23 + 'WHS STK MGT &amp; ALLOC.'!$Q23 + 'WHS STK MGT &amp; ALLOC.'!$S23 + 'WHS STK MGT &amp; ALLOC.'!$U23),
  "Other Weeks", 0
)</f>
        <v>597</v>
      </c>
      <c r="P23" s="60">
        <f>SUMIFS('IN STORE SALES RECORD'!$E:$E,'IN STORE SALES RECORD'!$D:$D,'STORE STK &amp; SALES MGT'!$A23,'IN STORE SALES RECORD'!$A:$A,'STORE STK &amp; SALES MGT'!$P$5)</f>
        <v>0</v>
      </c>
      <c r="Q23" s="60">
        <f>SUMIFS('IN STORE SALES RECORD'!$H:$H,'IN STORE SALES RECORD'!$D:$D,'STORE STK &amp; SALES MGT'!$A23,'IN STORE SALES RECORD'!$A:$A,'STORE STK &amp; SALES MGT'!$P$5)</f>
        <v>0</v>
      </c>
      <c r="R23" s="60">
        <f>IFERROR(ROUND(Q23/SUMIF('IN STORE SALES RECORD'!$A:$A,'STORE STK &amp; SALES MGT'!$P$5,'IN STORE SALES RECORD'!$H:$H)*100,3),"")</f>
        <v>0</v>
      </c>
      <c r="S23" s="60" cm="1">
        <f t="array" ref="S23">_xlfn.IFS($P$5 ="WEEK 1",'WHS STK MGT &amp; ALLOC.'!$H23-'WHS STK MGT &amp; ALLOC.'!$K23,$P$5 ="WEEK 2",'WHS STK MGT &amp; ALLOC.'!H23-('WHS STK MGT &amp; ALLOC.'!$K23+'WHS STK MGT &amp; ALLOC.'!$M23),$P$5 ="WEEK 3",'WHS STK MGT &amp; ALLOC.'!$H23-'WHS STK MGT &amp; ALLOC.'!$K23-'WHS STK MGT &amp; ALLOC.'!$M23-'WHS STK MGT &amp; ALLOC.'!$O23,$P$5 = "WEEK 4",'WHS STK MGT &amp; ALLOC.'!H23-'WHS STK MGT &amp; ALLOC.'!$K23-'WHS STK MGT &amp; ALLOC.'!$M23-'WHS STK MGT &amp; ALLOC.'!$O23-'WHS STK MGT &amp; ALLOC.'!$Q23,$P$5 = "WEEK 5",'WHS STK MGT &amp; ALLOC.'!H23-'WHS STK MGT &amp; ALLOC.'!$K23-'WHS STK MGT &amp; ALLOC.'!$M23-'WHS STK MGT &amp; ALLOC.'!$O23-'WHS STK MGT &amp; ALLOC.'!$Q23-'WHS STK MGT &amp; ALLOC.'!$S23)</f>
        <v>587</v>
      </c>
      <c r="T23" s="99">
        <f>SUMIFS('IN STORE SALES RECORD'!$E:$E,'IN STORE SALES RECORD'!$D:$D,'STORE STK &amp; SALES MGT'!$A23,'IN STORE SALES RECORD'!$C:$C,'STORE STK &amp; SALES MGT'!$U$5)</f>
        <v>0</v>
      </c>
      <c r="U23" s="60">
        <f>SUMIFS('IN STORE SALES RECORD'!$H:$H,'IN STORE SALES RECORD'!$D:$D,'STORE STK &amp; SALES MGT'!$A23,'IN STORE SALES RECORD'!$C:$C,'STORE STK &amp; SALES MGT'!$U$5)</f>
        <v>0</v>
      </c>
      <c r="V23" s="99">
        <f>IFERROR(ROUND(SUMIFS('IN STORE SALES RECORD'!$H:$H,'IN STORE SALES RECORD'!$C:$C,'STORE STK &amp; SALES MGT'!$U$5,'STORE STK &amp; SALES MGT'!$A:$A,'STORE STK &amp; SALES MGT'!$A23)/SUMIF('IN STORE SALES RECORD'!$C:$C,'STORE STK &amp; SALES MGT'!$U$5,'IN STORE SALES RECORD'!$H:$H)*100,3),"")</f>
        <v>0</v>
      </c>
    </row>
    <row r="24" spans="1:51" s="77" customFormat="1" ht="30">
      <c r="A24" s="25" t="s">
        <v>217</v>
      </c>
      <c r="B24" s="78" t="str">
        <f>IFERROR(INDEX('REFERENCING &amp; DATABASE'!$E$7:$E$131,MATCH($A24,'REFERENCING &amp; DATABASE'!$D$7:$D$131,0)),"")</f>
        <v>Slim-Fit Dress Pants</v>
      </c>
      <c r="C24" s="25" t="str">
        <f>IFERROR(INDEX('REFERENCING &amp; DATABASE'!$B$7:$B$131,MATCH($A24,'REFERENCING &amp; DATABASE'!$D$7:$D$131,0)),"")</f>
        <v>BOTTOMS</v>
      </c>
      <c r="D24" s="25" t="str">
        <f>IFERROR(INDEX('REFERENCING &amp; DATABASE'!$C$7:$C$131,MATCH($A24,'REFERENCING &amp; DATABASE'!$D$7:$D$131,0)),"")</f>
        <v>PANTS</v>
      </c>
      <c r="E24" s="26" t="str">
        <f>IFERROR(INDEX('REFERENCING &amp; DATABASE'!$F$7:$F$131,MATCH($A24,'REFERENCING &amp; DATABASE'!$D$7:$D$131,0)),"")</f>
        <v>A polished and professional style for work or special occasions.</v>
      </c>
      <c r="F24" s="28" t="str">
        <f>IFERROR(INDEX('REFERENCING &amp; DATABASE'!$G$7:$G$131,MATCH($A24,'REFERENCING &amp; DATABASE'!$D$7:$D$131,0)),"")</f>
        <v>green, yellow and lavender</v>
      </c>
      <c r="G24" s="39">
        <f>IFERROR(INDEX('REFERENCING &amp; DATABASE'!$H$7:$H$131,MATCH($A24,'REFERENCING &amp; DATABASE'!$D$7:$D$131,0)),"")</f>
        <v>10</v>
      </c>
      <c r="H24" s="28">
        <f>IFERROR(INDEX('WHS STK MGT &amp; ALLOC.'!$I:$I,MATCH($A24,'WHS STK MGT &amp; ALLOC.'!$A:$A,0)),"")</f>
        <v>628</v>
      </c>
      <c r="I24" s="60">
        <f>SUM('WHS STK MGT &amp; ALLOC.'!$K24,'WHS STK MGT &amp; ALLOC.'!$M24,'WHS STK MGT &amp; ALLOC.'!$O24,'WHS STK MGT &amp; ALLOC.'!$Q24,'WHS STK MGT &amp; ALLOC.'!$S24,'WHS STK MGT &amp; ALLOC.'!$U24,'WHS STK MGT &amp; ALLOC.'!$W24,'WHS STK MGT &amp; ALLOC.'!$Y24)</f>
        <v>10</v>
      </c>
      <c r="J24" s="60">
        <f>SUMIF('IN STORE SALES RECORD'!$D:$D,'STORE STK &amp; SALES MGT'!$A24,'IN STORE SALES RECORD'!$E:$E)</f>
        <v>0</v>
      </c>
      <c r="K24" s="60">
        <f>SUMIF('IN STORE SALES RECORD'!$D:$D,'STORE STK &amp; SALES MGT'!$A24,'IN STORE SALES RECORD'!$H:$H)</f>
        <v>0</v>
      </c>
      <c r="L24" s="60">
        <f t="shared" si="2"/>
        <v>0</v>
      </c>
      <c r="M24" s="60">
        <f t="shared" si="3"/>
        <v>0</v>
      </c>
      <c r="N24" s="60" cm="1">
        <f t="array" ref="N24">_xlfn.IFS($P$5 = "WEEK 1",'WHS STK MGT &amp; ALLOC.'!$K24,$P$5 = "WEEK 2",'WHS STK MGT &amp; ALLOC.'!$M24,$P$5 = "WEEK 3",'WHS STK MGT &amp; ALLOC.'!$O24,$P$5 = "WEEK 4",'WHS STK MGT &amp; ALLOC.'!Q24,$P$5 ="WEEK 5",'WHS STK MGT &amp; ALLOC.'!$S24)</f>
        <v>10</v>
      </c>
      <c r="O24" s="60" cm="1">
        <f t="array" ref="O24">_xlfn.SWITCH($P$5,
  "WEEK 1", 'WHS STK MGT &amp; ALLOC.'!$H24,
  "WEEK 2", 'WHS STK MGT &amp; ALLOC.'!$H24 - 'WHS STK MGT &amp; ALLOC.'!$K24,
  "WEEK 3", 'WHS STK MGT &amp; ALLOC.'!$H24 - ('WHS STK MGT &amp; ALLOC.'!$K24 + 'WHS STK MGT &amp; ALLOC.'!$M24),
  "WEEK 4", 'WHS STK MGT &amp; ALLOC.'!$H24 - ('WHS STK MGT &amp; ALLOC.'!$K24 + 'WHS STK MGT &amp; ALLOC.'!$M24 + 'WHS STK MGT &amp; ALLOC.'!$O24),
  "WEEK 5", 'WHS STK MGT &amp; ALLOC.'!$H24 - ('WHS STK MGT &amp; ALLOC.'!$K24 + 'WHS STK MGT &amp; ALLOC.'!$M24 + 'WHS STK MGT &amp; ALLOC.'!$O24 + 'WHS STK MGT &amp; ALLOC.'!$Q24),
  "WEEK 6", 'WHS STK MGT &amp; ALLOC.'!$H24 - ('WHS STK MGT &amp; ALLOC.'!$K24 + 'WHS STK MGT &amp; ALLOC.'!$M24 + 'WHS STK MGT &amp; ALLOC.'!$O24 + 'WHS STK MGT &amp; ALLOC.'!$Q24 + 'WHS STK MGT &amp; ALLOC.'!$S24),
  "WEEK 7", 'WHS STK MGT &amp; ALLOC.'!$H24 - ('WHS STK MGT &amp; ALLOC.'!$K24 + 'WHS STK MGT &amp; ALLOC.'!$M24 + 'WHS STK MGT &amp; ALLOC.'!$O24 + 'WHS STK MGT &amp; ALLOC.'!$Q24 + 'WHS STK MGT &amp; ALLOC.'!$S24 + 'WHS STK MGT &amp; ALLOC.'!$U24),
  "Other Weeks", 0
)</f>
        <v>638</v>
      </c>
      <c r="P24" s="60">
        <f>SUMIFS('IN STORE SALES RECORD'!$E:$E,'IN STORE SALES RECORD'!$D:$D,'STORE STK &amp; SALES MGT'!$A24,'IN STORE SALES RECORD'!$A:$A,'STORE STK &amp; SALES MGT'!$P$5)</f>
        <v>0</v>
      </c>
      <c r="Q24" s="60">
        <f>SUMIFS('IN STORE SALES RECORD'!$H:$H,'IN STORE SALES RECORD'!$D:$D,'STORE STK &amp; SALES MGT'!$A24,'IN STORE SALES RECORD'!$A:$A,'STORE STK &amp; SALES MGT'!$P$5)</f>
        <v>0</v>
      </c>
      <c r="R24" s="60">
        <f>IFERROR(ROUND(Q24/SUMIF('IN STORE SALES RECORD'!$A:$A,'STORE STK &amp; SALES MGT'!$P$5,'IN STORE SALES RECORD'!$H:$H)*100,3),"")</f>
        <v>0</v>
      </c>
      <c r="S24" s="60" cm="1">
        <f t="array" ref="S24">_xlfn.IFS($P$5 ="WEEK 1",'WHS STK MGT &amp; ALLOC.'!$H24-'WHS STK MGT &amp; ALLOC.'!$K24,$P$5 ="WEEK 2",'WHS STK MGT &amp; ALLOC.'!H24-('WHS STK MGT &amp; ALLOC.'!$K24+'WHS STK MGT &amp; ALLOC.'!$M24),$P$5 ="WEEK 3",'WHS STK MGT &amp; ALLOC.'!$H24-'WHS STK MGT &amp; ALLOC.'!$K24-'WHS STK MGT &amp; ALLOC.'!$M24-'WHS STK MGT &amp; ALLOC.'!$O24,$P$5 = "WEEK 4",'WHS STK MGT &amp; ALLOC.'!H24-'WHS STK MGT &amp; ALLOC.'!$K24-'WHS STK MGT &amp; ALLOC.'!$M24-'WHS STK MGT &amp; ALLOC.'!$O24-'WHS STK MGT &amp; ALLOC.'!$Q24,$P$5 = "WEEK 5",'WHS STK MGT &amp; ALLOC.'!H24-'WHS STK MGT &amp; ALLOC.'!$K24-'WHS STK MGT &amp; ALLOC.'!$M24-'WHS STK MGT &amp; ALLOC.'!$O24-'WHS STK MGT &amp; ALLOC.'!$Q24-'WHS STK MGT &amp; ALLOC.'!$S24)</f>
        <v>628</v>
      </c>
      <c r="T24" s="99">
        <f>SUMIFS('IN STORE SALES RECORD'!$E:$E,'IN STORE SALES RECORD'!$D:$D,'STORE STK &amp; SALES MGT'!$A24,'IN STORE SALES RECORD'!$C:$C,'STORE STK &amp; SALES MGT'!$U$5)</f>
        <v>0</v>
      </c>
      <c r="U24" s="60">
        <f>SUMIFS('IN STORE SALES RECORD'!$H:$H,'IN STORE SALES RECORD'!$D:$D,'STORE STK &amp; SALES MGT'!$A24,'IN STORE SALES RECORD'!$C:$C,'STORE STK &amp; SALES MGT'!$U$5)</f>
        <v>0</v>
      </c>
      <c r="V24" s="99">
        <f>IFERROR(ROUND(SUMIFS('IN STORE SALES RECORD'!$H:$H,'IN STORE SALES RECORD'!$C:$C,'STORE STK &amp; SALES MGT'!$U$5,'STORE STK &amp; SALES MGT'!$A:$A,'STORE STK &amp; SALES MGT'!$A24)/SUMIF('IN STORE SALES RECORD'!$C:$C,'STORE STK &amp; SALES MGT'!$U$5,'IN STORE SALES RECORD'!$H:$H)*100,3),"")</f>
        <v>0</v>
      </c>
    </row>
    <row r="25" spans="1:51" s="77" customFormat="1" ht="30">
      <c r="A25" s="25" t="s">
        <v>262</v>
      </c>
      <c r="B25" s="78" t="str">
        <f>IFERROR(INDEX('REFERENCING &amp; DATABASE'!$E$7:$E$131,MATCH($A25,'REFERENCING &amp; DATABASE'!$D$7:$D$131,0)),"")</f>
        <v>Utility Cargo Pants</v>
      </c>
      <c r="C25" s="25" t="str">
        <f>IFERROR(INDEX('REFERENCING &amp; DATABASE'!$B$7:$B$131,MATCH($A25,'REFERENCING &amp; DATABASE'!$D$7:$D$131,0)),"")</f>
        <v>BOTTOMS</v>
      </c>
      <c r="D25" s="25" t="str">
        <f>IFERROR(INDEX('REFERENCING &amp; DATABASE'!$C$7:$C$131,MATCH($A25,'REFERENCING &amp; DATABASE'!$D$7:$D$131,0)),"")</f>
        <v>PANTS</v>
      </c>
      <c r="E25" s="26" t="str">
        <f>IFERROR(INDEX('REFERENCING &amp; DATABASE'!$F$7:$F$131,MATCH($A25,'REFERENCING &amp; DATABASE'!$D$7:$D$131,0)),"")</f>
        <v>A functional and stylish option with multiple pockets.</v>
      </c>
      <c r="F25" s="28" t="str">
        <f>IFERROR(INDEX('REFERENCING &amp; DATABASE'!$G$7:$G$131,MATCH($A25,'REFERENCING &amp; DATABASE'!$D$7:$D$131,0)),"")</f>
        <v>Blue,Black,Grey</v>
      </c>
      <c r="G25" s="39">
        <f>IFERROR(INDEX('REFERENCING &amp; DATABASE'!$H$7:$H$131,MATCH($A25,'REFERENCING &amp; DATABASE'!$D$7:$D$131,0)),"")</f>
        <v>10</v>
      </c>
      <c r="H25" s="28">
        <f>IFERROR(INDEX('WHS STK MGT &amp; ALLOC.'!$I:$I,MATCH($A25,'WHS STK MGT &amp; ALLOC.'!$A:$A,0)),"")</f>
        <v>707</v>
      </c>
      <c r="I25" s="60">
        <f>SUM('WHS STK MGT &amp; ALLOC.'!$K25,'WHS STK MGT &amp; ALLOC.'!$M25,'WHS STK MGT &amp; ALLOC.'!$O25,'WHS STK MGT &amp; ALLOC.'!$Q25,'WHS STK MGT &amp; ALLOC.'!$S25,'WHS STK MGT &amp; ALLOC.'!$U25,'WHS STK MGT &amp; ALLOC.'!$W25,'WHS STK MGT &amp; ALLOC.'!$Y25)</f>
        <v>10</v>
      </c>
      <c r="J25" s="60">
        <f>SUMIF('IN STORE SALES RECORD'!$D:$D,'STORE STK &amp; SALES MGT'!$A25,'IN STORE SALES RECORD'!$E:$E)</f>
        <v>0</v>
      </c>
      <c r="K25" s="60">
        <f>SUMIF('IN STORE SALES RECORD'!$D:$D,'STORE STK &amp; SALES MGT'!$A25,'IN STORE SALES RECORD'!$H:$H)</f>
        <v>0</v>
      </c>
      <c r="L25" s="60">
        <f t="shared" si="2"/>
        <v>0</v>
      </c>
      <c r="M25" s="60">
        <f t="shared" si="3"/>
        <v>0</v>
      </c>
      <c r="N25" s="60" cm="1">
        <f t="array" ref="N25">_xlfn.IFS($P$5 = "WEEK 1",'WHS STK MGT &amp; ALLOC.'!$K25,$P$5 = "WEEK 2",'WHS STK MGT &amp; ALLOC.'!$M25,$P$5 = "WEEK 3",'WHS STK MGT &amp; ALLOC.'!$O25,$P$5 = "WEEK 4",'WHS STK MGT &amp; ALLOC.'!Q25,$P$5 ="WEEK 5",'WHS STK MGT &amp; ALLOC.'!$S25)</f>
        <v>10</v>
      </c>
      <c r="O25" s="60" cm="1">
        <f t="array" ref="O25">_xlfn.SWITCH($P$5,
  "WEEK 1", 'WHS STK MGT &amp; ALLOC.'!$H25,
  "WEEK 2", 'WHS STK MGT &amp; ALLOC.'!$H25 - 'WHS STK MGT &amp; ALLOC.'!$K25,
  "WEEK 3", 'WHS STK MGT &amp; ALLOC.'!$H25 - ('WHS STK MGT &amp; ALLOC.'!$K25 + 'WHS STK MGT &amp; ALLOC.'!$M25),
  "WEEK 4", 'WHS STK MGT &amp; ALLOC.'!$H25 - ('WHS STK MGT &amp; ALLOC.'!$K25 + 'WHS STK MGT &amp; ALLOC.'!$M25 + 'WHS STK MGT &amp; ALLOC.'!$O25),
  "WEEK 5", 'WHS STK MGT &amp; ALLOC.'!$H25 - ('WHS STK MGT &amp; ALLOC.'!$K25 + 'WHS STK MGT &amp; ALLOC.'!$M25 + 'WHS STK MGT &amp; ALLOC.'!$O25 + 'WHS STK MGT &amp; ALLOC.'!$Q25),
  "WEEK 6", 'WHS STK MGT &amp; ALLOC.'!$H25 - ('WHS STK MGT &amp; ALLOC.'!$K25 + 'WHS STK MGT &amp; ALLOC.'!$M25 + 'WHS STK MGT &amp; ALLOC.'!$O25 + 'WHS STK MGT &amp; ALLOC.'!$Q25 + 'WHS STK MGT &amp; ALLOC.'!$S25),
  "WEEK 7", 'WHS STK MGT &amp; ALLOC.'!$H25 - ('WHS STK MGT &amp; ALLOC.'!$K25 + 'WHS STK MGT &amp; ALLOC.'!$M25 + 'WHS STK MGT &amp; ALLOC.'!$O25 + 'WHS STK MGT &amp; ALLOC.'!$Q25 + 'WHS STK MGT &amp; ALLOC.'!$S25 + 'WHS STK MGT &amp; ALLOC.'!$U25),
  "Other Weeks", 0
)</f>
        <v>717</v>
      </c>
      <c r="P25" s="60">
        <f>SUMIFS('IN STORE SALES RECORD'!$E:$E,'IN STORE SALES RECORD'!$D:$D,'STORE STK &amp; SALES MGT'!$A25,'IN STORE SALES RECORD'!$A:$A,'STORE STK &amp; SALES MGT'!$P$5)</f>
        <v>0</v>
      </c>
      <c r="Q25" s="60">
        <f>SUMIFS('IN STORE SALES RECORD'!$H:$H,'IN STORE SALES RECORD'!$D:$D,'STORE STK &amp; SALES MGT'!$A25,'IN STORE SALES RECORD'!$A:$A,'STORE STK &amp; SALES MGT'!$P$5)</f>
        <v>0</v>
      </c>
      <c r="R25" s="60">
        <f>IFERROR(ROUND(Q25/SUMIF('IN STORE SALES RECORD'!$A:$A,'STORE STK &amp; SALES MGT'!$P$5,'IN STORE SALES RECORD'!$H:$H)*100,3),"")</f>
        <v>0</v>
      </c>
      <c r="S25" s="60" cm="1">
        <f t="array" ref="S25">_xlfn.IFS($P$5 ="WEEK 1",'WHS STK MGT &amp; ALLOC.'!$H25-'WHS STK MGT &amp; ALLOC.'!$K25,$P$5 ="WEEK 2",'WHS STK MGT &amp; ALLOC.'!H25-('WHS STK MGT &amp; ALLOC.'!$K25+'WHS STK MGT &amp; ALLOC.'!$M25),$P$5 ="WEEK 3",'WHS STK MGT &amp; ALLOC.'!$H25-'WHS STK MGT &amp; ALLOC.'!$K25-'WHS STK MGT &amp; ALLOC.'!$M25-'WHS STK MGT &amp; ALLOC.'!$O25,$P$5 = "WEEK 4",'WHS STK MGT &amp; ALLOC.'!H25-'WHS STK MGT &amp; ALLOC.'!$K25-'WHS STK MGT &amp; ALLOC.'!$M25-'WHS STK MGT &amp; ALLOC.'!$O25-'WHS STK MGT &amp; ALLOC.'!$Q25,$P$5 = "WEEK 5",'WHS STK MGT &amp; ALLOC.'!H25-'WHS STK MGT &amp; ALLOC.'!$K25-'WHS STK MGT &amp; ALLOC.'!$M25-'WHS STK MGT &amp; ALLOC.'!$O25-'WHS STK MGT &amp; ALLOC.'!$Q25-'WHS STK MGT &amp; ALLOC.'!$S25)</f>
        <v>707</v>
      </c>
      <c r="T25" s="99">
        <f>SUMIFS('IN STORE SALES RECORD'!$E:$E,'IN STORE SALES RECORD'!$D:$D,'STORE STK &amp; SALES MGT'!$A25,'IN STORE SALES RECORD'!$C:$C,'STORE STK &amp; SALES MGT'!$U$5)</f>
        <v>0</v>
      </c>
      <c r="U25" s="60">
        <f>SUMIFS('IN STORE SALES RECORD'!$H:$H,'IN STORE SALES RECORD'!$D:$D,'STORE STK &amp; SALES MGT'!$A25,'IN STORE SALES RECORD'!$C:$C,'STORE STK &amp; SALES MGT'!$U$5)</f>
        <v>0</v>
      </c>
      <c r="V25" s="99">
        <f>IFERROR(ROUND(SUMIFS('IN STORE SALES RECORD'!$H:$H,'IN STORE SALES RECORD'!$C:$C,'STORE STK &amp; SALES MGT'!$U$5,'STORE STK &amp; SALES MGT'!$A:$A,'STORE STK &amp; SALES MGT'!$A25)/SUMIF('IN STORE SALES RECORD'!$C:$C,'STORE STK &amp; SALES MGT'!$U$5,'IN STORE SALES RECORD'!$H:$H)*100,3),"")</f>
        <v>0</v>
      </c>
    </row>
    <row r="26" spans="1:51" s="77" customFormat="1" ht="30">
      <c r="A26" s="25" t="s">
        <v>218</v>
      </c>
      <c r="B26" s="78" t="str">
        <f>IFERROR(INDEX('REFERENCING &amp; DATABASE'!$E$7:$E$131,MATCH($A26,'REFERENCING &amp; DATABASE'!$D$7:$D$131,0)),"")</f>
        <v>Cozy Joggers</v>
      </c>
      <c r="C26" s="25" t="str">
        <f>IFERROR(INDEX('REFERENCING &amp; DATABASE'!$B$7:$B$131,MATCH($A26,'REFERENCING &amp; DATABASE'!$D$7:$D$131,0)),"")</f>
        <v>BOTTOMS</v>
      </c>
      <c r="D26" s="25" t="str">
        <f>IFERROR(INDEX('REFERENCING &amp; DATABASE'!$C$7:$C$131,MATCH($A26,'REFERENCING &amp; DATABASE'!$D$7:$D$131,0)),"")</f>
        <v>PANTS</v>
      </c>
      <c r="E26" s="26" t="str">
        <f>IFERROR(INDEX('REFERENCING &amp; DATABASE'!$F$7:$F$131,MATCH($A26,'REFERENCING &amp; DATABASE'!$D$7:$D$131,0)),"")</f>
        <v>A comfortable and relaxed-fit style for lounging or exercising.</v>
      </c>
      <c r="F26" s="28" t="str">
        <f>IFERROR(INDEX('REFERENCING &amp; DATABASE'!$G$7:$G$131,MATCH($A26,'REFERENCING &amp; DATABASE'!$D$7:$D$131,0)),"")</f>
        <v>Grey</v>
      </c>
      <c r="G26" s="39">
        <f>IFERROR(INDEX('REFERENCING &amp; DATABASE'!$H$7:$H$131,MATCH($A26,'REFERENCING &amp; DATABASE'!$D$7:$D$131,0)),"")</f>
        <v>10</v>
      </c>
      <c r="H26" s="28">
        <f>IFERROR(INDEX('WHS STK MGT &amp; ALLOC.'!$I:$I,MATCH($A26,'WHS STK MGT &amp; ALLOC.'!$A:$A,0)),"")</f>
        <v>745</v>
      </c>
      <c r="I26" s="60">
        <f>SUM('WHS STK MGT &amp; ALLOC.'!$K26,'WHS STK MGT &amp; ALLOC.'!$M26,'WHS STK MGT &amp; ALLOC.'!$O26,'WHS STK MGT &amp; ALLOC.'!$Q26,'WHS STK MGT &amp; ALLOC.'!$S26,'WHS STK MGT &amp; ALLOC.'!$U26,'WHS STK MGT &amp; ALLOC.'!$W26,'WHS STK MGT &amp; ALLOC.'!$Y26)</f>
        <v>10</v>
      </c>
      <c r="J26" s="60">
        <f>SUMIF('IN STORE SALES RECORD'!$D:$D,'STORE STK &amp; SALES MGT'!$A26,'IN STORE SALES RECORD'!$E:$E)</f>
        <v>0</v>
      </c>
      <c r="K26" s="60">
        <f>SUMIF('IN STORE SALES RECORD'!$D:$D,'STORE STK &amp; SALES MGT'!$A26,'IN STORE SALES RECORD'!$H:$H)</f>
        <v>0</v>
      </c>
      <c r="L26" s="60">
        <f t="shared" si="2"/>
        <v>0</v>
      </c>
      <c r="M26" s="60">
        <f t="shared" si="3"/>
        <v>0</v>
      </c>
      <c r="N26" s="60" cm="1">
        <f t="array" ref="N26">_xlfn.IFS($P$5 = "WEEK 1",'WHS STK MGT &amp; ALLOC.'!$K26,$P$5 = "WEEK 2",'WHS STK MGT &amp; ALLOC.'!$M26,$P$5 = "WEEK 3",'WHS STK MGT &amp; ALLOC.'!$O26,$P$5 = "WEEK 4",'WHS STK MGT &amp; ALLOC.'!Q26,$P$5 ="WEEK 5",'WHS STK MGT &amp; ALLOC.'!$S26)</f>
        <v>10</v>
      </c>
      <c r="O26" s="60" cm="1">
        <f t="array" ref="O26">_xlfn.SWITCH($P$5,
  "WEEK 1", 'WHS STK MGT &amp; ALLOC.'!$H26,
  "WEEK 2", 'WHS STK MGT &amp; ALLOC.'!$H26 - 'WHS STK MGT &amp; ALLOC.'!$K26,
  "WEEK 3", 'WHS STK MGT &amp; ALLOC.'!$H26 - ('WHS STK MGT &amp; ALLOC.'!$K26 + 'WHS STK MGT &amp; ALLOC.'!$M26),
  "WEEK 4", 'WHS STK MGT &amp; ALLOC.'!$H26 - ('WHS STK MGT &amp; ALLOC.'!$K26 + 'WHS STK MGT &amp; ALLOC.'!$M26 + 'WHS STK MGT &amp; ALLOC.'!$O26),
  "WEEK 5", 'WHS STK MGT &amp; ALLOC.'!$H26 - ('WHS STK MGT &amp; ALLOC.'!$K26 + 'WHS STK MGT &amp; ALLOC.'!$M26 + 'WHS STK MGT &amp; ALLOC.'!$O26 + 'WHS STK MGT &amp; ALLOC.'!$Q26),
  "WEEK 6", 'WHS STK MGT &amp; ALLOC.'!$H26 - ('WHS STK MGT &amp; ALLOC.'!$K26 + 'WHS STK MGT &amp; ALLOC.'!$M26 + 'WHS STK MGT &amp; ALLOC.'!$O26 + 'WHS STK MGT &amp; ALLOC.'!$Q26 + 'WHS STK MGT &amp; ALLOC.'!$S26),
  "WEEK 7", 'WHS STK MGT &amp; ALLOC.'!$H26 - ('WHS STK MGT &amp; ALLOC.'!$K26 + 'WHS STK MGT &amp; ALLOC.'!$M26 + 'WHS STK MGT &amp; ALLOC.'!$O26 + 'WHS STK MGT &amp; ALLOC.'!$Q26 + 'WHS STK MGT &amp; ALLOC.'!$S26 + 'WHS STK MGT &amp; ALLOC.'!$U26),
  "Other Weeks", 0
)</f>
        <v>755</v>
      </c>
      <c r="P26" s="60">
        <f>SUMIFS('IN STORE SALES RECORD'!$E:$E,'IN STORE SALES RECORD'!$D:$D,'STORE STK &amp; SALES MGT'!$A26,'IN STORE SALES RECORD'!$A:$A,'STORE STK &amp; SALES MGT'!$P$5)</f>
        <v>0</v>
      </c>
      <c r="Q26" s="60">
        <f>SUMIFS('IN STORE SALES RECORD'!$H:$H,'IN STORE SALES RECORD'!$D:$D,'STORE STK &amp; SALES MGT'!$A26,'IN STORE SALES RECORD'!$A:$A,'STORE STK &amp; SALES MGT'!$P$5)</f>
        <v>0</v>
      </c>
      <c r="R26" s="60">
        <f>IFERROR(ROUND(Q26/SUMIF('IN STORE SALES RECORD'!$A:$A,'STORE STK &amp; SALES MGT'!$P$5,'IN STORE SALES RECORD'!$H:$H)*100,3),"")</f>
        <v>0</v>
      </c>
      <c r="S26" s="60" cm="1">
        <f t="array" ref="S26">_xlfn.IFS($P$5 ="WEEK 1",'WHS STK MGT &amp; ALLOC.'!$H26-'WHS STK MGT &amp; ALLOC.'!$K26,$P$5 ="WEEK 2",'WHS STK MGT &amp; ALLOC.'!H26-('WHS STK MGT &amp; ALLOC.'!$K26+'WHS STK MGT &amp; ALLOC.'!$M26),$P$5 ="WEEK 3",'WHS STK MGT &amp; ALLOC.'!$H26-'WHS STK MGT &amp; ALLOC.'!$K26-'WHS STK MGT &amp; ALLOC.'!$M26-'WHS STK MGT &amp; ALLOC.'!$O26,$P$5 = "WEEK 4",'WHS STK MGT &amp; ALLOC.'!H26-'WHS STK MGT &amp; ALLOC.'!$K26-'WHS STK MGT &amp; ALLOC.'!$M26-'WHS STK MGT &amp; ALLOC.'!$O26-'WHS STK MGT &amp; ALLOC.'!$Q26,$P$5 = "WEEK 5",'WHS STK MGT &amp; ALLOC.'!H26-'WHS STK MGT &amp; ALLOC.'!$K26-'WHS STK MGT &amp; ALLOC.'!$M26-'WHS STK MGT &amp; ALLOC.'!$O26-'WHS STK MGT &amp; ALLOC.'!$Q26-'WHS STK MGT &amp; ALLOC.'!$S26)</f>
        <v>745</v>
      </c>
      <c r="T26" s="99">
        <f>SUMIFS('IN STORE SALES RECORD'!$E:$E,'IN STORE SALES RECORD'!$D:$D,'STORE STK &amp; SALES MGT'!$A26,'IN STORE SALES RECORD'!$C:$C,'STORE STK &amp; SALES MGT'!$U$5)</f>
        <v>0</v>
      </c>
      <c r="U26" s="60">
        <f>SUMIFS('IN STORE SALES RECORD'!$H:$H,'IN STORE SALES RECORD'!$D:$D,'STORE STK &amp; SALES MGT'!$A26,'IN STORE SALES RECORD'!$C:$C,'STORE STK &amp; SALES MGT'!$U$5)</f>
        <v>0</v>
      </c>
      <c r="V26" s="99">
        <f>IFERROR(ROUND(SUMIFS('IN STORE SALES RECORD'!$H:$H,'IN STORE SALES RECORD'!$C:$C,'STORE STK &amp; SALES MGT'!$U$5,'STORE STK &amp; SALES MGT'!$A:$A,'STORE STK &amp; SALES MGT'!$A26)/SUMIF('IN STORE SALES RECORD'!$C:$C,'STORE STK &amp; SALES MGT'!$U$5,'IN STORE SALES RECORD'!$H:$H)*100,3),"")</f>
        <v>0</v>
      </c>
    </row>
    <row r="27" spans="1:51" s="77" customFormat="1" ht="30">
      <c r="A27" s="25" t="s">
        <v>263</v>
      </c>
      <c r="B27" s="78" t="str">
        <f>IFERROR(INDEX('REFERENCING &amp; DATABASE'!$E$7:$E$131,MATCH($A27,'REFERENCING &amp; DATABASE'!$D$7:$D$131,0)),"")</f>
        <v>Tech Fleece Track Pants</v>
      </c>
      <c r="C27" s="25" t="str">
        <f>IFERROR(INDEX('REFERENCING &amp; DATABASE'!$B$7:$B$131,MATCH($A27,'REFERENCING &amp; DATABASE'!$D$7:$D$131,0)),"")</f>
        <v>BOTTOMS</v>
      </c>
      <c r="D27" s="25" t="str">
        <f>IFERROR(INDEX('REFERENCING &amp; DATABASE'!$C$7:$C$131,MATCH($A27,'REFERENCING &amp; DATABASE'!$D$7:$D$131,0)),"")</f>
        <v>PANTS</v>
      </c>
      <c r="E27" s="26" t="str">
        <f>IFERROR(INDEX('REFERENCING &amp; DATABASE'!$F$7:$F$131,MATCH($A27,'REFERENCING &amp; DATABASE'!$D$7:$D$131,0)),"")</f>
        <v>Breathable and moisture-wicking pants for athletic activities or everyday wear.</v>
      </c>
      <c r="F27" s="28" t="str">
        <f>IFERROR(INDEX('REFERENCING &amp; DATABASE'!$G$7:$G$131,MATCH($A27,'REFERENCING &amp; DATABASE'!$D$7:$D$131,0)),"")</f>
        <v>Multi-colors</v>
      </c>
      <c r="G27" s="39">
        <f>IFERROR(INDEX('REFERENCING &amp; DATABASE'!$H$7:$H$131,MATCH($A27,'REFERENCING &amp; DATABASE'!$D$7:$D$131,0)),"")</f>
        <v>10</v>
      </c>
      <c r="H27" s="28">
        <f>IFERROR(INDEX('WHS STK MGT &amp; ALLOC.'!$I:$I,MATCH($A27,'WHS STK MGT &amp; ALLOC.'!$A:$A,0)),"")</f>
        <v>489</v>
      </c>
      <c r="I27" s="60">
        <f>SUM('WHS STK MGT &amp; ALLOC.'!$K27,'WHS STK MGT &amp; ALLOC.'!$M27,'WHS STK MGT &amp; ALLOC.'!$O27,'WHS STK MGT &amp; ALLOC.'!$Q27,'WHS STK MGT &amp; ALLOC.'!$S27,'WHS STK MGT &amp; ALLOC.'!$U27,'WHS STK MGT &amp; ALLOC.'!$W27,'WHS STK MGT &amp; ALLOC.'!$Y27)</f>
        <v>10</v>
      </c>
      <c r="J27" s="60">
        <f>SUMIF('IN STORE SALES RECORD'!$D:$D,'STORE STK &amp; SALES MGT'!$A27,'IN STORE SALES RECORD'!$E:$E)</f>
        <v>0</v>
      </c>
      <c r="K27" s="60">
        <f>SUMIF('IN STORE SALES RECORD'!$D:$D,'STORE STK &amp; SALES MGT'!$A27,'IN STORE SALES RECORD'!$H:$H)</f>
        <v>0</v>
      </c>
      <c r="L27" s="60">
        <f t="shared" si="2"/>
        <v>0</v>
      </c>
      <c r="M27" s="60">
        <f t="shared" si="3"/>
        <v>0</v>
      </c>
      <c r="N27" s="60" cm="1">
        <f t="array" ref="N27">_xlfn.IFS($P$5 = "WEEK 1",'WHS STK MGT &amp; ALLOC.'!$K27,$P$5 = "WEEK 2",'WHS STK MGT &amp; ALLOC.'!$M27,$P$5 = "WEEK 3",'WHS STK MGT &amp; ALLOC.'!$O27,$P$5 = "WEEK 4",'WHS STK MGT &amp; ALLOC.'!Q27,$P$5 ="WEEK 5",'WHS STK MGT &amp; ALLOC.'!$S27)</f>
        <v>10</v>
      </c>
      <c r="O27" s="60" cm="1">
        <f t="array" ref="O27">_xlfn.SWITCH($P$5,
  "WEEK 1", 'WHS STK MGT &amp; ALLOC.'!$H27,
  "WEEK 2", 'WHS STK MGT &amp; ALLOC.'!$H27 - 'WHS STK MGT &amp; ALLOC.'!$K27,
  "WEEK 3", 'WHS STK MGT &amp; ALLOC.'!$H27 - ('WHS STK MGT &amp; ALLOC.'!$K27 + 'WHS STK MGT &amp; ALLOC.'!$M27),
  "WEEK 4", 'WHS STK MGT &amp; ALLOC.'!$H27 - ('WHS STK MGT &amp; ALLOC.'!$K27 + 'WHS STK MGT &amp; ALLOC.'!$M27 + 'WHS STK MGT &amp; ALLOC.'!$O27),
  "WEEK 5", 'WHS STK MGT &amp; ALLOC.'!$H27 - ('WHS STK MGT &amp; ALLOC.'!$K27 + 'WHS STK MGT &amp; ALLOC.'!$M27 + 'WHS STK MGT &amp; ALLOC.'!$O27 + 'WHS STK MGT &amp; ALLOC.'!$Q27),
  "WEEK 6", 'WHS STK MGT &amp; ALLOC.'!$H27 - ('WHS STK MGT &amp; ALLOC.'!$K27 + 'WHS STK MGT &amp; ALLOC.'!$M27 + 'WHS STK MGT &amp; ALLOC.'!$O27 + 'WHS STK MGT &amp; ALLOC.'!$Q27 + 'WHS STK MGT &amp; ALLOC.'!$S27),
  "WEEK 7", 'WHS STK MGT &amp; ALLOC.'!$H27 - ('WHS STK MGT &amp; ALLOC.'!$K27 + 'WHS STK MGT &amp; ALLOC.'!$M27 + 'WHS STK MGT &amp; ALLOC.'!$O27 + 'WHS STK MGT &amp; ALLOC.'!$Q27 + 'WHS STK MGT &amp; ALLOC.'!$S27 + 'WHS STK MGT &amp; ALLOC.'!$U27),
  "Other Weeks", 0
)</f>
        <v>499</v>
      </c>
      <c r="P27" s="60">
        <f>SUMIFS('IN STORE SALES RECORD'!$E:$E,'IN STORE SALES RECORD'!$D:$D,'STORE STK &amp; SALES MGT'!$A27,'IN STORE SALES RECORD'!$A:$A,'STORE STK &amp; SALES MGT'!$P$5)</f>
        <v>0</v>
      </c>
      <c r="Q27" s="60">
        <f>SUMIFS('IN STORE SALES RECORD'!$H:$H,'IN STORE SALES RECORD'!$D:$D,'STORE STK &amp; SALES MGT'!$A27,'IN STORE SALES RECORD'!$A:$A,'STORE STK &amp; SALES MGT'!$P$5)</f>
        <v>0</v>
      </c>
      <c r="R27" s="60">
        <f>IFERROR(ROUND(Q27/SUMIF('IN STORE SALES RECORD'!$A:$A,'STORE STK &amp; SALES MGT'!$P$5,'IN STORE SALES RECORD'!$H:$H)*100,3),"")</f>
        <v>0</v>
      </c>
      <c r="S27" s="60" cm="1">
        <f t="array" ref="S27">_xlfn.IFS($P$5 ="WEEK 1",'WHS STK MGT &amp; ALLOC.'!$H27-'WHS STK MGT &amp; ALLOC.'!$K27,$P$5 ="WEEK 2",'WHS STK MGT &amp; ALLOC.'!H27-('WHS STK MGT &amp; ALLOC.'!$K27+'WHS STK MGT &amp; ALLOC.'!$M27),$P$5 ="WEEK 3",'WHS STK MGT &amp; ALLOC.'!$H27-'WHS STK MGT &amp; ALLOC.'!$K27-'WHS STK MGT &amp; ALLOC.'!$M27-'WHS STK MGT &amp; ALLOC.'!$O27,$P$5 = "WEEK 4",'WHS STK MGT &amp; ALLOC.'!H27-'WHS STK MGT &amp; ALLOC.'!$K27-'WHS STK MGT &amp; ALLOC.'!$M27-'WHS STK MGT &amp; ALLOC.'!$O27-'WHS STK MGT &amp; ALLOC.'!$Q27,$P$5 = "WEEK 5",'WHS STK MGT &amp; ALLOC.'!H27-'WHS STK MGT &amp; ALLOC.'!$K27-'WHS STK MGT &amp; ALLOC.'!$M27-'WHS STK MGT &amp; ALLOC.'!$O27-'WHS STK MGT &amp; ALLOC.'!$Q27-'WHS STK MGT &amp; ALLOC.'!$S27)</f>
        <v>489</v>
      </c>
      <c r="T27" s="99">
        <f>SUMIFS('IN STORE SALES RECORD'!$E:$E,'IN STORE SALES RECORD'!$D:$D,'STORE STK &amp; SALES MGT'!$A27,'IN STORE SALES RECORD'!$C:$C,'STORE STK &amp; SALES MGT'!$U$5)</f>
        <v>0</v>
      </c>
      <c r="U27" s="60">
        <f>SUMIFS('IN STORE SALES RECORD'!$H:$H,'IN STORE SALES RECORD'!$D:$D,'STORE STK &amp; SALES MGT'!$A27,'IN STORE SALES RECORD'!$C:$C,'STORE STK &amp; SALES MGT'!$U$5)</f>
        <v>0</v>
      </c>
      <c r="V27" s="99">
        <f>IFERROR(ROUND(SUMIFS('IN STORE SALES RECORD'!$H:$H,'IN STORE SALES RECORD'!$C:$C,'STORE STK &amp; SALES MGT'!$U$5,'STORE STK &amp; SALES MGT'!$A:$A,'STORE STK &amp; SALES MGT'!$A27)/SUMIF('IN STORE SALES RECORD'!$C:$C,'STORE STK &amp; SALES MGT'!$U$5,'IN STORE SALES RECORD'!$H:$H)*100,3),"")</f>
        <v>0</v>
      </c>
    </row>
    <row r="28" spans="1:51" s="77" customFormat="1" ht="45">
      <c r="A28" s="25" t="s">
        <v>219</v>
      </c>
      <c r="B28" s="78" t="str">
        <f>IFERROR(INDEX('REFERENCING &amp; DATABASE'!$E$7:$E$131,MATCH($A28,'REFERENCING &amp; DATABASE'!$D$7:$D$131,0)),"")</f>
        <v>Distressed Denim Shorts</v>
      </c>
      <c r="C28" s="25" t="str">
        <f>IFERROR(INDEX('REFERENCING &amp; DATABASE'!$B$7:$B$131,MATCH($A28,'REFERENCING &amp; DATABASE'!$D$7:$D$131,0)),"")</f>
        <v>BOTTOMS</v>
      </c>
      <c r="D28" s="25" t="str">
        <f>IFERROR(INDEX('REFERENCING &amp; DATABASE'!$C$7:$C$131,MATCH($A28,'REFERENCING &amp; DATABASE'!$D$7:$D$131,0)),"")</f>
        <v>SHORTS</v>
      </c>
      <c r="E28" s="26" t="str">
        <f>IFERROR(INDEX('REFERENCING &amp; DATABASE'!$F$7:$F$131,MATCH($A28,'REFERENCING &amp; DATABASE'!$D$7:$D$131,0)),"")</f>
        <v xml:space="preserve">A classic and casual style with a relaxed fit. </v>
      </c>
      <c r="F28" s="28" t="str">
        <f>IFERROR(INDEX('REFERENCING &amp; DATABASE'!$G$7:$G$131,MATCH($A28,'REFERENCING &amp; DATABASE'!$D$7:$D$131,0)),"")</f>
        <v>light beige, medium beige, dark beige</v>
      </c>
      <c r="G28" s="39">
        <f>IFERROR(INDEX('REFERENCING &amp; DATABASE'!$H$7:$H$131,MATCH($A28,'REFERENCING &amp; DATABASE'!$D$7:$D$131,0)),"")</f>
        <v>30</v>
      </c>
      <c r="H28" s="28">
        <f>IFERROR(INDEX('WHS STK MGT &amp; ALLOC.'!$I:$I,MATCH($A28,'WHS STK MGT &amp; ALLOC.'!$A:$A,0)),"")</f>
        <v>615</v>
      </c>
      <c r="I28" s="60">
        <f>SUM('WHS STK MGT &amp; ALLOC.'!$K28,'WHS STK MGT &amp; ALLOC.'!$M28,'WHS STK MGT &amp; ALLOC.'!$O28,'WHS STK MGT &amp; ALLOC.'!$Q28,'WHS STK MGT &amp; ALLOC.'!$S28,'WHS STK MGT &amp; ALLOC.'!$U28,'WHS STK MGT &amp; ALLOC.'!$W28,'WHS STK MGT &amp; ALLOC.'!$Y28)</f>
        <v>10</v>
      </c>
      <c r="J28" s="60">
        <f>SUMIF('IN STORE SALES RECORD'!$D:$D,'STORE STK &amp; SALES MGT'!$A28,'IN STORE SALES RECORD'!$E:$E)</f>
        <v>0</v>
      </c>
      <c r="K28" s="60">
        <f>SUMIF('IN STORE SALES RECORD'!$D:$D,'STORE STK &amp; SALES MGT'!$A28,'IN STORE SALES RECORD'!$H:$H)</f>
        <v>0</v>
      </c>
      <c r="L28" s="60">
        <f t="shared" si="2"/>
        <v>0</v>
      </c>
      <c r="M28" s="60">
        <f t="shared" si="3"/>
        <v>0</v>
      </c>
      <c r="N28" s="60" cm="1">
        <f t="array" ref="N28">_xlfn.IFS($P$5 = "WEEK 1",'WHS STK MGT &amp; ALLOC.'!$K28,$P$5 = "WEEK 2",'WHS STK MGT &amp; ALLOC.'!$M28,$P$5 = "WEEK 3",'WHS STK MGT &amp; ALLOC.'!$O28,$P$5 = "WEEK 4",'WHS STK MGT &amp; ALLOC.'!Q28,$P$5 ="WEEK 5",'WHS STK MGT &amp; ALLOC.'!$S28)</f>
        <v>10</v>
      </c>
      <c r="O28" s="60" cm="1">
        <f t="array" ref="O28">_xlfn.SWITCH($P$5,
  "WEEK 1", 'WHS STK MGT &amp; ALLOC.'!$H28,
  "WEEK 2", 'WHS STK MGT &amp; ALLOC.'!$H28 - 'WHS STK MGT &amp; ALLOC.'!$K28,
  "WEEK 3", 'WHS STK MGT &amp; ALLOC.'!$H28 - ('WHS STK MGT &amp; ALLOC.'!$K28 + 'WHS STK MGT &amp; ALLOC.'!$M28),
  "WEEK 4", 'WHS STK MGT &amp; ALLOC.'!$H28 - ('WHS STK MGT &amp; ALLOC.'!$K28 + 'WHS STK MGT &amp; ALLOC.'!$M28 + 'WHS STK MGT &amp; ALLOC.'!$O28),
  "WEEK 5", 'WHS STK MGT &amp; ALLOC.'!$H28 - ('WHS STK MGT &amp; ALLOC.'!$K28 + 'WHS STK MGT &amp; ALLOC.'!$M28 + 'WHS STK MGT &amp; ALLOC.'!$O28 + 'WHS STK MGT &amp; ALLOC.'!$Q28),
  "WEEK 6", 'WHS STK MGT &amp; ALLOC.'!$H28 - ('WHS STK MGT &amp; ALLOC.'!$K28 + 'WHS STK MGT &amp; ALLOC.'!$M28 + 'WHS STK MGT &amp; ALLOC.'!$O28 + 'WHS STK MGT &amp; ALLOC.'!$Q28 + 'WHS STK MGT &amp; ALLOC.'!$S28),
  "WEEK 7", 'WHS STK MGT &amp; ALLOC.'!$H28 - ('WHS STK MGT &amp; ALLOC.'!$K28 + 'WHS STK MGT &amp; ALLOC.'!$M28 + 'WHS STK MGT &amp; ALLOC.'!$O28 + 'WHS STK MGT &amp; ALLOC.'!$Q28 + 'WHS STK MGT &amp; ALLOC.'!$S28 + 'WHS STK MGT &amp; ALLOC.'!$U28),
  "Other Weeks", 0
)</f>
        <v>625</v>
      </c>
      <c r="P28" s="60">
        <f>SUMIFS('IN STORE SALES RECORD'!$E:$E,'IN STORE SALES RECORD'!$D:$D,'STORE STK &amp; SALES MGT'!$A28,'IN STORE SALES RECORD'!$A:$A,'STORE STK &amp; SALES MGT'!$P$5)</f>
        <v>0</v>
      </c>
      <c r="Q28" s="60">
        <f>SUMIFS('IN STORE SALES RECORD'!$H:$H,'IN STORE SALES RECORD'!$D:$D,'STORE STK &amp; SALES MGT'!$A28,'IN STORE SALES RECORD'!$A:$A,'STORE STK &amp; SALES MGT'!$P$5)</f>
        <v>0</v>
      </c>
      <c r="R28" s="60">
        <f>IFERROR(ROUND(Q28/SUMIF('IN STORE SALES RECORD'!$A:$A,'STORE STK &amp; SALES MGT'!$P$5,'IN STORE SALES RECORD'!$H:$H)*100,3),"")</f>
        <v>0</v>
      </c>
      <c r="S28" s="60" cm="1">
        <f t="array" ref="S28">_xlfn.IFS($P$5 ="WEEK 1",'WHS STK MGT &amp; ALLOC.'!$H28-'WHS STK MGT &amp; ALLOC.'!$K28,$P$5 ="WEEK 2",'WHS STK MGT &amp; ALLOC.'!H28-('WHS STK MGT &amp; ALLOC.'!$K28+'WHS STK MGT &amp; ALLOC.'!$M28),$P$5 ="WEEK 3",'WHS STK MGT &amp; ALLOC.'!$H28-'WHS STK MGT &amp; ALLOC.'!$K28-'WHS STK MGT &amp; ALLOC.'!$M28-'WHS STK MGT &amp; ALLOC.'!$O28,$P$5 = "WEEK 4",'WHS STK MGT &amp; ALLOC.'!H28-'WHS STK MGT &amp; ALLOC.'!$K28-'WHS STK MGT &amp; ALLOC.'!$M28-'WHS STK MGT &amp; ALLOC.'!$O28-'WHS STK MGT &amp; ALLOC.'!$Q28,$P$5 = "WEEK 5",'WHS STK MGT &amp; ALLOC.'!H28-'WHS STK MGT &amp; ALLOC.'!$K28-'WHS STK MGT &amp; ALLOC.'!$M28-'WHS STK MGT &amp; ALLOC.'!$O28-'WHS STK MGT &amp; ALLOC.'!$Q28-'WHS STK MGT &amp; ALLOC.'!$S28)</f>
        <v>615</v>
      </c>
      <c r="T28" s="99">
        <f>SUMIFS('IN STORE SALES RECORD'!$E:$E,'IN STORE SALES RECORD'!$D:$D,'STORE STK &amp; SALES MGT'!$A28,'IN STORE SALES RECORD'!$C:$C,'STORE STK &amp; SALES MGT'!$U$5)</f>
        <v>0</v>
      </c>
      <c r="U28" s="60">
        <f>SUMIFS('IN STORE SALES RECORD'!$H:$H,'IN STORE SALES RECORD'!$D:$D,'STORE STK &amp; SALES MGT'!$A28,'IN STORE SALES RECORD'!$C:$C,'STORE STK &amp; SALES MGT'!$U$5)</f>
        <v>0</v>
      </c>
      <c r="V28" s="99">
        <f>IFERROR(ROUND(SUMIFS('IN STORE SALES RECORD'!$H:$H,'IN STORE SALES RECORD'!$C:$C,'STORE STK &amp; SALES MGT'!$U$5,'STORE STK &amp; SALES MGT'!$A:$A,'STORE STK &amp; SALES MGT'!$A28)/SUMIF('IN STORE SALES RECORD'!$C:$C,'STORE STK &amp; SALES MGT'!$U$5,'IN STORE SALES RECORD'!$H:$H)*100,3),"")</f>
        <v>0</v>
      </c>
    </row>
    <row r="29" spans="1:51" s="77" customFormat="1">
      <c r="A29" s="25" t="s">
        <v>220</v>
      </c>
      <c r="B29" s="78" t="str">
        <f>IFERROR(INDEX('REFERENCING &amp; DATABASE'!$E$7:$E$131,MATCH($A29,'REFERENCING &amp; DATABASE'!$D$7:$D$131,0)),"")</f>
        <v>Khaki Chino Shorts</v>
      </c>
      <c r="C29" s="25" t="str">
        <f>IFERROR(INDEX('REFERENCING &amp; DATABASE'!$B$7:$B$131,MATCH($A29,'REFERENCING &amp; DATABASE'!$D$7:$D$131,0)),"")</f>
        <v>BOTTOMS</v>
      </c>
      <c r="D29" s="25" t="str">
        <f>IFERROR(INDEX('REFERENCING &amp; DATABASE'!$C$7:$C$131,MATCH($A29,'REFERENCING &amp; DATABASE'!$D$7:$D$131,0)),"")</f>
        <v>SHORTS</v>
      </c>
      <c r="E29" s="26" t="str">
        <f>IFERROR(INDEX('REFERENCING &amp; DATABASE'!$F$7:$F$131,MATCH($A29,'REFERENCING &amp; DATABASE'!$D$7:$D$131,0)),"")</f>
        <v>A versatile option for warmer weather.</v>
      </c>
      <c r="F29" s="28" t="str">
        <f>IFERROR(INDEX('REFERENCING &amp; DATABASE'!$G$7:$G$131,MATCH($A29,'REFERENCING &amp; DATABASE'!$D$7:$D$131,0)),"")</f>
        <v>light beige, Brown</v>
      </c>
      <c r="G29" s="39">
        <f>IFERROR(INDEX('REFERENCING &amp; DATABASE'!$H$7:$H$131,MATCH($A29,'REFERENCING &amp; DATABASE'!$D$7:$D$131,0)),"")</f>
        <v>30</v>
      </c>
      <c r="H29" s="28">
        <f>IFERROR(INDEX('WHS STK MGT &amp; ALLOC.'!$I:$I,MATCH($A29,'WHS STK MGT &amp; ALLOC.'!$A:$A,0)),"")</f>
        <v>478</v>
      </c>
      <c r="I29" s="60">
        <f>SUM('WHS STK MGT &amp; ALLOC.'!$K29,'WHS STK MGT &amp; ALLOC.'!$M29,'WHS STK MGT &amp; ALLOC.'!$O29,'WHS STK MGT &amp; ALLOC.'!$Q29,'WHS STK MGT &amp; ALLOC.'!$S29,'WHS STK MGT &amp; ALLOC.'!$U29,'WHS STK MGT &amp; ALLOC.'!$W29,'WHS STK MGT &amp; ALLOC.'!$Y29)</f>
        <v>10</v>
      </c>
      <c r="J29" s="60">
        <f>SUMIF('IN STORE SALES RECORD'!$D:$D,'STORE STK &amp; SALES MGT'!$A29,'IN STORE SALES RECORD'!$E:$E)</f>
        <v>0</v>
      </c>
      <c r="K29" s="60">
        <f>SUMIF('IN STORE SALES RECORD'!$D:$D,'STORE STK &amp; SALES MGT'!$A29,'IN STORE SALES RECORD'!$H:$H)</f>
        <v>0</v>
      </c>
      <c r="L29" s="60">
        <f t="shared" si="2"/>
        <v>0</v>
      </c>
      <c r="M29" s="60">
        <f t="shared" si="3"/>
        <v>0</v>
      </c>
      <c r="N29" s="60" cm="1">
        <f t="array" ref="N29">_xlfn.IFS($P$5 = "WEEK 1",'WHS STK MGT &amp; ALLOC.'!$K29,$P$5 = "WEEK 2",'WHS STK MGT &amp; ALLOC.'!$M29,$P$5 = "WEEK 3",'WHS STK MGT &amp; ALLOC.'!$O29,$P$5 = "WEEK 4",'WHS STK MGT &amp; ALLOC.'!Q29,$P$5 ="WEEK 5",'WHS STK MGT &amp; ALLOC.'!$S29)</f>
        <v>10</v>
      </c>
      <c r="O29" s="60" cm="1">
        <f t="array" ref="O29">_xlfn.SWITCH($P$5,
  "WEEK 1", 'WHS STK MGT &amp; ALLOC.'!$H29,
  "WEEK 2", 'WHS STK MGT &amp; ALLOC.'!$H29 - 'WHS STK MGT &amp; ALLOC.'!$K29,
  "WEEK 3", 'WHS STK MGT &amp; ALLOC.'!$H29 - ('WHS STK MGT &amp; ALLOC.'!$K29 + 'WHS STK MGT &amp; ALLOC.'!$M29),
  "WEEK 4", 'WHS STK MGT &amp; ALLOC.'!$H29 - ('WHS STK MGT &amp; ALLOC.'!$K29 + 'WHS STK MGT &amp; ALLOC.'!$M29 + 'WHS STK MGT &amp; ALLOC.'!$O29),
  "WEEK 5", 'WHS STK MGT &amp; ALLOC.'!$H29 - ('WHS STK MGT &amp; ALLOC.'!$K29 + 'WHS STK MGT &amp; ALLOC.'!$M29 + 'WHS STK MGT &amp; ALLOC.'!$O29 + 'WHS STK MGT &amp; ALLOC.'!$Q29),
  "WEEK 6", 'WHS STK MGT &amp; ALLOC.'!$H29 - ('WHS STK MGT &amp; ALLOC.'!$K29 + 'WHS STK MGT &amp; ALLOC.'!$M29 + 'WHS STK MGT &amp; ALLOC.'!$O29 + 'WHS STK MGT &amp; ALLOC.'!$Q29 + 'WHS STK MGT &amp; ALLOC.'!$S29),
  "WEEK 7", 'WHS STK MGT &amp; ALLOC.'!$H29 - ('WHS STK MGT &amp; ALLOC.'!$K29 + 'WHS STK MGT &amp; ALLOC.'!$M29 + 'WHS STK MGT &amp; ALLOC.'!$O29 + 'WHS STK MGT &amp; ALLOC.'!$Q29 + 'WHS STK MGT &amp; ALLOC.'!$S29 + 'WHS STK MGT &amp; ALLOC.'!$U29),
  "Other Weeks", 0
)</f>
        <v>488</v>
      </c>
      <c r="P29" s="60">
        <f>SUMIFS('IN STORE SALES RECORD'!$E:$E,'IN STORE SALES RECORD'!$D:$D,'STORE STK &amp; SALES MGT'!$A29,'IN STORE SALES RECORD'!$A:$A,'STORE STK &amp; SALES MGT'!$P$5)</f>
        <v>0</v>
      </c>
      <c r="Q29" s="60">
        <f>SUMIFS('IN STORE SALES RECORD'!$H:$H,'IN STORE SALES RECORD'!$D:$D,'STORE STK &amp; SALES MGT'!$A29,'IN STORE SALES RECORD'!$A:$A,'STORE STK &amp; SALES MGT'!$P$5)</f>
        <v>0</v>
      </c>
      <c r="R29" s="60">
        <f>IFERROR(ROUND(Q29/SUMIF('IN STORE SALES RECORD'!$A:$A,'STORE STK &amp; SALES MGT'!$P$5,'IN STORE SALES RECORD'!$H:$H)*100,3),"")</f>
        <v>0</v>
      </c>
      <c r="S29" s="60" cm="1">
        <f t="array" ref="S29">_xlfn.IFS($P$5 ="WEEK 1",'WHS STK MGT &amp; ALLOC.'!$H29-'WHS STK MGT &amp; ALLOC.'!$K29,$P$5 ="WEEK 2",'WHS STK MGT &amp; ALLOC.'!H29-('WHS STK MGT &amp; ALLOC.'!$K29+'WHS STK MGT &amp; ALLOC.'!$M29),$P$5 ="WEEK 3",'WHS STK MGT &amp; ALLOC.'!$H29-'WHS STK MGT &amp; ALLOC.'!$K29-'WHS STK MGT &amp; ALLOC.'!$M29-'WHS STK MGT &amp; ALLOC.'!$O29,$P$5 = "WEEK 4",'WHS STK MGT &amp; ALLOC.'!H29-'WHS STK MGT &amp; ALLOC.'!$K29-'WHS STK MGT &amp; ALLOC.'!$M29-'WHS STK MGT &amp; ALLOC.'!$O29-'WHS STK MGT &amp; ALLOC.'!$Q29,$P$5 = "WEEK 5",'WHS STK MGT &amp; ALLOC.'!H29-'WHS STK MGT &amp; ALLOC.'!$K29-'WHS STK MGT &amp; ALLOC.'!$M29-'WHS STK MGT &amp; ALLOC.'!$O29-'WHS STK MGT &amp; ALLOC.'!$Q29-'WHS STK MGT &amp; ALLOC.'!$S29)</f>
        <v>478</v>
      </c>
      <c r="T29" s="99">
        <f>SUMIFS('IN STORE SALES RECORD'!$E:$E,'IN STORE SALES RECORD'!$D:$D,'STORE STK &amp; SALES MGT'!$A29,'IN STORE SALES RECORD'!$C:$C,'STORE STK &amp; SALES MGT'!$U$5)</f>
        <v>0</v>
      </c>
      <c r="U29" s="60">
        <f>SUMIFS('IN STORE SALES RECORD'!$H:$H,'IN STORE SALES RECORD'!$D:$D,'STORE STK &amp; SALES MGT'!$A29,'IN STORE SALES RECORD'!$C:$C,'STORE STK &amp; SALES MGT'!$U$5)</f>
        <v>0</v>
      </c>
      <c r="V29" s="99">
        <f>IFERROR(ROUND(SUMIFS('IN STORE SALES RECORD'!$H:$H,'IN STORE SALES RECORD'!$C:$C,'STORE STK &amp; SALES MGT'!$U$5,'STORE STK &amp; SALES MGT'!$A:$A,'STORE STK &amp; SALES MGT'!$A29)/SUMIF('IN STORE SALES RECORD'!$C:$C,'STORE STK &amp; SALES MGT'!$U$5,'IN STORE SALES RECORD'!$H:$H)*100,3),"")</f>
        <v>0</v>
      </c>
    </row>
    <row r="30" spans="1:51" s="77" customFormat="1" ht="30">
      <c r="A30" s="25" t="s">
        <v>264</v>
      </c>
      <c r="B30" s="78" t="str">
        <f>IFERROR(INDEX('REFERENCING &amp; DATABASE'!$E$7:$E$131,MATCH($A30,'REFERENCING &amp; DATABASE'!$D$7:$D$131,0)),"")</f>
        <v>Performance Athletic Shorts</v>
      </c>
      <c r="C30" s="25" t="str">
        <f>IFERROR(INDEX('REFERENCING &amp; DATABASE'!$B$7:$B$131,MATCH($A30,'REFERENCING &amp; DATABASE'!$D$7:$D$131,0)),"")</f>
        <v>BOTTOMS</v>
      </c>
      <c r="D30" s="25" t="str">
        <f>IFERROR(INDEX('REFERENCING &amp; DATABASE'!$C$7:$C$131,MATCH($A30,'REFERENCING &amp; DATABASE'!$D$7:$D$131,0)),"")</f>
        <v>SHORTS</v>
      </c>
      <c r="E30" s="26" t="str">
        <f>IFERROR(INDEX('REFERENCING &amp; DATABASE'!$F$7:$F$131,MATCH($A30,'REFERENCING &amp; DATABASE'!$D$7:$D$131,0)),"")</f>
        <v xml:space="preserve">Lightweight and breathable shorts for workouts or running. </v>
      </c>
      <c r="F30" s="28" t="str">
        <f>IFERROR(INDEX('REFERENCING &amp; DATABASE'!$G$7:$G$131,MATCH($A30,'REFERENCING &amp; DATABASE'!$D$7:$D$131,0)),"")</f>
        <v>Multi-colors</v>
      </c>
      <c r="G30" s="39">
        <f>IFERROR(INDEX('REFERENCING &amp; DATABASE'!$H$7:$H$131,MATCH($A30,'REFERENCING &amp; DATABASE'!$D$7:$D$131,0)),"")</f>
        <v>30</v>
      </c>
      <c r="H30" s="28">
        <f>IFERROR(INDEX('WHS STK MGT &amp; ALLOC.'!$I:$I,MATCH($A30,'WHS STK MGT &amp; ALLOC.'!$A:$A,0)),"")</f>
        <v>353</v>
      </c>
      <c r="I30" s="60">
        <f>SUM('WHS STK MGT &amp; ALLOC.'!$K30,'WHS STK MGT &amp; ALLOC.'!$M30,'WHS STK MGT &amp; ALLOC.'!$O30,'WHS STK MGT &amp; ALLOC.'!$Q30,'WHS STK MGT &amp; ALLOC.'!$S30,'WHS STK MGT &amp; ALLOC.'!$U30,'WHS STK MGT &amp; ALLOC.'!$W30,'WHS STK MGT &amp; ALLOC.'!$Y30)</f>
        <v>10</v>
      </c>
      <c r="J30" s="60">
        <f>SUMIF('IN STORE SALES RECORD'!$D:$D,'STORE STK &amp; SALES MGT'!$A30,'IN STORE SALES RECORD'!$E:$E)</f>
        <v>0</v>
      </c>
      <c r="K30" s="60">
        <f>SUMIF('IN STORE SALES RECORD'!$D:$D,'STORE STK &amp; SALES MGT'!$A30,'IN STORE SALES RECORD'!$H:$H)</f>
        <v>0</v>
      </c>
      <c r="L30" s="60">
        <f t="shared" si="2"/>
        <v>0</v>
      </c>
      <c r="M30" s="60">
        <f t="shared" si="3"/>
        <v>0</v>
      </c>
      <c r="N30" s="60" cm="1">
        <f t="array" ref="N30">_xlfn.IFS($P$5 = "WEEK 1",'WHS STK MGT &amp; ALLOC.'!$K30,$P$5 = "WEEK 2",'WHS STK MGT &amp; ALLOC.'!$M30,$P$5 = "WEEK 3",'WHS STK MGT &amp; ALLOC.'!$O30,$P$5 = "WEEK 4",'WHS STK MGT &amp; ALLOC.'!Q30,$P$5 ="WEEK 5",'WHS STK MGT &amp; ALLOC.'!$S30)</f>
        <v>10</v>
      </c>
      <c r="O30" s="60" cm="1">
        <f t="array" ref="O30">_xlfn.SWITCH($P$5,
  "WEEK 1", 'WHS STK MGT &amp; ALLOC.'!$H30,
  "WEEK 2", 'WHS STK MGT &amp; ALLOC.'!$H30 - 'WHS STK MGT &amp; ALLOC.'!$K30,
  "WEEK 3", 'WHS STK MGT &amp; ALLOC.'!$H30 - ('WHS STK MGT &amp; ALLOC.'!$K30 + 'WHS STK MGT &amp; ALLOC.'!$M30),
  "WEEK 4", 'WHS STK MGT &amp; ALLOC.'!$H30 - ('WHS STK MGT &amp; ALLOC.'!$K30 + 'WHS STK MGT &amp; ALLOC.'!$M30 + 'WHS STK MGT &amp; ALLOC.'!$O30),
  "WEEK 5", 'WHS STK MGT &amp; ALLOC.'!$H30 - ('WHS STK MGT &amp; ALLOC.'!$K30 + 'WHS STK MGT &amp; ALLOC.'!$M30 + 'WHS STK MGT &amp; ALLOC.'!$O30 + 'WHS STK MGT &amp; ALLOC.'!$Q30),
  "WEEK 6", 'WHS STK MGT &amp; ALLOC.'!$H30 - ('WHS STK MGT &amp; ALLOC.'!$K30 + 'WHS STK MGT &amp; ALLOC.'!$M30 + 'WHS STK MGT &amp; ALLOC.'!$O30 + 'WHS STK MGT &amp; ALLOC.'!$Q30 + 'WHS STK MGT &amp; ALLOC.'!$S30),
  "WEEK 7", 'WHS STK MGT &amp; ALLOC.'!$H30 - ('WHS STK MGT &amp; ALLOC.'!$K30 + 'WHS STK MGT &amp; ALLOC.'!$M30 + 'WHS STK MGT &amp; ALLOC.'!$O30 + 'WHS STK MGT &amp; ALLOC.'!$Q30 + 'WHS STK MGT &amp; ALLOC.'!$S30 + 'WHS STK MGT &amp; ALLOC.'!$U30),
  "Other Weeks", 0
)</f>
        <v>363</v>
      </c>
      <c r="P30" s="60">
        <f>SUMIFS('IN STORE SALES RECORD'!$E:$E,'IN STORE SALES RECORD'!$D:$D,'STORE STK &amp; SALES MGT'!$A30,'IN STORE SALES RECORD'!$A:$A,'STORE STK &amp; SALES MGT'!$P$5)</f>
        <v>0</v>
      </c>
      <c r="Q30" s="60">
        <f>SUMIFS('IN STORE SALES RECORD'!$H:$H,'IN STORE SALES RECORD'!$D:$D,'STORE STK &amp; SALES MGT'!$A30,'IN STORE SALES RECORD'!$A:$A,'STORE STK &amp; SALES MGT'!$P$5)</f>
        <v>0</v>
      </c>
      <c r="R30" s="60">
        <f>IFERROR(ROUND(Q30/SUMIF('IN STORE SALES RECORD'!$A:$A,'STORE STK &amp; SALES MGT'!$P$5,'IN STORE SALES RECORD'!$H:$H)*100,3),"")</f>
        <v>0</v>
      </c>
      <c r="S30" s="60" cm="1">
        <f t="array" ref="S30">_xlfn.IFS($P$5 ="WEEK 1",'WHS STK MGT &amp; ALLOC.'!$H30-'WHS STK MGT &amp; ALLOC.'!$K30,$P$5 ="WEEK 2",'WHS STK MGT &amp; ALLOC.'!H30-('WHS STK MGT &amp; ALLOC.'!$K30+'WHS STK MGT &amp; ALLOC.'!$M30),$P$5 ="WEEK 3",'WHS STK MGT &amp; ALLOC.'!$H30-'WHS STK MGT &amp; ALLOC.'!$K30-'WHS STK MGT &amp; ALLOC.'!$M30-'WHS STK MGT &amp; ALLOC.'!$O30,$P$5 = "WEEK 4",'WHS STK MGT &amp; ALLOC.'!H30-'WHS STK MGT &amp; ALLOC.'!$K30-'WHS STK MGT &amp; ALLOC.'!$M30-'WHS STK MGT &amp; ALLOC.'!$O30-'WHS STK MGT &amp; ALLOC.'!$Q30,$P$5 = "WEEK 5",'WHS STK MGT &amp; ALLOC.'!H30-'WHS STK MGT &amp; ALLOC.'!$K30-'WHS STK MGT &amp; ALLOC.'!$M30-'WHS STK MGT &amp; ALLOC.'!$O30-'WHS STK MGT &amp; ALLOC.'!$Q30-'WHS STK MGT &amp; ALLOC.'!$S30)</f>
        <v>353</v>
      </c>
      <c r="T30" s="99">
        <f>SUMIFS('IN STORE SALES RECORD'!$E:$E,'IN STORE SALES RECORD'!$D:$D,'STORE STK &amp; SALES MGT'!$A30,'IN STORE SALES RECORD'!$C:$C,'STORE STK &amp; SALES MGT'!$U$5)</f>
        <v>0</v>
      </c>
      <c r="U30" s="60">
        <f>SUMIFS('IN STORE SALES RECORD'!$H:$H,'IN STORE SALES RECORD'!$D:$D,'STORE STK &amp; SALES MGT'!$A30,'IN STORE SALES RECORD'!$C:$C,'STORE STK &amp; SALES MGT'!$U$5)</f>
        <v>0</v>
      </c>
      <c r="V30" s="99">
        <f>IFERROR(ROUND(SUMIFS('IN STORE SALES RECORD'!$H:$H,'IN STORE SALES RECORD'!$C:$C,'STORE STK &amp; SALES MGT'!$U$5,'STORE STK &amp; SALES MGT'!$A:$A,'STORE STK &amp; SALES MGT'!$A30)/SUMIF('IN STORE SALES RECORD'!$C:$C,'STORE STK &amp; SALES MGT'!$U$5,'IN STORE SALES RECORD'!$H:$H)*100,3),"")</f>
        <v>0</v>
      </c>
    </row>
    <row r="31" spans="1:51" s="77" customFormat="1" ht="30">
      <c r="A31" s="25" t="s">
        <v>265</v>
      </c>
      <c r="B31" s="78" t="str">
        <f>IFERROR(INDEX('REFERENCING &amp; DATABASE'!$E$7:$E$131,MATCH($A31,'REFERENCING &amp; DATABASE'!$D$7:$D$131,0)),"")</f>
        <v>Utility Cargo Shorts</v>
      </c>
      <c r="C31" s="25" t="str">
        <f>IFERROR(INDEX('REFERENCING &amp; DATABASE'!$B$7:$B$131,MATCH($A31,'REFERENCING &amp; DATABASE'!$D$7:$D$131,0)),"")</f>
        <v>BOTTOMS</v>
      </c>
      <c r="D31" s="25" t="str">
        <f>IFERROR(INDEX('REFERENCING &amp; DATABASE'!$C$7:$C$131,MATCH($A31,'REFERENCING &amp; DATABASE'!$D$7:$D$131,0)),"")</f>
        <v>SHORTS</v>
      </c>
      <c r="E31" s="26" t="str">
        <f>IFERROR(INDEX('REFERENCING &amp; DATABASE'!$F$7:$F$131,MATCH($A31,'REFERENCING &amp; DATABASE'!$D$7:$D$131,0)),"")</f>
        <v>Functional and stylish shorts with multiple pockets.</v>
      </c>
      <c r="F31" s="28" t="str">
        <f>IFERROR(INDEX('REFERENCING &amp; DATABASE'!$G$7:$G$131,MATCH($A31,'REFERENCING &amp; DATABASE'!$D$7:$D$131,0)),"")</f>
        <v>Green,Brown,Black</v>
      </c>
      <c r="G31" s="39">
        <f>IFERROR(INDEX('REFERENCING &amp; DATABASE'!$H$7:$H$131,MATCH($A31,'REFERENCING &amp; DATABASE'!$D$7:$D$131,0)),"")</f>
        <v>30</v>
      </c>
      <c r="H31" s="28">
        <f>IFERROR(INDEX('WHS STK MGT &amp; ALLOC.'!$I:$I,MATCH($A31,'WHS STK MGT &amp; ALLOC.'!$A:$A,0)),"")</f>
        <v>380</v>
      </c>
      <c r="I31" s="60">
        <f>SUM('WHS STK MGT &amp; ALLOC.'!$K31,'WHS STK MGT &amp; ALLOC.'!$M31,'WHS STK MGT &amp; ALLOC.'!$O31,'WHS STK MGT &amp; ALLOC.'!$Q31,'WHS STK MGT &amp; ALLOC.'!$S31,'WHS STK MGT &amp; ALLOC.'!$U31,'WHS STK MGT &amp; ALLOC.'!$W31,'WHS STK MGT &amp; ALLOC.'!$Y31)</f>
        <v>10</v>
      </c>
      <c r="J31" s="60">
        <f>SUMIF('IN STORE SALES RECORD'!$D:$D,'STORE STK &amp; SALES MGT'!$A31,'IN STORE SALES RECORD'!$E:$E)</f>
        <v>0</v>
      </c>
      <c r="K31" s="60">
        <f>SUMIF('IN STORE SALES RECORD'!$D:$D,'STORE STK &amp; SALES MGT'!$A31,'IN STORE SALES RECORD'!$H:$H)</f>
        <v>0</v>
      </c>
      <c r="L31" s="60">
        <f t="shared" si="2"/>
        <v>0</v>
      </c>
      <c r="M31" s="60">
        <f t="shared" si="3"/>
        <v>0</v>
      </c>
      <c r="N31" s="60" cm="1">
        <f t="array" ref="N31">_xlfn.IFS($P$5 = "WEEK 1",'WHS STK MGT &amp; ALLOC.'!$K31,$P$5 = "WEEK 2",'WHS STK MGT &amp; ALLOC.'!$M31,$P$5 = "WEEK 3",'WHS STK MGT &amp; ALLOC.'!$O31,$P$5 = "WEEK 4",'WHS STK MGT &amp; ALLOC.'!Q31,$P$5 ="WEEK 5",'WHS STK MGT &amp; ALLOC.'!$S31)</f>
        <v>10</v>
      </c>
      <c r="O31" s="60" cm="1">
        <f t="array" ref="O31">_xlfn.SWITCH($P$5,
  "WEEK 1", 'WHS STK MGT &amp; ALLOC.'!$H31,
  "WEEK 2", 'WHS STK MGT &amp; ALLOC.'!$H31 - 'WHS STK MGT &amp; ALLOC.'!$K31,
  "WEEK 3", 'WHS STK MGT &amp; ALLOC.'!$H31 - ('WHS STK MGT &amp; ALLOC.'!$K31 + 'WHS STK MGT &amp; ALLOC.'!$M31),
  "WEEK 4", 'WHS STK MGT &amp; ALLOC.'!$H31 - ('WHS STK MGT &amp; ALLOC.'!$K31 + 'WHS STK MGT &amp; ALLOC.'!$M31 + 'WHS STK MGT &amp; ALLOC.'!$O31),
  "WEEK 5", 'WHS STK MGT &amp; ALLOC.'!$H31 - ('WHS STK MGT &amp; ALLOC.'!$K31 + 'WHS STK MGT &amp; ALLOC.'!$M31 + 'WHS STK MGT &amp; ALLOC.'!$O31 + 'WHS STK MGT &amp; ALLOC.'!$Q31),
  "WEEK 6", 'WHS STK MGT &amp; ALLOC.'!$H31 - ('WHS STK MGT &amp; ALLOC.'!$K31 + 'WHS STK MGT &amp; ALLOC.'!$M31 + 'WHS STK MGT &amp; ALLOC.'!$O31 + 'WHS STK MGT &amp; ALLOC.'!$Q31 + 'WHS STK MGT &amp; ALLOC.'!$S31),
  "WEEK 7", 'WHS STK MGT &amp; ALLOC.'!$H31 - ('WHS STK MGT &amp; ALLOC.'!$K31 + 'WHS STK MGT &amp; ALLOC.'!$M31 + 'WHS STK MGT &amp; ALLOC.'!$O31 + 'WHS STK MGT &amp; ALLOC.'!$Q31 + 'WHS STK MGT &amp; ALLOC.'!$S31 + 'WHS STK MGT &amp; ALLOC.'!$U31),
  "Other Weeks", 0
)</f>
        <v>390</v>
      </c>
      <c r="P31" s="60">
        <f>SUMIFS('IN STORE SALES RECORD'!$E:$E,'IN STORE SALES RECORD'!$D:$D,'STORE STK &amp; SALES MGT'!$A31,'IN STORE SALES RECORD'!$A:$A,'STORE STK &amp; SALES MGT'!$P$5)</f>
        <v>0</v>
      </c>
      <c r="Q31" s="60">
        <f>SUMIFS('IN STORE SALES RECORD'!$H:$H,'IN STORE SALES RECORD'!$D:$D,'STORE STK &amp; SALES MGT'!$A31,'IN STORE SALES RECORD'!$A:$A,'STORE STK &amp; SALES MGT'!$P$5)</f>
        <v>0</v>
      </c>
      <c r="R31" s="60">
        <f>IFERROR(ROUND(Q31/SUMIF('IN STORE SALES RECORD'!$A:$A,'STORE STK &amp; SALES MGT'!$P$5,'IN STORE SALES RECORD'!$H:$H)*100,3),"")</f>
        <v>0</v>
      </c>
      <c r="S31" s="60" cm="1">
        <f t="array" ref="S31">_xlfn.IFS($P$5 ="WEEK 1",'WHS STK MGT &amp; ALLOC.'!$H31-'WHS STK MGT &amp; ALLOC.'!$K31,$P$5 ="WEEK 2",'WHS STK MGT &amp; ALLOC.'!H31-('WHS STK MGT &amp; ALLOC.'!$K31+'WHS STK MGT &amp; ALLOC.'!$M31),$P$5 ="WEEK 3",'WHS STK MGT &amp; ALLOC.'!$H31-'WHS STK MGT &amp; ALLOC.'!$K31-'WHS STK MGT &amp; ALLOC.'!$M31-'WHS STK MGT &amp; ALLOC.'!$O31,$P$5 = "WEEK 4",'WHS STK MGT &amp; ALLOC.'!H31-'WHS STK MGT &amp; ALLOC.'!$K31-'WHS STK MGT &amp; ALLOC.'!$M31-'WHS STK MGT &amp; ALLOC.'!$O31-'WHS STK MGT &amp; ALLOC.'!$Q31,$P$5 = "WEEK 5",'WHS STK MGT &amp; ALLOC.'!H31-'WHS STK MGT &amp; ALLOC.'!$K31-'WHS STK MGT &amp; ALLOC.'!$M31-'WHS STK MGT &amp; ALLOC.'!$O31-'WHS STK MGT &amp; ALLOC.'!$Q31-'WHS STK MGT &amp; ALLOC.'!$S31)</f>
        <v>380</v>
      </c>
      <c r="T31" s="99">
        <f>SUMIFS('IN STORE SALES RECORD'!$E:$E,'IN STORE SALES RECORD'!$D:$D,'STORE STK &amp; SALES MGT'!$A31,'IN STORE SALES RECORD'!$C:$C,'STORE STK &amp; SALES MGT'!$U$5)</f>
        <v>0</v>
      </c>
      <c r="U31" s="60">
        <f>SUMIFS('IN STORE SALES RECORD'!$H:$H,'IN STORE SALES RECORD'!$D:$D,'STORE STK &amp; SALES MGT'!$A31,'IN STORE SALES RECORD'!$C:$C,'STORE STK &amp; SALES MGT'!$U$5)</f>
        <v>0</v>
      </c>
      <c r="V31" s="99">
        <f>IFERROR(ROUND(SUMIFS('IN STORE SALES RECORD'!$H:$H,'IN STORE SALES RECORD'!$C:$C,'STORE STK &amp; SALES MGT'!$U$5,'STORE STK &amp; SALES MGT'!$A:$A,'STORE STK &amp; SALES MGT'!$A31)/SUMIF('IN STORE SALES RECORD'!$C:$C,'STORE STK &amp; SALES MGT'!$U$5,'IN STORE SALES RECORD'!$H:$H)*100,3),"")</f>
        <v>0</v>
      </c>
    </row>
    <row r="32" spans="1:51">
      <c r="A32" s="104"/>
      <c r="B32" s="111"/>
      <c r="C32" s="104"/>
      <c r="D32" s="104"/>
      <c r="E32" s="107"/>
      <c r="F32" s="101"/>
      <c r="G32" s="64"/>
      <c r="H32" s="101"/>
      <c r="I32" s="61"/>
      <c r="J32" s="61"/>
      <c r="K32" s="61"/>
      <c r="L32" s="61"/>
      <c r="M32" s="61"/>
      <c r="N32" s="61"/>
      <c r="O32" s="61"/>
      <c r="P32" s="61"/>
      <c r="Q32" s="61"/>
      <c r="R32" s="61"/>
      <c r="S32" s="61"/>
      <c r="T32" s="103"/>
      <c r="U32" s="103"/>
      <c r="V32" s="103"/>
    </row>
    <row r="33" spans="1:51" ht="15.75">
      <c r="A33" s="61"/>
      <c r="C33" s="22"/>
      <c r="G33" s="64"/>
      <c r="H33" s="2"/>
    </row>
    <row r="34" spans="1:51" ht="15.75">
      <c r="A34" s="61"/>
      <c r="C34" s="64"/>
      <c r="G34" s="64"/>
      <c r="H34" s="22"/>
    </row>
    <row r="35" spans="1:51" s="76" customFormat="1" ht="15.75">
      <c r="A35" s="75" t="s">
        <v>5</v>
      </c>
      <c r="B35" s="68" t="s">
        <v>6</v>
      </c>
      <c r="C35" s="18" t="s">
        <v>3</v>
      </c>
      <c r="D35" s="18" t="s">
        <v>4</v>
      </c>
      <c r="E35" s="73" t="s">
        <v>7</v>
      </c>
      <c r="F35" s="18" t="s">
        <v>8</v>
      </c>
      <c r="G35" s="65" t="s">
        <v>9</v>
      </c>
      <c r="H35" s="23" t="s">
        <v>44</v>
      </c>
      <c r="I35" s="18" t="s">
        <v>45</v>
      </c>
      <c r="J35" s="18" t="s">
        <v>46</v>
      </c>
      <c r="K35" s="18" t="s">
        <v>47</v>
      </c>
      <c r="L35" s="18" t="s">
        <v>48</v>
      </c>
      <c r="M35" s="18" t="s">
        <v>49</v>
      </c>
      <c r="N35" s="18" t="s">
        <v>50</v>
      </c>
      <c r="O35" s="18" t="s">
        <v>51</v>
      </c>
      <c r="P35" s="18" t="s">
        <v>52</v>
      </c>
      <c r="Q35" s="18" t="s">
        <v>53</v>
      </c>
      <c r="R35" s="18" t="s">
        <v>48</v>
      </c>
      <c r="S35" s="18" t="s">
        <v>54</v>
      </c>
      <c r="T35" s="18" t="s">
        <v>58</v>
      </c>
      <c r="U35" s="18" t="s">
        <v>56</v>
      </c>
      <c r="V35" s="18" t="s">
        <v>57</v>
      </c>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row>
    <row r="36" spans="1:51" s="77" customFormat="1" ht="30">
      <c r="A36" s="25" t="s">
        <v>221</v>
      </c>
      <c r="B36" s="78" t="str">
        <f>IFERROR(INDEX('REFERENCING &amp; DATABASE'!$E$7:$E$131,MATCH($A36,'REFERENCING &amp; DATABASE'!$D$7:$D$131,0)),"")</f>
        <v>Cozy Flannel Pajama Set</v>
      </c>
      <c r="C36" s="25" t="str">
        <f>IFERROR(INDEX('REFERENCING &amp; DATABASE'!$B$7:$B$131,MATCH($A36,'REFERENCING &amp; DATABASE'!$D$7:$D$131,0)),"")</f>
        <v>SLEEPWEAR</v>
      </c>
      <c r="D36" s="25" t="str">
        <f>IFERROR(INDEX('REFERENCING &amp; DATABASE'!$C$7:$C$131,MATCH($A36,'REFERENCING &amp; DATABASE'!$D$7:$D$131,0)),"")</f>
        <v>PAJAMAS</v>
      </c>
      <c r="E36" s="26" t="str">
        <f>IFERROR(INDEX('REFERENCING &amp; DATABASE'!$F$7:$F$131,MATCH($A36,'REFERENCING &amp; DATABASE'!$D$7:$D$131,0)),"")</f>
        <v>A soft and warm set perfect for cooler nights.</v>
      </c>
      <c r="F36" s="28" t="str">
        <f>IFERROR(INDEX('REFERENCING &amp; DATABASE'!$G$7:$G$131,MATCH($A36,'REFERENCING &amp; DATABASE'!$D$7:$D$131,0)),"")</f>
        <v>Multi-colors</v>
      </c>
      <c r="G36" s="39" t="str">
        <f>IFERROR(INDEX('REFERENCING &amp; DATABASE'!$H$7:$H$131,MATCH($A36,'REFERENCING &amp; DATABASE'!$D$7:$D$131,0)),"")</f>
        <v>L,XL,XXL</v>
      </c>
      <c r="H36" s="28">
        <f>IFERROR(INDEX('WHS STK MGT &amp; ALLOC.'!$I:$I,MATCH($A36,'WHS STK MGT &amp; ALLOC.'!$A:$A,0)),"")</f>
        <v>478</v>
      </c>
      <c r="I36" s="60">
        <f>SUM('WHS STK MGT &amp; ALLOC.'!$K36,'WHS STK MGT &amp; ALLOC.'!$M36,'WHS STK MGT &amp; ALLOC.'!$O36,'WHS STK MGT &amp; ALLOC.'!$Q36,'WHS STK MGT &amp; ALLOC.'!$S36,'WHS STK MGT &amp; ALLOC.'!$U36,'WHS STK MGT &amp; ALLOC.'!$W36,'WHS STK MGT &amp; ALLOC.'!$Y36)</f>
        <v>10</v>
      </c>
      <c r="J36" s="60">
        <f>SUMIF('IN STORE SALES RECORD'!$D:$D,'STORE STK &amp; SALES MGT'!$A36,'IN STORE SALES RECORD'!$E:$E)</f>
        <v>0</v>
      </c>
      <c r="K36" s="60">
        <f>SUMIF('IN STORE SALES RECORD'!$D:$D,'STORE STK &amp; SALES MGT'!$A36,'IN STORE SALES RECORD'!$H:$H)</f>
        <v>0</v>
      </c>
      <c r="L36" s="60">
        <f t="shared" ref="L36:L45" si="4">IFERROR(ROUND(($K36/(SUM($K:$K))) * 100,3),"")</f>
        <v>0</v>
      </c>
      <c r="M36" s="60">
        <f t="shared" ref="M36:M45" si="5">IFERROR(ROUND($J36/$I36 * 100,2),"")</f>
        <v>0</v>
      </c>
      <c r="N36" s="60" cm="1">
        <f t="array" ref="N36">_xlfn.IFS($P$5 = "WEEK 1",'WHS STK MGT &amp; ALLOC.'!$K36,$P$5 = "WEEK 2",'WHS STK MGT &amp; ALLOC.'!$M36,$P$5 = "WEEK 3",'WHS STK MGT &amp; ALLOC.'!$O36,$P$5 = "WEEK 4",'WHS STK MGT &amp; ALLOC.'!Q36,$P$5 ="WEEK 5",'WHS STK MGT &amp; ALLOC.'!$S36)</f>
        <v>10</v>
      </c>
      <c r="O36" s="60" cm="1">
        <f t="array" ref="O36">_xlfn.SWITCH($P$5,
  "WEEK 1", 'WHS STK MGT &amp; ALLOC.'!$H36,
  "WEEK 2", 'WHS STK MGT &amp; ALLOC.'!$H36 - 'WHS STK MGT &amp; ALLOC.'!$K36,
  "WEEK 3", 'WHS STK MGT &amp; ALLOC.'!$H36 - ('WHS STK MGT &amp; ALLOC.'!$K36 + 'WHS STK MGT &amp; ALLOC.'!$M36),
  "WEEK 4", 'WHS STK MGT &amp; ALLOC.'!$H36 - ('WHS STK MGT &amp; ALLOC.'!$K36 + 'WHS STK MGT &amp; ALLOC.'!$M36 + 'WHS STK MGT &amp; ALLOC.'!$O36),
  "WEEK 5", 'WHS STK MGT &amp; ALLOC.'!$H36 - ('WHS STK MGT &amp; ALLOC.'!$K36 + 'WHS STK MGT &amp; ALLOC.'!$M36 + 'WHS STK MGT &amp; ALLOC.'!$O36 + 'WHS STK MGT &amp; ALLOC.'!$Q36),
  "WEEK 6", 'WHS STK MGT &amp; ALLOC.'!$H36 - ('WHS STK MGT &amp; ALLOC.'!$K36 + 'WHS STK MGT &amp; ALLOC.'!$M36 + 'WHS STK MGT &amp; ALLOC.'!$O36 + 'WHS STK MGT &amp; ALLOC.'!$Q36 + 'WHS STK MGT &amp; ALLOC.'!$S36),
  "WEEK 7", 'WHS STK MGT &amp; ALLOC.'!$H28 - ('WHS STK MGT &amp; ALLOC.'!$K28 + 'WHS STK MGT &amp; ALLOC.'!$M28 + 'WHS STK MGT &amp; ALLOC.'!$O28 + 'WHS STK MGT &amp; ALLOC.'!$Q28 + 'WHS STK MGT &amp; ALLOC.'!$S28 + 'WHS STK MGT &amp; ALLOC.'!$U28),
  "Other Weeks", 0
)</f>
        <v>488</v>
      </c>
      <c r="P36" s="60">
        <f>SUMIFS('IN STORE SALES RECORD'!$E:$E,'IN STORE SALES RECORD'!$D:$D,'STORE STK &amp; SALES MGT'!$A36,'IN STORE SALES RECORD'!$A:$A,'STORE STK &amp; SALES MGT'!$P$5)</f>
        <v>0</v>
      </c>
      <c r="Q36" s="60">
        <f>SUMIFS('IN STORE SALES RECORD'!$H:$H,'IN STORE SALES RECORD'!$D:$D,'STORE STK &amp; SALES MGT'!$A36,'IN STORE SALES RECORD'!$A:$A,'STORE STK &amp; SALES MGT'!$P$5)</f>
        <v>0</v>
      </c>
      <c r="R36" s="60">
        <f>IFERROR(ROUND(Q36/SUMIF('IN STORE SALES RECORD'!$A:$A,'STORE STK &amp; SALES MGT'!$P$5,'IN STORE SALES RECORD'!$H:$H)*100,3),"")</f>
        <v>0</v>
      </c>
      <c r="S36" s="60" cm="1">
        <f t="array" ref="S36">_xlfn.IFS($P$5 ="WEEK 1",'WHS STK MGT &amp; ALLOC.'!$H36-'WHS STK MGT &amp; ALLOC.'!$K36,$P$5 ="WEEK 2",'WHS STK MGT &amp; ALLOC.'!H36-('WHS STK MGT &amp; ALLOC.'!$K36+'WHS STK MGT &amp; ALLOC.'!$M36),$P$5 ="WEEK 3",'WHS STK MGT &amp; ALLOC.'!$H36-'WHS STK MGT &amp; ALLOC.'!$K36-'WHS STK MGT &amp; ALLOC.'!$M36-'WHS STK MGT &amp; ALLOC.'!$O36,$P$5 = "WEEK 4",'WHS STK MGT &amp; ALLOC.'!H36-'WHS STK MGT &amp; ALLOC.'!$K36-'WHS STK MGT &amp; ALLOC.'!$M36-'WHS STK MGT &amp; ALLOC.'!$O36-'WHS STK MGT &amp; ALLOC.'!$Q36,$P$5 = "WEEK 5",'WHS STK MGT &amp; ALLOC.'!H36-'WHS STK MGT &amp; ALLOC.'!$K36-'WHS STK MGT &amp; ALLOC.'!$M36-'WHS STK MGT &amp; ALLOC.'!$O36-'WHS STK MGT &amp; ALLOC.'!$Q36-'WHS STK MGT &amp; ALLOC.'!$S36)</f>
        <v>478</v>
      </c>
      <c r="T36" s="99">
        <f>SUMIFS('IN STORE SALES RECORD'!$E:$E,'IN STORE SALES RECORD'!$D:$D,'STORE STK &amp; SALES MGT'!$A36,'IN STORE SALES RECORD'!$C:$C,'STORE STK &amp; SALES MGT'!$U$5)</f>
        <v>0</v>
      </c>
      <c r="U36" s="60">
        <f>SUMIFS('IN STORE SALES RECORD'!$H:$H,'IN STORE SALES RECORD'!$D:$D,'STORE STK &amp; SALES MGT'!$A36,'IN STORE SALES RECORD'!$C:$C,'STORE STK &amp; SALES MGT'!$U$5)</f>
        <v>0</v>
      </c>
      <c r="V36" s="99">
        <f>IFERROR(ROUND(SUMIFS('IN STORE SALES RECORD'!$H:$H,'IN STORE SALES RECORD'!$C:$C,'STORE STK &amp; SALES MGT'!$U$5,'STORE STK &amp; SALES MGT'!$A:$A,'STORE STK &amp; SALES MGT'!$A36)/SUMIF('IN STORE SALES RECORD'!$C:$C,'STORE STK &amp; SALES MGT'!$U$5,'IN STORE SALES RECORD'!$H:$H)*100,3),"")</f>
        <v>0</v>
      </c>
    </row>
    <row r="37" spans="1:51" s="77" customFormat="1" ht="30">
      <c r="A37" s="25" t="s">
        <v>222</v>
      </c>
      <c r="B37" s="78" t="str">
        <f>IFERROR(INDEX('REFERENCING &amp; DATABASE'!$E$7:$E$131,MATCH($A37,'REFERENCING &amp; DATABASE'!$D$7:$D$131,0)),"")</f>
        <v>Modal Jersey PJ Set</v>
      </c>
      <c r="C37" s="25" t="str">
        <f>IFERROR(INDEX('REFERENCING &amp; DATABASE'!$B$7:$B$131,MATCH($A37,'REFERENCING &amp; DATABASE'!$D$7:$D$131,0)),"")</f>
        <v>SLEEPWEAR</v>
      </c>
      <c r="D37" s="25" t="str">
        <f>IFERROR(INDEX('REFERENCING &amp; DATABASE'!$C$7:$C$131,MATCH($A37,'REFERENCING &amp; DATABASE'!$D$7:$D$131,0)),"")</f>
        <v>PAJAMAS</v>
      </c>
      <c r="E37" s="26" t="str">
        <f>IFERROR(INDEX('REFERENCING &amp; DATABASE'!$F$7:$F$131,MATCH($A37,'REFERENCING &amp; DATABASE'!$D$7:$D$131,0)),"")</f>
        <v>A lightweight and breathable set for year-round comfort.</v>
      </c>
      <c r="F37" s="28" t="str">
        <f>IFERROR(INDEX('REFERENCING &amp; DATABASE'!$G$7:$G$131,MATCH($A37,'REFERENCING &amp; DATABASE'!$D$7:$D$131,0)),"")</f>
        <v>Multi-colors</v>
      </c>
      <c r="G37" s="39" t="str">
        <f>IFERROR(INDEX('REFERENCING &amp; DATABASE'!$H$7:$H$131,MATCH($A37,'REFERENCING &amp; DATABASE'!$D$7:$D$131,0)),"")</f>
        <v>M,L,XL,XXL</v>
      </c>
      <c r="H37" s="28">
        <f>IFERROR(INDEX('WHS STK MGT &amp; ALLOC.'!$I:$I,MATCH($A37,'WHS STK MGT &amp; ALLOC.'!$A:$A,0)),"")</f>
        <v>257</v>
      </c>
      <c r="I37" s="60">
        <f>SUM('WHS STK MGT &amp; ALLOC.'!$K37,'WHS STK MGT &amp; ALLOC.'!$M37,'WHS STK MGT &amp; ALLOC.'!$O37,'WHS STK MGT &amp; ALLOC.'!$Q37,'WHS STK MGT &amp; ALLOC.'!$S37,'WHS STK MGT &amp; ALLOC.'!$U37,'WHS STK MGT &amp; ALLOC.'!$W37,'WHS STK MGT &amp; ALLOC.'!$Y37)</f>
        <v>10</v>
      </c>
      <c r="J37" s="60">
        <f>SUMIF('IN STORE SALES RECORD'!$D:$D,'STORE STK &amp; SALES MGT'!$A37,'IN STORE SALES RECORD'!$E:$E)</f>
        <v>0</v>
      </c>
      <c r="K37" s="60">
        <f>SUMIF('IN STORE SALES RECORD'!$D:$D,'STORE STK &amp; SALES MGT'!$A37,'IN STORE SALES RECORD'!$H:$H)</f>
        <v>0</v>
      </c>
      <c r="L37" s="60">
        <f t="shared" si="4"/>
        <v>0</v>
      </c>
      <c r="M37" s="60">
        <f t="shared" si="5"/>
        <v>0</v>
      </c>
      <c r="N37" s="60" cm="1">
        <f t="array" ref="N37">_xlfn.IFS($P$5 = "WEEK 1",'WHS STK MGT &amp; ALLOC.'!$K37,$P$5 = "WEEK 2",'WHS STK MGT &amp; ALLOC.'!$M37,$P$5 = "WEEK 3",'WHS STK MGT &amp; ALLOC.'!$O37,$P$5 = "WEEK 4",'WHS STK MGT &amp; ALLOC.'!Q37,$P$5 ="WEEK 5",'WHS STK MGT &amp; ALLOC.'!$S37)</f>
        <v>10</v>
      </c>
      <c r="O37" s="60" cm="1">
        <f t="array" ref="O37">_xlfn.SWITCH($P$5,
  "WEEK 1", 'WHS STK MGT &amp; ALLOC.'!$H37,
  "WEEK 2", 'WHS STK MGT &amp; ALLOC.'!$H37 - 'WHS STK MGT &amp; ALLOC.'!$K37,
  "WEEK 3", 'WHS STK MGT &amp; ALLOC.'!$H37 - ('WHS STK MGT &amp; ALLOC.'!$K37 + 'WHS STK MGT &amp; ALLOC.'!$M37),
  "WEEK 4", 'WHS STK MGT &amp; ALLOC.'!$H37 - ('WHS STK MGT &amp; ALLOC.'!$K37 + 'WHS STK MGT &amp; ALLOC.'!$M37 + 'WHS STK MGT &amp; ALLOC.'!$O37),
  "WEEK 5", 'WHS STK MGT &amp; ALLOC.'!$H37 - ('WHS STK MGT &amp; ALLOC.'!$K37 + 'WHS STK MGT &amp; ALLOC.'!$M37 + 'WHS STK MGT &amp; ALLOC.'!$O37 + 'WHS STK MGT &amp; ALLOC.'!$Q37),
  "WEEK 6", 'WHS STK MGT &amp; ALLOC.'!$H37 - ('WHS STK MGT &amp; ALLOC.'!$K37 + 'WHS STK MGT &amp; ALLOC.'!$M37 + 'WHS STK MGT &amp; ALLOC.'!$O37 + 'WHS STK MGT &amp; ALLOC.'!$Q37 + 'WHS STK MGT &amp; ALLOC.'!$S37),
  "WEEK 7", 'WHS STK MGT &amp; ALLOC.'!$H29 - ('WHS STK MGT &amp; ALLOC.'!$K29 + 'WHS STK MGT &amp; ALLOC.'!$M29 + 'WHS STK MGT &amp; ALLOC.'!$O29 + 'WHS STK MGT &amp; ALLOC.'!$Q29 + 'WHS STK MGT &amp; ALLOC.'!$S29 + 'WHS STK MGT &amp; ALLOC.'!$U29),
  "Other Weeks", 0
)</f>
        <v>267</v>
      </c>
      <c r="P37" s="60">
        <f>SUMIFS('IN STORE SALES RECORD'!$E:$E,'IN STORE SALES RECORD'!$D:$D,'STORE STK &amp; SALES MGT'!$A37,'IN STORE SALES RECORD'!$A:$A,'STORE STK &amp; SALES MGT'!$P$5)</f>
        <v>0</v>
      </c>
      <c r="Q37" s="60">
        <f>SUMIFS('IN STORE SALES RECORD'!$H:$H,'IN STORE SALES RECORD'!$D:$D,'STORE STK &amp; SALES MGT'!$A37,'IN STORE SALES RECORD'!$A:$A,'STORE STK &amp; SALES MGT'!$P$5)</f>
        <v>0</v>
      </c>
      <c r="R37" s="60">
        <f>IFERROR(ROUND(Q37/SUMIF('IN STORE SALES RECORD'!$A:$A,'STORE STK &amp; SALES MGT'!$P$5,'IN STORE SALES RECORD'!$H:$H)*100,3),"")</f>
        <v>0</v>
      </c>
      <c r="S37" s="60" cm="1">
        <f t="array" ref="S37">_xlfn.IFS($P$5 ="WEEK 1",'WHS STK MGT &amp; ALLOC.'!$H37-'WHS STK MGT &amp; ALLOC.'!$K37,$P$5 ="WEEK 2",'WHS STK MGT &amp; ALLOC.'!H37-('WHS STK MGT &amp; ALLOC.'!$K37+'WHS STK MGT &amp; ALLOC.'!$M37),$P$5 ="WEEK 3",'WHS STK MGT &amp; ALLOC.'!$H37-'WHS STK MGT &amp; ALLOC.'!$K37-'WHS STK MGT &amp; ALLOC.'!$M37-'WHS STK MGT &amp; ALLOC.'!$O37,$P$5 = "WEEK 4",'WHS STK MGT &amp; ALLOC.'!H37-'WHS STK MGT &amp; ALLOC.'!$K37-'WHS STK MGT &amp; ALLOC.'!$M37-'WHS STK MGT &amp; ALLOC.'!$O37-'WHS STK MGT &amp; ALLOC.'!$Q37,$P$5 = "WEEK 5",'WHS STK MGT &amp; ALLOC.'!H37-'WHS STK MGT &amp; ALLOC.'!$K37-'WHS STK MGT &amp; ALLOC.'!$M37-'WHS STK MGT &amp; ALLOC.'!$O37-'WHS STK MGT &amp; ALLOC.'!$Q37-'WHS STK MGT &amp; ALLOC.'!$S37)</f>
        <v>257</v>
      </c>
      <c r="T37" s="99">
        <f>SUMIFS('IN STORE SALES RECORD'!$E:$E,'IN STORE SALES RECORD'!$D:$D,'STORE STK &amp; SALES MGT'!$A37,'IN STORE SALES RECORD'!$C:$C,'STORE STK &amp; SALES MGT'!$U$5)</f>
        <v>0</v>
      </c>
      <c r="U37" s="60">
        <f>SUMIFS('IN STORE SALES RECORD'!$H:$H,'IN STORE SALES RECORD'!$D:$D,'STORE STK &amp; SALES MGT'!$A37,'IN STORE SALES RECORD'!$C:$C,'STORE STK &amp; SALES MGT'!$U$5)</f>
        <v>0</v>
      </c>
      <c r="V37" s="99">
        <f>IFERROR(ROUND(SUMIFS('IN STORE SALES RECORD'!$H:$H,'IN STORE SALES RECORD'!$C:$C,'STORE STK &amp; SALES MGT'!$U$5,'STORE STK &amp; SALES MGT'!$A:$A,'STORE STK &amp; SALES MGT'!$A37)/SUMIF('IN STORE SALES RECORD'!$C:$C,'STORE STK &amp; SALES MGT'!$U$5,'IN STORE SALES RECORD'!$H:$H)*100,3),"")</f>
        <v>0</v>
      </c>
    </row>
    <row r="38" spans="1:51" s="77" customFormat="1" ht="30">
      <c r="A38" s="25" t="s">
        <v>223</v>
      </c>
      <c r="B38" s="78" t="str">
        <f>IFERROR(INDEX('REFERENCING &amp; DATABASE'!$E$7:$E$131,MATCH($A38,'REFERENCING &amp; DATABASE'!$D$7:$D$131,0)),"")</f>
        <v>Striped Cotton Onesie</v>
      </c>
      <c r="C38" s="25" t="str">
        <f>IFERROR(INDEX('REFERENCING &amp; DATABASE'!$B$7:$B$131,MATCH($A38,'REFERENCING &amp; DATABASE'!$D$7:$D$131,0)),"")</f>
        <v>SLEEPWEAR</v>
      </c>
      <c r="D38" s="25" t="str">
        <f>IFERROR(INDEX('REFERENCING &amp; DATABASE'!$C$7:$C$131,MATCH($A38,'REFERENCING &amp; DATABASE'!$D$7:$D$131,0)),"")</f>
        <v>PAJAMAS</v>
      </c>
      <c r="E38" s="26" t="str">
        <f>IFERROR(INDEX('REFERENCING &amp; DATABASE'!$F$7:$F$131,MATCH($A38,'REFERENCING &amp; DATABASE'!$D$7:$D$131,0)),"")</f>
        <v xml:space="preserve">A comfortable and playful option for lounging or sleeping. </v>
      </c>
      <c r="F38" s="28" t="str">
        <f>IFERROR(INDEX('REFERENCING &amp; DATABASE'!$G$7:$G$131,MATCH($A38,'REFERENCING &amp; DATABASE'!$D$7:$D$131,0)),"")</f>
        <v>White,Grey</v>
      </c>
      <c r="G38" s="39" t="str">
        <f>IFERROR(INDEX('REFERENCING &amp; DATABASE'!$H$7:$H$131,MATCH($A38,'REFERENCING &amp; DATABASE'!$D$7:$D$131,0)),"")</f>
        <v>L,XL,XXL</v>
      </c>
      <c r="H38" s="28">
        <f>IFERROR(INDEX('WHS STK MGT &amp; ALLOC.'!$I:$I,MATCH($A38,'WHS STK MGT &amp; ALLOC.'!$A:$A,0)),"")</f>
        <v>210</v>
      </c>
      <c r="I38" s="60">
        <f>SUM('WHS STK MGT &amp; ALLOC.'!$K38,'WHS STK MGT &amp; ALLOC.'!$M38,'WHS STK MGT &amp; ALLOC.'!$O38,'WHS STK MGT &amp; ALLOC.'!$Q38,'WHS STK MGT &amp; ALLOC.'!$S38,'WHS STK MGT &amp; ALLOC.'!$U38,'WHS STK MGT &amp; ALLOC.'!$W38,'WHS STK MGT &amp; ALLOC.'!$Y38)</f>
        <v>10</v>
      </c>
      <c r="J38" s="60">
        <f>SUMIF('IN STORE SALES RECORD'!$D:$D,'STORE STK &amp; SALES MGT'!$A38,'IN STORE SALES RECORD'!$E:$E)</f>
        <v>0</v>
      </c>
      <c r="K38" s="60">
        <f>SUMIF('IN STORE SALES RECORD'!$D:$D,'STORE STK &amp; SALES MGT'!$A38,'IN STORE SALES RECORD'!$H:$H)</f>
        <v>0</v>
      </c>
      <c r="L38" s="60">
        <f t="shared" si="4"/>
        <v>0</v>
      </c>
      <c r="M38" s="60">
        <f t="shared" si="5"/>
        <v>0</v>
      </c>
      <c r="N38" s="60" cm="1">
        <f t="array" ref="N38">_xlfn.IFS($P$5 = "WEEK 1",'WHS STK MGT &amp; ALLOC.'!$K38,$P$5 = "WEEK 2",'WHS STK MGT &amp; ALLOC.'!$M38,$P$5 = "WEEK 3",'WHS STK MGT &amp; ALLOC.'!$O38,$P$5 = "WEEK 4",'WHS STK MGT &amp; ALLOC.'!Q38,$P$5 ="WEEK 5",'WHS STK MGT &amp; ALLOC.'!$S38)</f>
        <v>10</v>
      </c>
      <c r="O38" s="60" cm="1">
        <f t="array" ref="O38">_xlfn.SWITCH($P$5,
  "WEEK 1", 'WHS STK MGT &amp; ALLOC.'!$H38,
  "WEEK 2", 'WHS STK MGT &amp; ALLOC.'!$H38 - 'WHS STK MGT &amp; ALLOC.'!$K38,
  "WEEK 3", 'WHS STK MGT &amp; ALLOC.'!$H38 - ('WHS STK MGT &amp; ALLOC.'!$K38 + 'WHS STK MGT &amp; ALLOC.'!$M38),
  "WEEK 4", 'WHS STK MGT &amp; ALLOC.'!$H38 - ('WHS STK MGT &amp; ALLOC.'!$K38 + 'WHS STK MGT &amp; ALLOC.'!$M38 + 'WHS STK MGT &amp; ALLOC.'!$O38),
  "WEEK 5", 'WHS STK MGT &amp; ALLOC.'!$H38 - ('WHS STK MGT &amp; ALLOC.'!$K38 + 'WHS STK MGT &amp; ALLOC.'!$M38 + 'WHS STK MGT &amp; ALLOC.'!$O38 + 'WHS STK MGT &amp; ALLOC.'!$Q38),
  "WEEK 6", 'WHS STK MGT &amp; ALLOC.'!$H38 - ('WHS STK MGT &amp; ALLOC.'!$K38 + 'WHS STK MGT &amp; ALLOC.'!$M38 + 'WHS STK MGT &amp; ALLOC.'!$O38 + 'WHS STK MGT &amp; ALLOC.'!$Q38 + 'WHS STK MGT &amp; ALLOC.'!$S38),
  "WEEK 7", 'WHS STK MGT &amp; ALLOC.'!$H30 - ('WHS STK MGT &amp; ALLOC.'!$K30 + 'WHS STK MGT &amp; ALLOC.'!$M30 + 'WHS STK MGT &amp; ALLOC.'!$O30 + 'WHS STK MGT &amp; ALLOC.'!$Q30 + 'WHS STK MGT &amp; ALLOC.'!$S30 + 'WHS STK MGT &amp; ALLOC.'!$U30),
  "Other Weeks", 0
)</f>
        <v>220</v>
      </c>
      <c r="P38" s="60">
        <f>SUMIFS('IN STORE SALES RECORD'!$E:$E,'IN STORE SALES RECORD'!$D:$D,'STORE STK &amp; SALES MGT'!$A38,'IN STORE SALES RECORD'!$A:$A,'STORE STK &amp; SALES MGT'!$P$5)</f>
        <v>0</v>
      </c>
      <c r="Q38" s="60">
        <f>SUMIFS('IN STORE SALES RECORD'!$H:$H,'IN STORE SALES RECORD'!$D:$D,'STORE STK &amp; SALES MGT'!$A38,'IN STORE SALES RECORD'!$A:$A,'STORE STK &amp; SALES MGT'!$P$5)</f>
        <v>0</v>
      </c>
      <c r="R38" s="60">
        <f>IFERROR(ROUND(Q38/SUMIF('IN STORE SALES RECORD'!$A:$A,'STORE STK &amp; SALES MGT'!$P$5,'IN STORE SALES RECORD'!$H:$H)*100,3),"")</f>
        <v>0</v>
      </c>
      <c r="S38" s="60" cm="1">
        <f t="array" ref="S38">_xlfn.IFS($P$5 ="WEEK 1",'WHS STK MGT &amp; ALLOC.'!$H38-'WHS STK MGT &amp; ALLOC.'!$K38,$P$5 ="WEEK 2",'WHS STK MGT &amp; ALLOC.'!H38-('WHS STK MGT &amp; ALLOC.'!$K38+'WHS STK MGT &amp; ALLOC.'!$M38),$P$5 ="WEEK 3",'WHS STK MGT &amp; ALLOC.'!$H38-'WHS STK MGT &amp; ALLOC.'!$K38-'WHS STK MGT &amp; ALLOC.'!$M38-'WHS STK MGT &amp; ALLOC.'!$O38,$P$5 = "WEEK 4",'WHS STK MGT &amp; ALLOC.'!H38-'WHS STK MGT &amp; ALLOC.'!$K38-'WHS STK MGT &amp; ALLOC.'!$M38-'WHS STK MGT &amp; ALLOC.'!$O38-'WHS STK MGT &amp; ALLOC.'!$Q38,$P$5 = "WEEK 5",'WHS STK MGT &amp; ALLOC.'!H38-'WHS STK MGT &amp; ALLOC.'!$K38-'WHS STK MGT &amp; ALLOC.'!$M38-'WHS STK MGT &amp; ALLOC.'!$O38-'WHS STK MGT &amp; ALLOC.'!$Q38-'WHS STK MGT &amp; ALLOC.'!$S38)</f>
        <v>210</v>
      </c>
      <c r="T38" s="99">
        <f>SUMIFS('IN STORE SALES RECORD'!$E:$E,'IN STORE SALES RECORD'!$D:$D,'STORE STK &amp; SALES MGT'!$A38,'IN STORE SALES RECORD'!$C:$C,'STORE STK &amp; SALES MGT'!$U$5)</f>
        <v>0</v>
      </c>
      <c r="U38" s="60">
        <f>SUMIFS('IN STORE SALES RECORD'!$H:$H,'IN STORE SALES RECORD'!$D:$D,'STORE STK &amp; SALES MGT'!$A38,'IN STORE SALES RECORD'!$C:$C,'STORE STK &amp; SALES MGT'!$U$5)</f>
        <v>0</v>
      </c>
      <c r="V38" s="99">
        <f>IFERROR(ROUND(SUMIFS('IN STORE SALES RECORD'!$H:$H,'IN STORE SALES RECORD'!$C:$C,'STORE STK &amp; SALES MGT'!$U$5,'STORE STK &amp; SALES MGT'!$A:$A,'STORE STK &amp; SALES MGT'!$A38)/SUMIF('IN STORE SALES RECORD'!$C:$C,'STORE STK &amp; SALES MGT'!$U$5,'IN STORE SALES RECORD'!$H:$H)*100,3),"")</f>
        <v>0</v>
      </c>
    </row>
    <row r="39" spans="1:51" s="77" customFormat="1" ht="30">
      <c r="A39" s="25" t="s">
        <v>224</v>
      </c>
      <c r="B39" s="78" t="str">
        <f>IFERROR(INDEX('REFERENCING &amp; DATABASE'!$E$7:$E$131,MATCH($A39,'REFERENCING &amp; DATABASE'!$D$7:$D$131,0)),"")</f>
        <v>Floral Lace Nightgown</v>
      </c>
      <c r="C39" s="25" t="str">
        <f>IFERROR(INDEX('REFERENCING &amp; DATABASE'!$B$7:$B$131,MATCH($A39,'REFERENCING &amp; DATABASE'!$D$7:$D$131,0)),"")</f>
        <v>SLEEPWEAR</v>
      </c>
      <c r="D39" s="25" t="str">
        <f>IFERROR(INDEX('REFERENCING &amp; DATABASE'!$C$7:$C$131,MATCH($A39,'REFERENCING &amp; DATABASE'!$D$7:$D$131,0)),"")</f>
        <v>PAJAMAS</v>
      </c>
      <c r="E39" s="26" t="str">
        <f>IFERROR(INDEX('REFERENCING &amp; DATABASE'!$F$7:$F$131,MATCH($A39,'REFERENCING &amp; DATABASE'!$D$7:$D$131,0)),"")</f>
        <v>A feminine and elegant nightgown for a luxurious feel.</v>
      </c>
      <c r="F39" s="28" t="str">
        <f>IFERROR(INDEX('REFERENCING &amp; DATABASE'!$G$7:$G$131,MATCH($A39,'REFERENCING &amp; DATABASE'!$D$7:$D$131,0)),"")</f>
        <v>Multi-colors</v>
      </c>
      <c r="G39" s="39" t="str">
        <f>IFERROR(INDEX('REFERENCING &amp; DATABASE'!$H$7:$H$131,MATCH($A39,'REFERENCING &amp; DATABASE'!$D$7:$D$131,0)),"")</f>
        <v>L,XL,XXL</v>
      </c>
      <c r="H39" s="28">
        <f>IFERROR(INDEX('WHS STK MGT &amp; ALLOC.'!$I:$I,MATCH($A39,'WHS STK MGT &amp; ALLOC.'!$A:$A,0)),"")</f>
        <v>531</v>
      </c>
      <c r="I39" s="60">
        <f>SUM('WHS STK MGT &amp; ALLOC.'!$K39,'WHS STK MGT &amp; ALLOC.'!$M39,'WHS STK MGT &amp; ALLOC.'!$O39,'WHS STK MGT &amp; ALLOC.'!$Q39,'WHS STK MGT &amp; ALLOC.'!$S39,'WHS STK MGT &amp; ALLOC.'!$U39,'WHS STK MGT &amp; ALLOC.'!$W39,'WHS STK MGT &amp; ALLOC.'!$Y39)</f>
        <v>10</v>
      </c>
      <c r="J39" s="60">
        <f>SUMIF('IN STORE SALES RECORD'!$D:$D,'STORE STK &amp; SALES MGT'!$A39,'IN STORE SALES RECORD'!$E:$E)</f>
        <v>0</v>
      </c>
      <c r="K39" s="60">
        <f>SUMIF('IN STORE SALES RECORD'!$D:$D,'STORE STK &amp; SALES MGT'!$A39,'IN STORE SALES RECORD'!$H:$H)</f>
        <v>0</v>
      </c>
      <c r="L39" s="60">
        <f t="shared" si="4"/>
        <v>0</v>
      </c>
      <c r="M39" s="60">
        <f t="shared" si="5"/>
        <v>0</v>
      </c>
      <c r="N39" s="60" cm="1">
        <f t="array" ref="N39">_xlfn.IFS($P$5 = "WEEK 1",'WHS STK MGT &amp; ALLOC.'!$K39,$P$5 = "WEEK 2",'WHS STK MGT &amp; ALLOC.'!$M39,$P$5 = "WEEK 3",'WHS STK MGT &amp; ALLOC.'!$O39,$P$5 = "WEEK 4",'WHS STK MGT &amp; ALLOC.'!Q39,$P$5 ="WEEK 5",'WHS STK MGT &amp; ALLOC.'!$S39)</f>
        <v>10</v>
      </c>
      <c r="O39" s="60" cm="1">
        <f t="array" ref="O39">_xlfn.SWITCH($P$5,
  "WEEK 1", 'WHS STK MGT &amp; ALLOC.'!$H39,
  "WEEK 2", 'WHS STK MGT &amp; ALLOC.'!$H39 - 'WHS STK MGT &amp; ALLOC.'!$K39,
  "WEEK 3", 'WHS STK MGT &amp; ALLOC.'!$H39 - ('WHS STK MGT &amp; ALLOC.'!$K39 + 'WHS STK MGT &amp; ALLOC.'!$M39),
  "WEEK 4", 'WHS STK MGT &amp; ALLOC.'!$H39 - ('WHS STK MGT &amp; ALLOC.'!$K39 + 'WHS STK MGT &amp; ALLOC.'!$M39 + 'WHS STK MGT &amp; ALLOC.'!$O39),
  "WEEK 5", 'WHS STK MGT &amp; ALLOC.'!$H39 - ('WHS STK MGT &amp; ALLOC.'!$K39 + 'WHS STK MGT &amp; ALLOC.'!$M39 + 'WHS STK MGT &amp; ALLOC.'!$O39 + 'WHS STK MGT &amp; ALLOC.'!$Q39),
  "WEEK 6", 'WHS STK MGT &amp; ALLOC.'!$H39 - ('WHS STK MGT &amp; ALLOC.'!$K39 + 'WHS STK MGT &amp; ALLOC.'!$M39 + 'WHS STK MGT &amp; ALLOC.'!$O39 + 'WHS STK MGT &amp; ALLOC.'!$Q39 + 'WHS STK MGT &amp; ALLOC.'!$S39),
  "WEEK 7", 'WHS STK MGT &amp; ALLOC.'!$H31 - ('WHS STK MGT &amp; ALLOC.'!$K31 + 'WHS STK MGT &amp; ALLOC.'!$M31 + 'WHS STK MGT &amp; ALLOC.'!$O31 + 'WHS STK MGT &amp; ALLOC.'!$Q31 + 'WHS STK MGT &amp; ALLOC.'!$S31 + 'WHS STK MGT &amp; ALLOC.'!$U31),
  "Other Weeks", 0
)</f>
        <v>541</v>
      </c>
      <c r="P39" s="60">
        <f>SUMIFS('IN STORE SALES RECORD'!$E:$E,'IN STORE SALES RECORD'!$D:$D,'STORE STK &amp; SALES MGT'!$A39,'IN STORE SALES RECORD'!$A:$A,'STORE STK &amp; SALES MGT'!$P$5)</f>
        <v>0</v>
      </c>
      <c r="Q39" s="60">
        <f>SUMIFS('IN STORE SALES RECORD'!$H:$H,'IN STORE SALES RECORD'!$D:$D,'STORE STK &amp; SALES MGT'!$A39,'IN STORE SALES RECORD'!$A:$A,'STORE STK &amp; SALES MGT'!$P$5)</f>
        <v>0</v>
      </c>
      <c r="R39" s="60">
        <f>IFERROR(ROUND(Q39/SUMIF('IN STORE SALES RECORD'!$A:$A,'STORE STK &amp; SALES MGT'!$P$5,'IN STORE SALES RECORD'!$H:$H)*100,3),"")</f>
        <v>0</v>
      </c>
      <c r="S39" s="60" cm="1">
        <f t="array" ref="S39">_xlfn.IFS($P$5 ="WEEK 1",'WHS STK MGT &amp; ALLOC.'!$H39-'WHS STK MGT &amp; ALLOC.'!$K39,$P$5 ="WEEK 2",'WHS STK MGT &amp; ALLOC.'!H39-('WHS STK MGT &amp; ALLOC.'!$K39+'WHS STK MGT &amp; ALLOC.'!$M39),$P$5 ="WEEK 3",'WHS STK MGT &amp; ALLOC.'!$H39-'WHS STK MGT &amp; ALLOC.'!$K39-'WHS STK MGT &amp; ALLOC.'!$M39-'WHS STK MGT &amp; ALLOC.'!$O39,$P$5 = "WEEK 4",'WHS STK MGT &amp; ALLOC.'!H39-'WHS STK MGT &amp; ALLOC.'!$K39-'WHS STK MGT &amp; ALLOC.'!$M39-'WHS STK MGT &amp; ALLOC.'!$O39-'WHS STK MGT &amp; ALLOC.'!$Q39,$P$5 = "WEEK 5",'WHS STK MGT &amp; ALLOC.'!H39-'WHS STK MGT &amp; ALLOC.'!$K39-'WHS STK MGT &amp; ALLOC.'!$M39-'WHS STK MGT &amp; ALLOC.'!$O39-'WHS STK MGT &amp; ALLOC.'!$Q39-'WHS STK MGT &amp; ALLOC.'!$S39)</f>
        <v>531</v>
      </c>
      <c r="T39" s="99">
        <f>SUMIFS('IN STORE SALES RECORD'!$E:$E,'IN STORE SALES RECORD'!$D:$D,'STORE STK &amp; SALES MGT'!$A39,'IN STORE SALES RECORD'!$C:$C,'STORE STK &amp; SALES MGT'!$U$5)</f>
        <v>0</v>
      </c>
      <c r="U39" s="60">
        <f>SUMIFS('IN STORE SALES RECORD'!$H:$H,'IN STORE SALES RECORD'!$D:$D,'STORE STK &amp; SALES MGT'!$A39,'IN STORE SALES RECORD'!$C:$C,'STORE STK &amp; SALES MGT'!$U$5)</f>
        <v>0</v>
      </c>
      <c r="V39" s="99">
        <f>IFERROR(ROUND(SUMIFS('IN STORE SALES RECORD'!$H:$H,'IN STORE SALES RECORD'!$C:$C,'STORE STK &amp; SALES MGT'!$U$5,'STORE STK &amp; SALES MGT'!$A:$A,'STORE STK &amp; SALES MGT'!$A39)/SUMIF('IN STORE SALES RECORD'!$C:$C,'STORE STK &amp; SALES MGT'!$U$5,'IN STORE SALES RECORD'!$H:$H)*100,3),"")</f>
        <v>0</v>
      </c>
    </row>
    <row r="40" spans="1:51" s="77" customFormat="1" ht="30">
      <c r="A40" s="25" t="s">
        <v>225</v>
      </c>
      <c r="B40" s="78" t="str">
        <f>IFERROR(INDEX('REFERENCING &amp; DATABASE'!$E$7:$E$131,MATCH($A40,'REFERENCING &amp; DATABASE'!$D$7:$D$131,0)),"")</f>
        <v>French Terry Loungewear Set</v>
      </c>
      <c r="C40" s="25" t="str">
        <f>IFERROR(INDEX('REFERENCING &amp; DATABASE'!$B$7:$B$131,MATCH($A40,'REFERENCING &amp; DATABASE'!$D$7:$D$131,0)),"")</f>
        <v>SLEEPWEAR</v>
      </c>
      <c r="D40" s="25" t="str">
        <f>IFERROR(INDEX('REFERENCING &amp; DATABASE'!$C$7:$C$131,MATCH($A40,'REFERENCING &amp; DATABASE'!$D$7:$D$131,0)),"")</f>
        <v>LOUNGEWEAR</v>
      </c>
      <c r="E40" s="26" t="str">
        <f>IFERROR(INDEX('REFERENCING &amp; DATABASE'!$F$7:$F$131,MATCH($A40,'REFERENCING &amp; DATABASE'!$D$7:$D$131,0)),"")</f>
        <v>A soft and stylish set for relaxing at home.</v>
      </c>
      <c r="F40" s="28" t="str">
        <f>IFERROR(INDEX('REFERENCING &amp; DATABASE'!$G$7:$G$131,MATCH($A40,'REFERENCING &amp; DATABASE'!$D$7:$D$131,0)),"")</f>
        <v>Black,Dark Red</v>
      </c>
      <c r="G40" s="39" t="str">
        <f>IFERROR(INDEX('REFERENCING &amp; DATABASE'!$H$7:$H$131,MATCH($A40,'REFERENCING &amp; DATABASE'!$D$7:$D$131,0)),"")</f>
        <v>S,L,XL,XXL</v>
      </c>
      <c r="H40" s="28">
        <f>IFERROR(INDEX('WHS STK MGT &amp; ALLOC.'!$I:$I,MATCH($A40,'WHS STK MGT &amp; ALLOC.'!$A:$A,0)),"")</f>
        <v>576</v>
      </c>
      <c r="I40" s="60">
        <f>SUM('WHS STK MGT &amp; ALLOC.'!$K40,'WHS STK MGT &amp; ALLOC.'!$M40,'WHS STK MGT &amp; ALLOC.'!$O40,'WHS STK MGT &amp; ALLOC.'!$Q40,'WHS STK MGT &amp; ALLOC.'!$S40,'WHS STK MGT &amp; ALLOC.'!$U40,'WHS STK MGT &amp; ALLOC.'!$W40,'WHS STK MGT &amp; ALLOC.'!$Y40)</f>
        <v>10</v>
      </c>
      <c r="J40" s="60">
        <f>SUMIF('IN STORE SALES RECORD'!$D:$D,'STORE STK &amp; SALES MGT'!$A40,'IN STORE SALES RECORD'!$E:$E)</f>
        <v>0</v>
      </c>
      <c r="K40" s="60">
        <f>SUMIF('IN STORE SALES RECORD'!$D:$D,'STORE STK &amp; SALES MGT'!$A40,'IN STORE SALES RECORD'!$H:$H)</f>
        <v>0</v>
      </c>
      <c r="L40" s="60">
        <f t="shared" si="4"/>
        <v>0</v>
      </c>
      <c r="M40" s="60">
        <f t="shared" si="5"/>
        <v>0</v>
      </c>
      <c r="N40" s="60" cm="1">
        <f t="array" ref="N40">_xlfn.IFS($P$5 = "WEEK 1",'WHS STK MGT &amp; ALLOC.'!$K40,$P$5 = "WEEK 2",'WHS STK MGT &amp; ALLOC.'!$M40,$P$5 = "WEEK 3",'WHS STK MGT &amp; ALLOC.'!$O40,$P$5 = "WEEK 4",'WHS STK MGT &amp; ALLOC.'!Q40,$P$5 ="WEEK 5",'WHS STK MGT &amp; ALLOC.'!$S40)</f>
        <v>10</v>
      </c>
      <c r="O40" s="60" cm="1">
        <f t="array" ref="O40">_xlfn.SWITCH($P$5,
  "WEEK 1", 'WHS STK MGT &amp; ALLOC.'!$H40,
  "WEEK 2", 'WHS STK MGT &amp; ALLOC.'!$H40 - 'WHS STK MGT &amp; ALLOC.'!$K40,
  "WEEK 3", 'WHS STK MGT &amp; ALLOC.'!$H40 - ('WHS STK MGT &amp; ALLOC.'!$K40 + 'WHS STK MGT &amp; ALLOC.'!$M40),
  "WEEK 4", 'WHS STK MGT &amp; ALLOC.'!$H40 - ('WHS STK MGT &amp; ALLOC.'!$K40 + 'WHS STK MGT &amp; ALLOC.'!$M40 + 'WHS STK MGT &amp; ALLOC.'!$O40),
  "WEEK 5", 'WHS STK MGT &amp; ALLOC.'!$H40 - ('WHS STK MGT &amp; ALLOC.'!$K40 + 'WHS STK MGT &amp; ALLOC.'!$M40 + 'WHS STK MGT &amp; ALLOC.'!$O40 + 'WHS STK MGT &amp; ALLOC.'!$Q40),
  "WEEK 6", 'WHS STK MGT &amp; ALLOC.'!$H40 - ('WHS STK MGT &amp; ALLOC.'!$K40 + 'WHS STK MGT &amp; ALLOC.'!$M40 + 'WHS STK MGT &amp; ALLOC.'!$O40 + 'WHS STK MGT &amp; ALLOC.'!$Q40 + 'WHS STK MGT &amp; ALLOC.'!$S40),
  "WEEK 7", 'WHS STK MGT &amp; ALLOC.'!$H32 - ('WHS STK MGT &amp; ALLOC.'!$K32 + 'WHS STK MGT &amp; ALLOC.'!$M32 + 'WHS STK MGT &amp; ALLOC.'!$O32 + 'WHS STK MGT &amp; ALLOC.'!$Q32 + 'WHS STK MGT &amp; ALLOC.'!$S32 + 'WHS STK MGT &amp; ALLOC.'!$U32),
  "Other Weeks", 0
)</f>
        <v>586</v>
      </c>
      <c r="P40" s="60">
        <f>SUMIFS('IN STORE SALES RECORD'!$E:$E,'IN STORE SALES RECORD'!$D:$D,'STORE STK &amp; SALES MGT'!$A40,'IN STORE SALES RECORD'!$A:$A,'STORE STK &amp; SALES MGT'!$P$5)</f>
        <v>0</v>
      </c>
      <c r="Q40" s="60">
        <f>SUMIFS('IN STORE SALES RECORD'!$H:$H,'IN STORE SALES RECORD'!$D:$D,'STORE STK &amp; SALES MGT'!$A40,'IN STORE SALES RECORD'!$A:$A,'STORE STK &amp; SALES MGT'!$P$5)</f>
        <v>0</v>
      </c>
      <c r="R40" s="60">
        <f>IFERROR(ROUND(Q40/SUMIF('IN STORE SALES RECORD'!$A:$A,'STORE STK &amp; SALES MGT'!$P$5,'IN STORE SALES RECORD'!$H:$H)*100,3),"")</f>
        <v>0</v>
      </c>
      <c r="S40" s="60" cm="1">
        <f t="array" ref="S40">_xlfn.IFS($P$5 ="WEEK 1",'WHS STK MGT &amp; ALLOC.'!$H40-'WHS STK MGT &amp; ALLOC.'!$K40,$P$5 ="WEEK 2",'WHS STK MGT &amp; ALLOC.'!H40-('WHS STK MGT &amp; ALLOC.'!$K40+'WHS STK MGT &amp; ALLOC.'!$M40),$P$5 ="WEEK 3",'WHS STK MGT &amp; ALLOC.'!$H40-'WHS STK MGT &amp; ALLOC.'!$K40-'WHS STK MGT &amp; ALLOC.'!$M40-'WHS STK MGT &amp; ALLOC.'!$O40,$P$5 = "WEEK 4",'WHS STK MGT &amp; ALLOC.'!H40-'WHS STK MGT &amp; ALLOC.'!$K40-'WHS STK MGT &amp; ALLOC.'!$M40-'WHS STK MGT &amp; ALLOC.'!$O40-'WHS STK MGT &amp; ALLOC.'!$Q40,$P$5 = "WEEK 5",'WHS STK MGT &amp; ALLOC.'!H40-'WHS STK MGT &amp; ALLOC.'!$K40-'WHS STK MGT &amp; ALLOC.'!$M40-'WHS STK MGT &amp; ALLOC.'!$O40-'WHS STK MGT &amp; ALLOC.'!$Q40-'WHS STK MGT &amp; ALLOC.'!$S40)</f>
        <v>576</v>
      </c>
      <c r="T40" s="99">
        <f>SUMIFS('IN STORE SALES RECORD'!$E:$E,'IN STORE SALES RECORD'!$D:$D,'STORE STK &amp; SALES MGT'!$A40,'IN STORE SALES RECORD'!$C:$C,'STORE STK &amp; SALES MGT'!$U$5)</f>
        <v>0</v>
      </c>
      <c r="U40" s="60">
        <f>SUMIFS('IN STORE SALES RECORD'!$H:$H,'IN STORE SALES RECORD'!$D:$D,'STORE STK &amp; SALES MGT'!$A40,'IN STORE SALES RECORD'!$C:$C,'STORE STK &amp; SALES MGT'!$U$5)</f>
        <v>0</v>
      </c>
      <c r="V40" s="99">
        <f>IFERROR(ROUND(SUMIFS('IN STORE SALES RECORD'!$H:$H,'IN STORE SALES RECORD'!$C:$C,'STORE STK &amp; SALES MGT'!$U$5,'STORE STK &amp; SALES MGT'!$A:$A,'STORE STK &amp; SALES MGT'!$A40)/SUMIF('IN STORE SALES RECORD'!$C:$C,'STORE STK &amp; SALES MGT'!$U$5,'IN STORE SALES RECORD'!$H:$H)*100,3),"")</f>
        <v>0</v>
      </c>
    </row>
    <row r="41" spans="1:51" s="77" customFormat="1" ht="30">
      <c r="A41" s="25" t="s">
        <v>226</v>
      </c>
      <c r="B41" s="78" t="str">
        <f>IFERROR(INDEX('REFERENCING &amp; DATABASE'!$E$7:$E$131,MATCH($A41,'REFERENCING &amp; DATABASE'!$D$7:$D$131,0)),"")</f>
        <v>Fleece Robe</v>
      </c>
      <c r="C41" s="25" t="str">
        <f>IFERROR(INDEX('REFERENCING &amp; DATABASE'!$B$7:$B$131,MATCH($A41,'REFERENCING &amp; DATABASE'!$D$7:$D$131,0)),"")</f>
        <v>SLEEPWEAR</v>
      </c>
      <c r="D41" s="25" t="str">
        <f>IFERROR(INDEX('REFERENCING &amp; DATABASE'!$C$7:$C$131,MATCH($A41,'REFERENCING &amp; DATABASE'!$D$7:$D$131,0)),"")</f>
        <v>LOUNGEWEAR</v>
      </c>
      <c r="E41" s="26" t="str">
        <f>IFERROR(INDEX('REFERENCING &amp; DATABASE'!$F$7:$F$131,MATCH($A41,'REFERENCING &amp; DATABASE'!$D$7:$D$131,0)),"")</f>
        <v>A warm and cozy robe perfect for mornings or evenings.</v>
      </c>
      <c r="F41" s="28" t="str">
        <f>IFERROR(INDEX('REFERENCING &amp; DATABASE'!$G$7:$G$131,MATCH($A41,'REFERENCING &amp; DATABASE'!$D$7:$D$131,0)),"")</f>
        <v>Black</v>
      </c>
      <c r="G41" s="39" t="str">
        <f>IFERROR(INDEX('REFERENCING &amp; DATABASE'!$H$7:$H$131,MATCH($A41,'REFERENCING &amp; DATABASE'!$D$7:$D$131,0)),"")</f>
        <v>S,L,XL,XXL</v>
      </c>
      <c r="H41" s="28">
        <f>IFERROR(INDEX('WHS STK MGT &amp; ALLOC.'!$I:$I,MATCH($A41,'WHS STK MGT &amp; ALLOC.'!$A:$A,0)),"")</f>
        <v>519</v>
      </c>
      <c r="I41" s="60">
        <f>SUM('WHS STK MGT &amp; ALLOC.'!$K41,'WHS STK MGT &amp; ALLOC.'!$M41,'WHS STK MGT &amp; ALLOC.'!$O41,'WHS STK MGT &amp; ALLOC.'!$Q41,'WHS STK MGT &amp; ALLOC.'!$S41,'WHS STK MGT &amp; ALLOC.'!$U41,'WHS STK MGT &amp; ALLOC.'!$W41,'WHS STK MGT &amp; ALLOC.'!$Y41)</f>
        <v>10</v>
      </c>
      <c r="J41" s="60">
        <f>SUMIF('IN STORE SALES RECORD'!$D:$D,'STORE STK &amp; SALES MGT'!$A41,'IN STORE SALES RECORD'!$E:$E)</f>
        <v>0</v>
      </c>
      <c r="K41" s="60">
        <f>SUMIF('IN STORE SALES RECORD'!$D:$D,'STORE STK &amp; SALES MGT'!$A41,'IN STORE SALES RECORD'!$H:$H)</f>
        <v>0</v>
      </c>
      <c r="L41" s="60">
        <f t="shared" si="4"/>
        <v>0</v>
      </c>
      <c r="M41" s="60">
        <f t="shared" si="5"/>
        <v>0</v>
      </c>
      <c r="N41" s="60" cm="1">
        <f t="array" ref="N41">_xlfn.IFS($P$5 = "WEEK 1",'WHS STK MGT &amp; ALLOC.'!$K41,$P$5 = "WEEK 2",'WHS STK MGT &amp; ALLOC.'!$M41,$P$5 = "WEEK 3",'WHS STK MGT &amp; ALLOC.'!$O41,$P$5 = "WEEK 4",'WHS STK MGT &amp; ALLOC.'!Q41,$P$5 ="WEEK 5",'WHS STK MGT &amp; ALLOC.'!$S41)</f>
        <v>10</v>
      </c>
      <c r="O41" s="60" cm="1">
        <f t="array" ref="O41">_xlfn.SWITCH($P$5,
  "WEEK 1", 'WHS STK MGT &amp; ALLOC.'!$H41,
  "WEEK 2", 'WHS STK MGT &amp; ALLOC.'!$H41 - 'WHS STK MGT &amp; ALLOC.'!$K41,
  "WEEK 3", 'WHS STK MGT &amp; ALLOC.'!$H41 - ('WHS STK MGT &amp; ALLOC.'!$K41 + 'WHS STK MGT &amp; ALLOC.'!$M41),
  "WEEK 4", 'WHS STK MGT &amp; ALLOC.'!$H41 - ('WHS STK MGT &amp; ALLOC.'!$K41 + 'WHS STK MGT &amp; ALLOC.'!$M41 + 'WHS STK MGT &amp; ALLOC.'!$O41),
  "WEEK 5", 'WHS STK MGT &amp; ALLOC.'!$H41 - ('WHS STK MGT &amp; ALLOC.'!$K41 + 'WHS STK MGT &amp; ALLOC.'!$M41 + 'WHS STK MGT &amp; ALLOC.'!$O41 + 'WHS STK MGT &amp; ALLOC.'!$Q41),
  "WEEK 6", 'WHS STK MGT &amp; ALLOC.'!$H41 - ('WHS STK MGT &amp; ALLOC.'!$K41 + 'WHS STK MGT &amp; ALLOC.'!$M41 + 'WHS STK MGT &amp; ALLOC.'!$O41 + 'WHS STK MGT &amp; ALLOC.'!$Q41 + 'WHS STK MGT &amp; ALLOC.'!$S41),
  "WEEK 7", 'WHS STK MGT &amp; ALLOC.'!$H33 - ('WHS STK MGT &amp; ALLOC.'!$K33 + 'WHS STK MGT &amp; ALLOC.'!$M33 + 'WHS STK MGT &amp; ALLOC.'!$O33 + 'WHS STK MGT &amp; ALLOC.'!$Q33 + 'WHS STK MGT &amp; ALLOC.'!$S33 + 'WHS STK MGT &amp; ALLOC.'!$U33),
  "Other Weeks", 0
)</f>
        <v>529</v>
      </c>
      <c r="P41" s="60">
        <f>SUMIFS('IN STORE SALES RECORD'!$E:$E,'IN STORE SALES RECORD'!$D:$D,'STORE STK &amp; SALES MGT'!$A41,'IN STORE SALES RECORD'!$A:$A,'STORE STK &amp; SALES MGT'!$P$5)</f>
        <v>0</v>
      </c>
      <c r="Q41" s="60">
        <f>SUMIFS('IN STORE SALES RECORD'!$H:$H,'IN STORE SALES RECORD'!$D:$D,'STORE STK &amp; SALES MGT'!$A41,'IN STORE SALES RECORD'!$A:$A,'STORE STK &amp; SALES MGT'!$P$5)</f>
        <v>0</v>
      </c>
      <c r="R41" s="60">
        <f>IFERROR(ROUND(Q41/SUMIF('IN STORE SALES RECORD'!$A:$A,'STORE STK &amp; SALES MGT'!$P$5,'IN STORE SALES RECORD'!$H:$H)*100,3),"")</f>
        <v>0</v>
      </c>
      <c r="S41" s="60" cm="1">
        <f t="array" ref="S41">_xlfn.IFS($P$5 ="WEEK 1",'WHS STK MGT &amp; ALLOC.'!$H41-'WHS STK MGT &amp; ALLOC.'!$K41,$P$5 ="WEEK 2",'WHS STK MGT &amp; ALLOC.'!H41-('WHS STK MGT &amp; ALLOC.'!$K41+'WHS STK MGT &amp; ALLOC.'!$M41),$P$5 ="WEEK 3",'WHS STK MGT &amp; ALLOC.'!$H41-'WHS STK MGT &amp; ALLOC.'!$K41-'WHS STK MGT &amp; ALLOC.'!$M41-'WHS STK MGT &amp; ALLOC.'!$O41,$P$5 = "WEEK 4",'WHS STK MGT &amp; ALLOC.'!H41-'WHS STK MGT &amp; ALLOC.'!$K41-'WHS STK MGT &amp; ALLOC.'!$M41-'WHS STK MGT &amp; ALLOC.'!$O41-'WHS STK MGT &amp; ALLOC.'!$Q41,$P$5 = "WEEK 5",'WHS STK MGT &amp; ALLOC.'!H41-'WHS STK MGT &amp; ALLOC.'!$K41-'WHS STK MGT &amp; ALLOC.'!$M41-'WHS STK MGT &amp; ALLOC.'!$O41-'WHS STK MGT &amp; ALLOC.'!$Q41-'WHS STK MGT &amp; ALLOC.'!$S41)</f>
        <v>519</v>
      </c>
      <c r="T41" s="99">
        <f>SUMIFS('IN STORE SALES RECORD'!$E:$E,'IN STORE SALES RECORD'!$D:$D,'STORE STK &amp; SALES MGT'!$A41,'IN STORE SALES RECORD'!$C:$C,'STORE STK &amp; SALES MGT'!$U$5)</f>
        <v>0</v>
      </c>
      <c r="U41" s="60">
        <f>SUMIFS('IN STORE SALES RECORD'!$H:$H,'IN STORE SALES RECORD'!$D:$D,'STORE STK &amp; SALES MGT'!$A41,'IN STORE SALES RECORD'!$C:$C,'STORE STK &amp; SALES MGT'!$U$5)</f>
        <v>0</v>
      </c>
      <c r="V41" s="99">
        <f>IFERROR(ROUND(SUMIFS('IN STORE SALES RECORD'!$H:$H,'IN STORE SALES RECORD'!$C:$C,'STORE STK &amp; SALES MGT'!$U$5,'STORE STK &amp; SALES MGT'!$A:$A,'STORE STK &amp; SALES MGT'!$A41)/SUMIF('IN STORE SALES RECORD'!$C:$C,'STORE STK &amp; SALES MGT'!$U$5,'IN STORE SALES RECORD'!$H:$H)*100,3),"")</f>
        <v>0</v>
      </c>
    </row>
    <row r="42" spans="1:51" s="77" customFormat="1" ht="30">
      <c r="A42" s="25" t="s">
        <v>227</v>
      </c>
      <c r="B42" s="78" t="str">
        <f>IFERROR(INDEX('REFERENCING &amp; DATABASE'!$E$7:$E$131,MATCH($A42,'REFERENCING &amp; DATABASE'!$D$7:$D$131,0)),"")</f>
        <v>Memory Foam Slippers</v>
      </c>
      <c r="C42" s="25" t="str">
        <f>IFERROR(INDEX('REFERENCING &amp; DATABASE'!$B$7:$B$131,MATCH($A42,'REFERENCING &amp; DATABASE'!$D$7:$D$131,0)),"")</f>
        <v>SLEEPWEAR</v>
      </c>
      <c r="D42" s="25" t="str">
        <f>IFERROR(INDEX('REFERENCING &amp; DATABASE'!$C$7:$C$131,MATCH($A42,'REFERENCING &amp; DATABASE'!$D$7:$D$131,0)),"")</f>
        <v>LOUNGEWEAR</v>
      </c>
      <c r="E42" s="26" t="str">
        <f>IFERROR(INDEX('REFERENCING &amp; DATABASE'!$F$7:$F$131,MATCH($A42,'REFERENCING &amp; DATABASE'!$D$7:$D$131,0)),"")</f>
        <v>Plush and comfortable slippers for ultimate relaxation.</v>
      </c>
      <c r="F42" s="28" t="str">
        <f>IFERROR(INDEX('REFERENCING &amp; DATABASE'!$G$7:$G$131,MATCH($A42,'REFERENCING &amp; DATABASE'!$D$7:$D$131,0)),"")</f>
        <v>Black,Grey</v>
      </c>
      <c r="G42" s="39">
        <f>IFERROR(INDEX('REFERENCING &amp; DATABASE'!$H$7:$H$131,MATCH($A42,'REFERENCING &amp; DATABASE'!$D$7:$D$131,0)),"")</f>
        <v>10</v>
      </c>
      <c r="H42" s="28">
        <f>IFERROR(INDEX('WHS STK MGT &amp; ALLOC.'!$I:$I,MATCH($A42,'WHS STK MGT &amp; ALLOC.'!$A:$A,0)),"")</f>
        <v>344</v>
      </c>
      <c r="I42" s="60">
        <f>SUM('WHS STK MGT &amp; ALLOC.'!$K42,'WHS STK MGT &amp; ALLOC.'!$M42,'WHS STK MGT &amp; ALLOC.'!$O42,'WHS STK MGT &amp; ALLOC.'!$Q42,'WHS STK MGT &amp; ALLOC.'!$S42,'WHS STK MGT &amp; ALLOC.'!$U42,'WHS STK MGT &amp; ALLOC.'!$W42,'WHS STK MGT &amp; ALLOC.'!$Y42)</f>
        <v>10</v>
      </c>
      <c r="J42" s="60">
        <f>SUMIF('IN STORE SALES RECORD'!$D:$D,'STORE STK &amp; SALES MGT'!$A42,'IN STORE SALES RECORD'!$E:$E)</f>
        <v>0</v>
      </c>
      <c r="K42" s="60">
        <f>SUMIF('IN STORE SALES RECORD'!$D:$D,'STORE STK &amp; SALES MGT'!$A42,'IN STORE SALES RECORD'!$H:$H)</f>
        <v>0</v>
      </c>
      <c r="L42" s="60">
        <f t="shared" si="4"/>
        <v>0</v>
      </c>
      <c r="M42" s="60">
        <f t="shared" si="5"/>
        <v>0</v>
      </c>
      <c r="N42" s="60" cm="1">
        <f t="array" ref="N42">_xlfn.IFS($P$5 = "WEEK 1",'WHS STK MGT &amp; ALLOC.'!$K42,$P$5 = "WEEK 2",'WHS STK MGT &amp; ALLOC.'!$M42,$P$5 = "WEEK 3",'WHS STK MGT &amp; ALLOC.'!$O42,$P$5 = "WEEK 4",'WHS STK MGT &amp; ALLOC.'!Q42,$P$5 ="WEEK 5",'WHS STK MGT &amp; ALLOC.'!$S42)</f>
        <v>10</v>
      </c>
      <c r="O42" s="60" cm="1">
        <f t="array" ref="O42">_xlfn.SWITCH($P$5,
  "WEEK 1", 'WHS STK MGT &amp; ALLOC.'!$H42,
  "WEEK 2", 'WHS STK MGT &amp; ALLOC.'!$H42 - 'WHS STK MGT &amp; ALLOC.'!$K42,
  "WEEK 3", 'WHS STK MGT &amp; ALLOC.'!$H42 - ('WHS STK MGT &amp; ALLOC.'!$K42 + 'WHS STK MGT &amp; ALLOC.'!$M42),
  "WEEK 4", 'WHS STK MGT &amp; ALLOC.'!$H42 - ('WHS STK MGT &amp; ALLOC.'!$K42 + 'WHS STK MGT &amp; ALLOC.'!$M42 + 'WHS STK MGT &amp; ALLOC.'!$O42),
  "WEEK 5", 'WHS STK MGT &amp; ALLOC.'!$H42 - ('WHS STK MGT &amp; ALLOC.'!$K42 + 'WHS STK MGT &amp; ALLOC.'!$M42 + 'WHS STK MGT &amp; ALLOC.'!$O42 + 'WHS STK MGT &amp; ALLOC.'!$Q42),
  "WEEK 6", 'WHS STK MGT &amp; ALLOC.'!$H42 - ('WHS STK MGT &amp; ALLOC.'!$K42 + 'WHS STK MGT &amp; ALLOC.'!$M42 + 'WHS STK MGT &amp; ALLOC.'!$O42 + 'WHS STK MGT &amp; ALLOC.'!$Q42 + 'WHS STK MGT &amp; ALLOC.'!$S42),
  "WEEK 7", 'WHS STK MGT &amp; ALLOC.'!$H34 - ('WHS STK MGT &amp; ALLOC.'!$K34 + 'WHS STK MGT &amp; ALLOC.'!$M34 + 'WHS STK MGT &amp; ALLOC.'!$O34 + 'WHS STK MGT &amp; ALLOC.'!$Q34 + 'WHS STK MGT &amp; ALLOC.'!$S34 + 'WHS STK MGT &amp; ALLOC.'!$U34),
  "Other Weeks", 0
)</f>
        <v>354</v>
      </c>
      <c r="P42" s="60">
        <f>SUMIFS('IN STORE SALES RECORD'!$E:$E,'IN STORE SALES RECORD'!$D:$D,'STORE STK &amp; SALES MGT'!$A42,'IN STORE SALES RECORD'!$A:$A,'STORE STK &amp; SALES MGT'!$P$5)</f>
        <v>0</v>
      </c>
      <c r="Q42" s="60">
        <f>SUMIFS('IN STORE SALES RECORD'!$H:$H,'IN STORE SALES RECORD'!$D:$D,'STORE STK &amp; SALES MGT'!$A42,'IN STORE SALES RECORD'!$A:$A,'STORE STK &amp; SALES MGT'!$P$5)</f>
        <v>0</v>
      </c>
      <c r="R42" s="60">
        <f>IFERROR(ROUND(Q42/SUMIF('IN STORE SALES RECORD'!$A:$A,'STORE STK &amp; SALES MGT'!$P$5,'IN STORE SALES RECORD'!$H:$H)*100,3),"")</f>
        <v>0</v>
      </c>
      <c r="S42" s="60" cm="1">
        <f t="array" ref="S42">_xlfn.IFS($P$5 ="WEEK 1",'WHS STK MGT &amp; ALLOC.'!$H42-'WHS STK MGT &amp; ALLOC.'!$K42,$P$5 ="WEEK 2",'WHS STK MGT &amp; ALLOC.'!H42-('WHS STK MGT &amp; ALLOC.'!$K42+'WHS STK MGT &amp; ALLOC.'!$M42),$P$5 ="WEEK 3",'WHS STK MGT &amp; ALLOC.'!$H42-'WHS STK MGT &amp; ALLOC.'!$K42-'WHS STK MGT &amp; ALLOC.'!$M42-'WHS STK MGT &amp; ALLOC.'!$O42,$P$5 = "WEEK 4",'WHS STK MGT &amp; ALLOC.'!H42-'WHS STK MGT &amp; ALLOC.'!$K42-'WHS STK MGT &amp; ALLOC.'!$M42-'WHS STK MGT &amp; ALLOC.'!$O42-'WHS STK MGT &amp; ALLOC.'!$Q42,$P$5 = "WEEK 5",'WHS STK MGT &amp; ALLOC.'!H42-'WHS STK MGT &amp; ALLOC.'!$K42-'WHS STK MGT &amp; ALLOC.'!$M42-'WHS STK MGT &amp; ALLOC.'!$O42-'WHS STK MGT &amp; ALLOC.'!$Q42-'WHS STK MGT &amp; ALLOC.'!$S42)</f>
        <v>344</v>
      </c>
      <c r="T42" s="99">
        <f>SUMIFS('IN STORE SALES RECORD'!$E:$E,'IN STORE SALES RECORD'!$D:$D,'STORE STK &amp; SALES MGT'!$A42,'IN STORE SALES RECORD'!$C:$C,'STORE STK &amp; SALES MGT'!$U$5)</f>
        <v>0</v>
      </c>
      <c r="U42" s="60">
        <f>SUMIFS('IN STORE SALES RECORD'!$H:$H,'IN STORE SALES RECORD'!$D:$D,'STORE STK &amp; SALES MGT'!$A42,'IN STORE SALES RECORD'!$C:$C,'STORE STK &amp; SALES MGT'!$U$5)</f>
        <v>0</v>
      </c>
      <c r="V42" s="99">
        <f>IFERROR(ROUND(SUMIFS('IN STORE SALES RECORD'!$H:$H,'IN STORE SALES RECORD'!$C:$C,'STORE STK &amp; SALES MGT'!$U$5,'STORE STK &amp; SALES MGT'!$A:$A,'STORE STK &amp; SALES MGT'!$A42)/SUMIF('IN STORE SALES RECORD'!$C:$C,'STORE STK &amp; SALES MGT'!$U$5,'IN STORE SALES RECORD'!$H:$H)*100,3),"")</f>
        <v>0</v>
      </c>
    </row>
    <row r="43" spans="1:51" s="77" customFormat="1" ht="30">
      <c r="A43" s="25" t="s">
        <v>228</v>
      </c>
      <c r="B43" s="78" t="str">
        <f>IFERROR(INDEX('REFERENCING &amp; DATABASE'!$E$7:$E$131,MATCH($A43,'REFERENCING &amp; DATABASE'!$D$7:$D$131,0)),"")</f>
        <v>Supportive Sleep Bra</v>
      </c>
      <c r="C43" s="25" t="str">
        <f>IFERROR(INDEX('REFERENCING &amp; DATABASE'!$B$7:$B$131,MATCH($A43,'REFERENCING &amp; DATABASE'!$D$7:$D$131,0)),"")</f>
        <v>SLEEPWEAR</v>
      </c>
      <c r="D43" s="25" t="str">
        <f>IFERROR(INDEX('REFERENCING &amp; DATABASE'!$C$7:$C$131,MATCH($A43,'REFERENCING &amp; DATABASE'!$D$7:$D$131,0)),"")</f>
        <v>UNDERWEAR</v>
      </c>
      <c r="E43" s="26" t="str">
        <f>IFERROR(INDEX('REFERENCING &amp; DATABASE'!$F$7:$F$131,MATCH($A43,'REFERENCING &amp; DATABASE'!$D$7:$D$131,0)),"")</f>
        <v>Supportive Sleep Bra: Provides gentle support and comfort while sleeping.</v>
      </c>
      <c r="F43" s="28" t="str">
        <f>IFERROR(INDEX('REFERENCING &amp; DATABASE'!$G$7:$G$131,MATCH($A43,'REFERENCING &amp; DATABASE'!$D$7:$D$131,0)),"")</f>
        <v>Multi-colors</v>
      </c>
      <c r="G43" s="39" t="str">
        <f>IFERROR(INDEX('REFERENCING &amp; DATABASE'!$H$7:$H$131,MATCH($A43,'REFERENCING &amp; DATABASE'!$D$7:$D$131,0)),"")</f>
        <v>L,XL</v>
      </c>
      <c r="H43" s="28">
        <f>IFERROR(INDEX('WHS STK MGT &amp; ALLOC.'!$I:$I,MATCH($A43,'WHS STK MGT &amp; ALLOC.'!$A:$A,0)),"")</f>
        <v>425</v>
      </c>
      <c r="I43" s="60">
        <f>SUM('WHS STK MGT &amp; ALLOC.'!$K43,'WHS STK MGT &amp; ALLOC.'!$M43,'WHS STK MGT &amp; ALLOC.'!$O43,'WHS STK MGT &amp; ALLOC.'!$Q43,'WHS STK MGT &amp; ALLOC.'!$S43,'WHS STK MGT &amp; ALLOC.'!$U43,'WHS STK MGT &amp; ALLOC.'!$W43,'WHS STK MGT &amp; ALLOC.'!$Y43)</f>
        <v>10</v>
      </c>
      <c r="J43" s="60">
        <f>SUMIF('IN STORE SALES RECORD'!$D:$D,'STORE STK &amp; SALES MGT'!$A43,'IN STORE SALES RECORD'!$E:$E)</f>
        <v>0</v>
      </c>
      <c r="K43" s="60">
        <f>SUMIF('IN STORE SALES RECORD'!$D:$D,'STORE STK &amp; SALES MGT'!$A43,'IN STORE SALES RECORD'!$H:$H)</f>
        <v>0</v>
      </c>
      <c r="L43" s="60">
        <f t="shared" si="4"/>
        <v>0</v>
      </c>
      <c r="M43" s="60">
        <f t="shared" si="5"/>
        <v>0</v>
      </c>
      <c r="N43" s="60" cm="1">
        <f t="array" ref="N43">_xlfn.IFS($P$5 = "WEEK 1",'WHS STK MGT &amp; ALLOC.'!$K43,$P$5 = "WEEK 2",'WHS STK MGT &amp; ALLOC.'!$M43,$P$5 = "WEEK 3",'WHS STK MGT &amp; ALLOC.'!$O43,$P$5 = "WEEK 4",'WHS STK MGT &amp; ALLOC.'!Q43,$P$5 ="WEEK 5",'WHS STK MGT &amp; ALLOC.'!$S43)</f>
        <v>10</v>
      </c>
      <c r="O43" s="60" cm="1">
        <f t="array" ref="O43">_xlfn.SWITCH($P$5,
  "WEEK 1", 'WHS STK MGT &amp; ALLOC.'!$H43,
  "WEEK 2", 'WHS STK MGT &amp; ALLOC.'!$H43 - 'WHS STK MGT &amp; ALLOC.'!$K43,
  "WEEK 3", 'WHS STK MGT &amp; ALLOC.'!$H43 - ('WHS STK MGT &amp; ALLOC.'!$K43 + 'WHS STK MGT &amp; ALLOC.'!$M43),
  "WEEK 4", 'WHS STK MGT &amp; ALLOC.'!$H43 - ('WHS STK MGT &amp; ALLOC.'!$K43 + 'WHS STK MGT &amp; ALLOC.'!$M43 + 'WHS STK MGT &amp; ALLOC.'!$O43),
  "WEEK 5", 'WHS STK MGT &amp; ALLOC.'!$H43 - ('WHS STK MGT &amp; ALLOC.'!$K43 + 'WHS STK MGT &amp; ALLOC.'!$M43 + 'WHS STK MGT &amp; ALLOC.'!$O43 + 'WHS STK MGT &amp; ALLOC.'!$Q43),
  "WEEK 6", 'WHS STK MGT &amp; ALLOC.'!$H43 - ('WHS STK MGT &amp; ALLOC.'!$K43 + 'WHS STK MGT &amp; ALLOC.'!$M43 + 'WHS STK MGT &amp; ALLOC.'!$O43 + 'WHS STK MGT &amp; ALLOC.'!$Q43 + 'WHS STK MGT &amp; ALLOC.'!$S43),
  "WEEK 7", 'WHS STK MGT &amp; ALLOC.'!$H35 - ('WHS STK MGT &amp; ALLOC.'!$K35 + 'WHS STK MGT &amp; ALLOC.'!$M35 + 'WHS STK MGT &amp; ALLOC.'!$O35 + 'WHS STK MGT &amp; ALLOC.'!$Q35 + 'WHS STK MGT &amp; ALLOC.'!$S35 + 'WHS STK MGT &amp; ALLOC.'!$U35),
  "Other Weeks", 0
)</f>
        <v>435</v>
      </c>
      <c r="P43" s="60">
        <f>SUMIFS('IN STORE SALES RECORD'!$E:$E,'IN STORE SALES RECORD'!$D:$D,'STORE STK &amp; SALES MGT'!$A43,'IN STORE SALES RECORD'!$A:$A,'STORE STK &amp; SALES MGT'!$P$5)</f>
        <v>0</v>
      </c>
      <c r="Q43" s="60">
        <f>SUMIFS('IN STORE SALES RECORD'!$H:$H,'IN STORE SALES RECORD'!$D:$D,'STORE STK &amp; SALES MGT'!$A43,'IN STORE SALES RECORD'!$A:$A,'STORE STK &amp; SALES MGT'!$P$5)</f>
        <v>0</v>
      </c>
      <c r="R43" s="60">
        <f>IFERROR(ROUND(Q43/SUMIF('IN STORE SALES RECORD'!$A:$A,'STORE STK &amp; SALES MGT'!$P$5,'IN STORE SALES RECORD'!$H:$H)*100,3),"")</f>
        <v>0</v>
      </c>
      <c r="S43" s="60" cm="1">
        <f t="array" ref="S43">_xlfn.IFS($P$5 ="WEEK 1",'WHS STK MGT &amp; ALLOC.'!$H43-'WHS STK MGT &amp; ALLOC.'!$K43,$P$5 ="WEEK 2",'WHS STK MGT &amp; ALLOC.'!H43-('WHS STK MGT &amp; ALLOC.'!$K43+'WHS STK MGT &amp; ALLOC.'!$M43),$P$5 ="WEEK 3",'WHS STK MGT &amp; ALLOC.'!$H43-'WHS STK MGT &amp; ALLOC.'!$K43-'WHS STK MGT &amp; ALLOC.'!$M43-'WHS STK MGT &amp; ALLOC.'!$O43,$P$5 = "WEEK 4",'WHS STK MGT &amp; ALLOC.'!H43-'WHS STK MGT &amp; ALLOC.'!$K43-'WHS STK MGT &amp; ALLOC.'!$M43-'WHS STK MGT &amp; ALLOC.'!$O43-'WHS STK MGT &amp; ALLOC.'!$Q43,$P$5 = "WEEK 5",'WHS STK MGT &amp; ALLOC.'!H43-'WHS STK MGT &amp; ALLOC.'!$K43-'WHS STK MGT &amp; ALLOC.'!$M43-'WHS STK MGT &amp; ALLOC.'!$O43-'WHS STK MGT &amp; ALLOC.'!$Q43-'WHS STK MGT &amp; ALLOC.'!$S43)</f>
        <v>425</v>
      </c>
      <c r="T43" s="99">
        <f>SUMIFS('IN STORE SALES RECORD'!$E:$E,'IN STORE SALES RECORD'!$D:$D,'STORE STK &amp; SALES MGT'!$A43,'IN STORE SALES RECORD'!$C:$C,'STORE STK &amp; SALES MGT'!$U$5)</f>
        <v>0</v>
      </c>
      <c r="U43" s="60">
        <f>SUMIFS('IN STORE SALES RECORD'!$H:$H,'IN STORE SALES RECORD'!$D:$D,'STORE STK &amp; SALES MGT'!$A43,'IN STORE SALES RECORD'!$C:$C,'STORE STK &amp; SALES MGT'!$U$5)</f>
        <v>0</v>
      </c>
      <c r="V43" s="99">
        <f>IFERROR(ROUND(SUMIFS('IN STORE SALES RECORD'!$H:$H,'IN STORE SALES RECORD'!$C:$C,'STORE STK &amp; SALES MGT'!$U$5,'STORE STK &amp; SALES MGT'!$A:$A,'STORE STK &amp; SALES MGT'!$A43)/SUMIF('IN STORE SALES RECORD'!$C:$C,'STORE STK &amp; SALES MGT'!$U$5,'IN STORE SALES RECORD'!$H:$H)*100,3),"")</f>
        <v>0</v>
      </c>
    </row>
    <row r="44" spans="1:51" s="77" customFormat="1" ht="30">
      <c r="A44" s="25" t="s">
        <v>229</v>
      </c>
      <c r="B44" s="78" t="str">
        <f>IFERROR(INDEX('REFERENCING &amp; DATABASE'!$E$7:$E$131,MATCH($A44,'REFERENCING &amp; DATABASE'!$D$7:$D$131,0)),"")</f>
        <v>Soft Modal Sleep Shorts</v>
      </c>
      <c r="C44" s="25" t="str">
        <f>IFERROR(INDEX('REFERENCING &amp; DATABASE'!$B$7:$B$131,MATCH($A44,'REFERENCING &amp; DATABASE'!$D$7:$D$131,0)),"")</f>
        <v>SLEEPWEAR</v>
      </c>
      <c r="D44" s="25" t="str">
        <f>IFERROR(INDEX('REFERENCING &amp; DATABASE'!$C$7:$C$131,MATCH($A44,'REFERENCING &amp; DATABASE'!$D$7:$D$131,0)),"")</f>
        <v>UNDERWEAR</v>
      </c>
      <c r="E44" s="26" t="str">
        <f>IFERROR(INDEX('REFERENCING &amp; DATABASE'!$F$7:$F$131,MATCH($A44,'REFERENCING &amp; DATABASE'!$D$7:$D$131,0)),"")</f>
        <v>Breathable and lightweight shorts for a comfortable night's sleep.</v>
      </c>
      <c r="F44" s="28" t="str">
        <f>IFERROR(INDEX('REFERENCING &amp; DATABASE'!$G$7:$G$131,MATCH($A44,'REFERENCING &amp; DATABASE'!$D$7:$D$131,0)),"")</f>
        <v>Multi-colors</v>
      </c>
      <c r="G44" s="39" t="str">
        <f>IFERROR(INDEX('REFERENCING &amp; DATABASE'!$H$7:$H$131,MATCH($A44,'REFERENCING &amp; DATABASE'!$D$7:$D$131,0)),"")</f>
        <v>L,XL,XXL</v>
      </c>
      <c r="H44" s="28">
        <f>IFERROR(INDEX('WHS STK MGT &amp; ALLOC.'!$I:$I,MATCH($A44,'WHS STK MGT &amp; ALLOC.'!$A:$A,0)),"")</f>
        <v>165</v>
      </c>
      <c r="I44" s="60">
        <f>SUM('WHS STK MGT &amp; ALLOC.'!$K44,'WHS STK MGT &amp; ALLOC.'!$M44,'WHS STK MGT &amp; ALLOC.'!$O44,'WHS STK MGT &amp; ALLOC.'!$Q44,'WHS STK MGT &amp; ALLOC.'!$S44,'WHS STK MGT &amp; ALLOC.'!$U44,'WHS STK MGT &amp; ALLOC.'!$W44,'WHS STK MGT &amp; ALLOC.'!$Y44)</f>
        <v>10</v>
      </c>
      <c r="J44" s="60">
        <f>SUMIF('IN STORE SALES RECORD'!$D:$D,'STORE STK &amp; SALES MGT'!$A44,'IN STORE SALES RECORD'!$E:$E)</f>
        <v>543</v>
      </c>
      <c r="K44" s="60">
        <f>SUMIF('IN STORE SALES RECORD'!$D:$D,'STORE STK &amp; SALES MGT'!$A44,'IN STORE SALES RECORD'!$H:$H)</f>
        <v>10860</v>
      </c>
      <c r="L44" s="60">
        <f t="shared" si="4"/>
        <v>26.617999999999999</v>
      </c>
      <c r="M44" s="60">
        <f t="shared" si="5"/>
        <v>5430</v>
      </c>
      <c r="N44" s="60" cm="1">
        <f t="array" ref="N44">_xlfn.IFS($P$5 = "WEEK 1",'WHS STK MGT &amp; ALLOC.'!$K44,$P$5 = "WEEK 2",'WHS STK MGT &amp; ALLOC.'!$M44,$P$5 = "WEEK 3",'WHS STK MGT &amp; ALLOC.'!$O44,$P$5 = "WEEK 4",'WHS STK MGT &amp; ALLOC.'!Q44,$P$5 ="WEEK 5",'WHS STK MGT &amp; ALLOC.'!$S44)</f>
        <v>10</v>
      </c>
      <c r="O44" s="60" cm="1">
        <f t="array" ref="O44">_xlfn.SWITCH($P$5,
  "WEEK 1", 'WHS STK MGT &amp; ALLOC.'!$H44,
  "WEEK 2", 'WHS STK MGT &amp; ALLOC.'!$H44 - 'WHS STK MGT &amp; ALLOC.'!$K44,
  "WEEK 3", 'WHS STK MGT &amp; ALLOC.'!$H44 - ('WHS STK MGT &amp; ALLOC.'!$K44 + 'WHS STK MGT &amp; ALLOC.'!$M44),
  "WEEK 4", 'WHS STK MGT &amp; ALLOC.'!$H44 - ('WHS STK MGT &amp; ALLOC.'!$K44 + 'WHS STK MGT &amp; ALLOC.'!$M44 + 'WHS STK MGT &amp; ALLOC.'!$O44),
  "WEEK 5", 'WHS STK MGT &amp; ALLOC.'!$H44 - ('WHS STK MGT &amp; ALLOC.'!$K44 + 'WHS STK MGT &amp; ALLOC.'!$M44 + 'WHS STK MGT &amp; ALLOC.'!$O44 + 'WHS STK MGT &amp; ALLOC.'!$Q44),
  "WEEK 6", 'WHS STK MGT &amp; ALLOC.'!$H44 - ('WHS STK MGT &amp; ALLOC.'!$K44 + 'WHS STK MGT &amp; ALLOC.'!$M44 + 'WHS STK MGT &amp; ALLOC.'!$O44 + 'WHS STK MGT &amp; ALLOC.'!$Q44 + 'WHS STK MGT &amp; ALLOC.'!$S44),
  "WEEK 7", 'WHS STK MGT &amp; ALLOC.'!$H36 - ('WHS STK MGT &amp; ALLOC.'!$K36 + 'WHS STK MGT &amp; ALLOC.'!$M36 + 'WHS STK MGT &amp; ALLOC.'!$O36 + 'WHS STK MGT &amp; ALLOC.'!$Q36 + 'WHS STK MGT &amp; ALLOC.'!$S36 + 'WHS STK MGT &amp; ALLOC.'!$U36),
  "Other Weeks", 0
)</f>
        <v>175</v>
      </c>
      <c r="P44" s="60">
        <f>SUMIFS('IN STORE SALES RECORD'!$E:$E,'IN STORE SALES RECORD'!$D:$D,'STORE STK &amp; SALES MGT'!$A44,'IN STORE SALES RECORD'!$A:$A,'STORE STK &amp; SALES MGT'!$P$5)</f>
        <v>0</v>
      </c>
      <c r="Q44" s="60">
        <f>SUMIFS('IN STORE SALES RECORD'!$H:$H,'IN STORE SALES RECORD'!$D:$D,'STORE STK &amp; SALES MGT'!$A44,'IN STORE SALES RECORD'!$A:$A,'STORE STK &amp; SALES MGT'!$P$5)</f>
        <v>0</v>
      </c>
      <c r="R44" s="60">
        <f>IFERROR(ROUND(Q44/SUMIF('IN STORE SALES RECORD'!$A:$A,'STORE STK &amp; SALES MGT'!$P$5,'IN STORE SALES RECORD'!$H:$H)*100,3),"")</f>
        <v>0</v>
      </c>
      <c r="S44" s="60" cm="1">
        <f t="array" ref="S44">_xlfn.IFS($P$5 ="WEEK 1",'WHS STK MGT &amp; ALLOC.'!$H44-'WHS STK MGT &amp; ALLOC.'!$K44,$P$5 ="WEEK 2",'WHS STK MGT &amp; ALLOC.'!H44-('WHS STK MGT &amp; ALLOC.'!$K44+'WHS STK MGT &amp; ALLOC.'!$M44),$P$5 ="WEEK 3",'WHS STK MGT &amp; ALLOC.'!$H44-'WHS STK MGT &amp; ALLOC.'!$K44-'WHS STK MGT &amp; ALLOC.'!$M44-'WHS STK MGT &amp; ALLOC.'!$O44,$P$5 = "WEEK 4",'WHS STK MGT &amp; ALLOC.'!H44-'WHS STK MGT &amp; ALLOC.'!$K44-'WHS STK MGT &amp; ALLOC.'!$M44-'WHS STK MGT &amp; ALLOC.'!$O44-'WHS STK MGT &amp; ALLOC.'!$Q44,$P$5 = "WEEK 5",'WHS STK MGT &amp; ALLOC.'!H44-'WHS STK MGT &amp; ALLOC.'!$K44-'WHS STK MGT &amp; ALLOC.'!$M44-'WHS STK MGT &amp; ALLOC.'!$O44-'WHS STK MGT &amp; ALLOC.'!$Q44-'WHS STK MGT &amp; ALLOC.'!$S44)</f>
        <v>165</v>
      </c>
      <c r="T44" s="99">
        <f>SUMIFS('IN STORE SALES RECORD'!$E:$E,'IN STORE SALES RECORD'!$D:$D,'STORE STK &amp; SALES MGT'!$A44,'IN STORE SALES RECORD'!$C:$C,'STORE STK &amp; SALES MGT'!$U$5)</f>
        <v>543</v>
      </c>
      <c r="U44" s="60">
        <f>SUMIFS('IN STORE SALES RECORD'!$H:$H,'IN STORE SALES RECORD'!$D:$D,'STORE STK &amp; SALES MGT'!$A44,'IN STORE SALES RECORD'!$C:$C,'STORE STK &amp; SALES MGT'!$U$5)</f>
        <v>10860</v>
      </c>
      <c r="V44" s="99">
        <f>IFERROR(ROUND(SUMIFS('IN STORE SALES RECORD'!$H:$H,'IN STORE SALES RECORD'!$C:$C,'STORE STK &amp; SALES MGT'!$U$5,'STORE STK &amp; SALES MGT'!$A:$A,'STORE STK &amp; SALES MGT'!$A44)/SUMIF('IN STORE SALES RECORD'!$C:$C,'STORE STK &amp; SALES MGT'!$U$5,'IN STORE SALES RECORD'!$H:$H)*100,3),"")</f>
        <v>0</v>
      </c>
    </row>
    <row r="45" spans="1:51" s="77" customFormat="1" ht="30">
      <c r="A45" s="25" t="s">
        <v>230</v>
      </c>
      <c r="B45" s="78" t="str">
        <f>IFERROR(INDEX('REFERENCING &amp; DATABASE'!$E$7:$E$131,MATCH($A45,'REFERENCING &amp; DATABASE'!$D$7:$D$131,0)),"")</f>
        <v>Relaxed-Fit Sleep Shirt</v>
      </c>
      <c r="C45" s="25" t="str">
        <f>IFERROR(INDEX('REFERENCING &amp; DATABASE'!$B$7:$B$131,MATCH($A45,'REFERENCING &amp; DATABASE'!$D$7:$D$131,0)),"")</f>
        <v>SLEEPWEAR</v>
      </c>
      <c r="D45" s="25" t="str">
        <f>IFERROR(INDEX('REFERENCING &amp; DATABASE'!$C$7:$C$131,MATCH($A45,'REFERENCING &amp; DATABASE'!$D$7:$D$131,0)),"")</f>
        <v>UNDERWEAR</v>
      </c>
      <c r="E45" s="26" t="str">
        <f>IFERROR(INDEX('REFERENCING &amp; DATABASE'!$F$7:$F$131,MATCH($A45,'REFERENCING &amp; DATABASE'!$D$7:$D$131,0)),"")</f>
        <v>A comfortable and loose-fitting top for added comfort.</v>
      </c>
      <c r="F45" s="28" t="str">
        <f>IFERROR(INDEX('REFERENCING &amp; DATABASE'!$G$7:$G$131,MATCH($A45,'REFERENCING &amp; DATABASE'!$D$7:$D$131,0)),"")</f>
        <v>Multi-colors</v>
      </c>
      <c r="G45" s="39" t="str">
        <f>IFERROR(INDEX('REFERENCING &amp; DATABASE'!$H$7:$H$131,MATCH($A45,'REFERENCING &amp; DATABASE'!$D$7:$D$131,0)),"")</f>
        <v>L,XL,XXL</v>
      </c>
      <c r="H45" s="28">
        <f>IFERROR(INDEX('WHS STK MGT &amp; ALLOC.'!$I:$I,MATCH($A45,'WHS STK MGT &amp; ALLOC.'!$A:$A,0)),"")</f>
        <v>466</v>
      </c>
      <c r="I45" s="60">
        <f>SUM('WHS STK MGT &amp; ALLOC.'!$K45,'WHS STK MGT &amp; ALLOC.'!$M45,'WHS STK MGT &amp; ALLOC.'!$O45,'WHS STK MGT &amp; ALLOC.'!$Q45,'WHS STK MGT &amp; ALLOC.'!$S45,'WHS STK MGT &amp; ALLOC.'!$U45,'WHS STK MGT &amp; ALLOC.'!$W45,'WHS STK MGT &amp; ALLOC.'!$Y45)</f>
        <v>10</v>
      </c>
      <c r="J45" s="60">
        <f>SUMIF('IN STORE SALES RECORD'!$D:$D,'STORE STK &amp; SALES MGT'!$A45,'IN STORE SALES RECORD'!$E:$E)</f>
        <v>0</v>
      </c>
      <c r="K45" s="60">
        <f>SUMIF('IN STORE SALES RECORD'!$D:$D,'STORE STK &amp; SALES MGT'!$A45,'IN STORE SALES RECORD'!$H:$H)</f>
        <v>0</v>
      </c>
      <c r="L45" s="60">
        <f t="shared" si="4"/>
        <v>0</v>
      </c>
      <c r="M45" s="60">
        <f t="shared" si="5"/>
        <v>0</v>
      </c>
      <c r="N45" s="60" cm="1">
        <f t="array" ref="N45">_xlfn.IFS($P$5 = "WEEK 1",'WHS STK MGT &amp; ALLOC.'!$K45,$P$5 = "WEEK 2",'WHS STK MGT &amp; ALLOC.'!$M45,$P$5 = "WEEK 3",'WHS STK MGT &amp; ALLOC.'!$O45,$P$5 = "WEEK 4",'WHS STK MGT &amp; ALLOC.'!Q45,$P$5 ="WEEK 5",'WHS STK MGT &amp; ALLOC.'!$S45)</f>
        <v>10</v>
      </c>
      <c r="O45" s="60" cm="1">
        <f t="array" ref="O45">_xlfn.SWITCH($P$5,
  "WEEK 1", 'WHS STK MGT &amp; ALLOC.'!$H45,
  "WEEK 2", 'WHS STK MGT &amp; ALLOC.'!$H45 - 'WHS STK MGT &amp; ALLOC.'!$K45,
  "WEEK 3", 'WHS STK MGT &amp; ALLOC.'!$H45 - ('WHS STK MGT &amp; ALLOC.'!$K45 + 'WHS STK MGT &amp; ALLOC.'!$M45),
  "WEEK 4", 'WHS STK MGT &amp; ALLOC.'!$H45 - ('WHS STK MGT &amp; ALLOC.'!$K45 + 'WHS STK MGT &amp; ALLOC.'!$M45 + 'WHS STK MGT &amp; ALLOC.'!$O45),
  "WEEK 5", 'WHS STK MGT &amp; ALLOC.'!$H45 - ('WHS STK MGT &amp; ALLOC.'!$K45 + 'WHS STK MGT &amp; ALLOC.'!$M45 + 'WHS STK MGT &amp; ALLOC.'!$O45 + 'WHS STK MGT &amp; ALLOC.'!$Q45),
  "WEEK 6", 'WHS STK MGT &amp; ALLOC.'!$H45 - ('WHS STK MGT &amp; ALLOC.'!$K45 + 'WHS STK MGT &amp; ALLOC.'!$M45 + 'WHS STK MGT &amp; ALLOC.'!$O45 + 'WHS STK MGT &amp; ALLOC.'!$Q45 + 'WHS STK MGT &amp; ALLOC.'!$S45),
  "WEEK 7", 'WHS STK MGT &amp; ALLOC.'!$H37 - ('WHS STK MGT &amp; ALLOC.'!$K37 + 'WHS STK MGT &amp; ALLOC.'!$M37 + 'WHS STK MGT &amp; ALLOC.'!$O37 + 'WHS STK MGT &amp; ALLOC.'!$Q37 + 'WHS STK MGT &amp; ALLOC.'!$S37 + 'WHS STK MGT &amp; ALLOC.'!$U37),
  "Other Weeks", 0
)</f>
        <v>476</v>
      </c>
      <c r="P45" s="60">
        <f>SUMIFS('IN STORE SALES RECORD'!$E:$E,'IN STORE SALES RECORD'!$D:$D,'STORE STK &amp; SALES MGT'!$A45,'IN STORE SALES RECORD'!$A:$A,'STORE STK &amp; SALES MGT'!$P$5)</f>
        <v>0</v>
      </c>
      <c r="Q45" s="60">
        <f>SUMIFS('IN STORE SALES RECORD'!$H:$H,'IN STORE SALES RECORD'!$D:$D,'STORE STK &amp; SALES MGT'!$A45,'IN STORE SALES RECORD'!$A:$A,'STORE STK &amp; SALES MGT'!$P$5)</f>
        <v>0</v>
      </c>
      <c r="R45" s="60">
        <f>IFERROR(ROUND(Q45/SUMIF('IN STORE SALES RECORD'!$A:$A,'STORE STK &amp; SALES MGT'!$P$5,'IN STORE SALES RECORD'!$H:$H)*100,3),"")</f>
        <v>0</v>
      </c>
      <c r="S45" s="60" cm="1">
        <f t="array" ref="S45">_xlfn.IFS($P$5 ="WEEK 1",'WHS STK MGT &amp; ALLOC.'!$H45-'WHS STK MGT &amp; ALLOC.'!$K45,$P$5 ="WEEK 2",'WHS STK MGT &amp; ALLOC.'!H45-('WHS STK MGT &amp; ALLOC.'!$K45+'WHS STK MGT &amp; ALLOC.'!$M45),$P$5 ="WEEK 3",'WHS STK MGT &amp; ALLOC.'!$H45-'WHS STK MGT &amp; ALLOC.'!$K45-'WHS STK MGT &amp; ALLOC.'!$M45-'WHS STK MGT &amp; ALLOC.'!$O45,$P$5 = "WEEK 4",'WHS STK MGT &amp; ALLOC.'!H45-'WHS STK MGT &amp; ALLOC.'!$K45-'WHS STK MGT &amp; ALLOC.'!$M45-'WHS STK MGT &amp; ALLOC.'!$O45-'WHS STK MGT &amp; ALLOC.'!$Q45,$P$5 = "WEEK 5",'WHS STK MGT &amp; ALLOC.'!H45-'WHS STK MGT &amp; ALLOC.'!$K45-'WHS STK MGT &amp; ALLOC.'!$M45-'WHS STK MGT &amp; ALLOC.'!$O45-'WHS STK MGT &amp; ALLOC.'!$Q45-'WHS STK MGT &amp; ALLOC.'!$S45)</f>
        <v>466</v>
      </c>
      <c r="T45" s="99">
        <f>SUMIFS('IN STORE SALES RECORD'!$E:$E,'IN STORE SALES RECORD'!$D:$D,'STORE STK &amp; SALES MGT'!$A45,'IN STORE SALES RECORD'!$C:$C,'STORE STK &amp; SALES MGT'!$U$5)</f>
        <v>0</v>
      </c>
      <c r="U45" s="60">
        <f>SUMIFS('IN STORE SALES RECORD'!$H:$H,'IN STORE SALES RECORD'!$D:$D,'STORE STK &amp; SALES MGT'!$A45,'IN STORE SALES RECORD'!$C:$C,'STORE STK &amp; SALES MGT'!$U$5)</f>
        <v>0</v>
      </c>
      <c r="V45" s="99">
        <f>IFERROR(ROUND(SUMIFS('IN STORE SALES RECORD'!$H:$H,'IN STORE SALES RECORD'!$C:$C,'STORE STK &amp; SALES MGT'!$U$5,'STORE STK &amp; SALES MGT'!$A:$A,'STORE STK &amp; SALES MGT'!$A45)/SUMIF('IN STORE SALES RECORD'!$C:$C,'STORE STK &amp; SALES MGT'!$U$5,'IN STORE SALES RECORD'!$H:$H)*100,3),"")</f>
        <v>0</v>
      </c>
    </row>
    <row r="46" spans="1:51">
      <c r="A46" s="61"/>
      <c r="D46" s="31"/>
      <c r="H46" s="2"/>
    </row>
    <row r="47" spans="1:51" ht="15.75">
      <c r="A47" s="61"/>
      <c r="C47" s="22"/>
      <c r="H47" s="2"/>
    </row>
    <row r="48" spans="1:51" ht="15.75">
      <c r="A48" s="61"/>
      <c r="C48" s="64"/>
      <c r="H48" s="22"/>
    </row>
    <row r="49" spans="1:51" s="76" customFormat="1" ht="15.75">
      <c r="A49" s="75" t="s">
        <v>5</v>
      </c>
      <c r="B49" s="68" t="s">
        <v>6</v>
      </c>
      <c r="C49" s="18" t="s">
        <v>3</v>
      </c>
      <c r="D49" s="18" t="s">
        <v>4</v>
      </c>
      <c r="E49" s="73" t="s">
        <v>7</v>
      </c>
      <c r="F49" s="18" t="s">
        <v>8</v>
      </c>
      <c r="G49" s="65" t="s">
        <v>9</v>
      </c>
      <c r="H49" s="23" t="s">
        <v>44</v>
      </c>
      <c r="I49" s="18" t="s">
        <v>45</v>
      </c>
      <c r="J49" s="18" t="s">
        <v>46</v>
      </c>
      <c r="K49" s="18" t="s">
        <v>47</v>
      </c>
      <c r="L49" s="18" t="s">
        <v>48</v>
      </c>
      <c r="M49" s="18" t="s">
        <v>49</v>
      </c>
      <c r="N49" s="18" t="s">
        <v>50</v>
      </c>
      <c r="O49" s="18" t="s">
        <v>51</v>
      </c>
      <c r="P49" s="18" t="s">
        <v>52</v>
      </c>
      <c r="Q49" s="18" t="s">
        <v>53</v>
      </c>
      <c r="R49" s="18" t="s">
        <v>48</v>
      </c>
      <c r="S49" s="18" t="s">
        <v>54</v>
      </c>
      <c r="T49" s="18" t="s">
        <v>58</v>
      </c>
      <c r="U49" s="18" t="s">
        <v>56</v>
      </c>
      <c r="V49" s="18" t="s">
        <v>57</v>
      </c>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row>
    <row r="50" spans="1:51" s="77" customFormat="1" ht="45">
      <c r="A50" s="25" t="s">
        <v>231</v>
      </c>
      <c r="B50" s="78" t="str">
        <f>IFERROR(INDEX('REFERENCING &amp; DATABASE'!$E$7:$E$131,MATCH($A50,'REFERENCING &amp; DATABASE'!$D$7:$D$131,0)),"")</f>
        <v>Spacious Tote Bag</v>
      </c>
      <c r="C50" s="25" t="str">
        <f>IFERROR(INDEX('REFERENCING &amp; DATABASE'!$B$7:$B$131,MATCH($A50,'REFERENCING &amp; DATABASE'!$D$7:$D$131,0)),"")</f>
        <v>ACCESSORIES</v>
      </c>
      <c r="D50" s="25" t="str">
        <f>IFERROR(INDEX('REFERENCING &amp; DATABASE'!$C$7:$C$131,MATCH($A50,'REFERENCING &amp; DATABASE'!$D$7:$D$131,0)),"")</f>
        <v>BAGS</v>
      </c>
      <c r="E50" s="26" t="str">
        <f>IFERROR(INDEX('REFERENCING &amp; DATABASE'!$F$7:$F$131,MATCH($A50,'REFERENCING &amp; DATABASE'!$D$7:$D$131,0)),"")</f>
        <v>Spacious Tote Bag: Perfect for carrying everyday essentials or larger items.</v>
      </c>
      <c r="F50" s="28" t="str">
        <f>IFERROR(INDEX('REFERENCING &amp; DATABASE'!$G$7:$G$131,MATCH($A50,'REFERENCING &amp; DATABASE'!$D$7:$D$131,0)),"")</f>
        <v>red, yellow, brown, nude, pink, white, blue, green</v>
      </c>
      <c r="G50" s="39" t="str">
        <f>IFERROR(INDEX('REFERENCING &amp; DATABASE'!$H$7:$H$131,MATCH($A50,'REFERENCING &amp; DATABASE'!$D$7:$D$131,0)),"")</f>
        <v>M</v>
      </c>
      <c r="H50" s="28">
        <f>IFERROR(INDEX('WHS STK MGT &amp; ALLOC.'!$I:$I,MATCH($A50,'WHS STK MGT &amp; ALLOC.'!$A:$A,0)),"")</f>
        <v>646</v>
      </c>
      <c r="I50" s="60">
        <f>SUM('WHS STK MGT &amp; ALLOC.'!$K36,'WHS STK MGT &amp; ALLOC.'!$M36,'WHS STK MGT &amp; ALLOC.'!$O36,'WHS STK MGT &amp; ALLOC.'!$Q36,'WHS STK MGT &amp; ALLOC.'!$S36,'WHS STK MGT &amp; ALLOC.'!$U36,'WHS STK MGT &amp; ALLOC.'!$W36,'WHS STK MGT &amp; ALLOC.'!$Y36)</f>
        <v>10</v>
      </c>
      <c r="J50" s="60">
        <f>SUMIF('IN STORE SALES RECORD'!$D:$D,'STORE STK &amp; SALES MGT'!$A50,'IN STORE SALES RECORD'!$E:$E)</f>
        <v>0</v>
      </c>
      <c r="K50" s="60">
        <f>SUMIF('IN STORE SALES RECORD'!$D:$D,'STORE STK &amp; SALES MGT'!$A50,'IN STORE SALES RECORD'!$H:$H)</f>
        <v>0</v>
      </c>
      <c r="L50" s="60">
        <f t="shared" ref="L50:L64" si="6">IFERROR(ROUND(($K50/(SUM($K:$K))) * 100,3),"")</f>
        <v>0</v>
      </c>
      <c r="M50" s="60">
        <f t="shared" ref="M50:M64" si="7">IFERROR(ROUND($J50/$I50 * 100,2),"")</f>
        <v>0</v>
      </c>
      <c r="N50" s="60" cm="1">
        <f t="array" ref="N50">_xlfn.IFS($P$5 = "WEEK 1",'WHS STK MGT &amp; ALLOC.'!$K50,$P$5 = "WEEK 2",'WHS STK MGT &amp; ALLOC.'!$M50,$P$5 = "WEEK 3",'WHS STK MGT &amp; ALLOC.'!$O50,$P$5 = "WEEK 4",'WHS STK MGT &amp; ALLOC.'!Q50,$P$5 ="WEEK 5",'WHS STK MGT &amp; ALLOC.'!$S50)</f>
        <v>10</v>
      </c>
      <c r="O50" s="60" cm="1">
        <f t="array" ref="O50">_xlfn.SWITCH($P$5,
  "WEEK 1", 'WHS STK MGT &amp; ALLOC.'!$H50,
  "WEEK 2", 'WHS STK MGT &amp; ALLOC.'!$H50 - 'WHS STK MGT &amp; ALLOC.'!$K50,
  "WEEK 3", 'WHS STK MGT &amp; ALLOC.'!$H50 - ('WHS STK MGT &amp; ALLOC.'!$K50 + 'WHS STK MGT &amp; ALLOC.'!$M50),
  "WEEK 4", 'WHS STK MGT &amp; ALLOC.'!$H50 - ('WHS STK MGT &amp; ALLOC.'!$K50 + 'WHS STK MGT &amp; ALLOC.'!$M50 + 'WHS STK MGT &amp; ALLOC.'!$O50),
  "WEEK 5", 'WHS STK MGT &amp; ALLOC.'!$H50 - ('WHS STK MGT &amp; ALLOC.'!$K50 + 'WHS STK MGT &amp; ALLOC.'!$M50 + 'WHS STK MGT &amp; ALLOC.'!$O50 + 'WHS STK MGT &amp; ALLOC.'!$Q50),
  "WEEK 6", 'WHS STK MGT &amp; ALLOC.'!$H50 - ('WHS STK MGT &amp; ALLOC.'!$K50 + 'WHS STK MGT &amp; ALLOC.'!$M50 + 'WHS STK MGT &amp; ALLOC.'!$O50 + 'WHS STK MGT &amp; ALLOC.'!$Q50 + 'WHS STK MGT &amp; ALLOC.'!$S50),
  "WEEK 7", 'WHS STK MGT &amp; ALLOC.'!$H36 - ('WHS STK MGT &amp; ALLOC.'!$K36 + 'WHS STK MGT &amp; ALLOC.'!$M36 + 'WHS STK MGT &amp; ALLOC.'!$O36 + 'WHS STK MGT &amp; ALLOC.'!$Q36 + 'WHS STK MGT &amp; ALLOC.'!$S36 + 'WHS STK MGT &amp; ALLOC.'!$U36),
  "Other Weeks", 0
)</f>
        <v>656</v>
      </c>
      <c r="P50" s="60">
        <f>SUMIFS('IN STORE SALES RECORD'!$E:$E,'IN STORE SALES RECORD'!$D:$D,'STORE STK &amp; SALES MGT'!$A50,'IN STORE SALES RECORD'!$A:$A,'STORE STK &amp; SALES MGT'!$P$5)</f>
        <v>0</v>
      </c>
      <c r="Q50" s="60">
        <f>SUMIFS('IN STORE SALES RECORD'!$H:$H,'IN STORE SALES RECORD'!$D:$D,'STORE STK &amp; SALES MGT'!$A50,'IN STORE SALES RECORD'!$A:$A,'STORE STK &amp; SALES MGT'!$P$5)</f>
        <v>0</v>
      </c>
      <c r="R50" s="60">
        <f>IFERROR(ROUND(Q50/SUMIF('IN STORE SALES RECORD'!$A:$A,'STORE STK &amp; SALES MGT'!$P$5,'IN STORE SALES RECORD'!$H:$H)*100,3),"")</f>
        <v>0</v>
      </c>
      <c r="S50" s="60" cm="1">
        <f t="array" ref="S50">_xlfn.IFS($P$5 ="WEEK 1",'WHS STK MGT &amp; ALLOC.'!$H50-'WHS STK MGT &amp; ALLOC.'!$K50,$P$5 ="WEEK 2",'WHS STK MGT &amp; ALLOC.'!H50-('WHS STK MGT &amp; ALLOC.'!$K50+'WHS STK MGT &amp; ALLOC.'!$M50),$P$5 ="WEEK 3",'WHS STK MGT &amp; ALLOC.'!$H50-'WHS STK MGT &amp; ALLOC.'!$K50-'WHS STK MGT &amp; ALLOC.'!$M50-'WHS STK MGT &amp; ALLOC.'!$O50,$P$5 = "WEEK 4",'WHS STK MGT &amp; ALLOC.'!H50-'WHS STK MGT &amp; ALLOC.'!$K50-'WHS STK MGT &amp; ALLOC.'!$M50-'WHS STK MGT &amp; ALLOC.'!$O50-'WHS STK MGT &amp; ALLOC.'!$Q50,$P$5 = "WEEK 5",'WHS STK MGT &amp; ALLOC.'!H50-'WHS STK MGT &amp; ALLOC.'!$K50-'WHS STK MGT &amp; ALLOC.'!$M50-'WHS STK MGT &amp; ALLOC.'!$O50-'WHS STK MGT &amp; ALLOC.'!$Q50-'WHS STK MGT &amp; ALLOC.'!$S50)</f>
        <v>646</v>
      </c>
      <c r="T50" s="99">
        <f>SUMIFS('IN STORE SALES RECORD'!$E:$E,'IN STORE SALES RECORD'!$C:$C,'STORE STK &amp; SALES MGT'!$U$5,'STORE STK &amp; SALES MGT'!$A:$A,'STORE STK &amp; SALES MGT'!$A50)</f>
        <v>0</v>
      </c>
      <c r="U50" s="60">
        <f>SUMIFS('IN STORE SALES RECORD'!$H:$H,'IN STORE SALES RECORD'!$D:$D,'STORE STK &amp; SALES MGT'!$A50,'IN STORE SALES RECORD'!$C:$C,'STORE STK &amp; SALES MGT'!$U$5)</f>
        <v>0</v>
      </c>
      <c r="V50" s="99">
        <f>IFERROR(ROUND(SUMIFS('IN STORE SALES RECORD'!$H:$H,'IN STORE SALES RECORD'!$C:$C,'STORE STK &amp; SALES MGT'!$U$5,'STORE STK &amp; SALES MGT'!$A:$A,'STORE STK &amp; SALES MGT'!$A50)/SUMIF('IN STORE SALES RECORD'!$C:$C,'STORE STK &amp; SALES MGT'!$U$5,'IN STORE SALES RECORD'!$H:$H)*100,3),"")</f>
        <v>0</v>
      </c>
    </row>
    <row r="51" spans="1:51" s="77" customFormat="1" ht="30">
      <c r="A51" s="25" t="s">
        <v>266</v>
      </c>
      <c r="B51" s="78" t="str">
        <f>IFERROR(INDEX('REFERENCING &amp; DATABASE'!$E$7:$E$131,MATCH($A51,'REFERENCING &amp; DATABASE'!$D$7:$D$131,0)),"")</f>
        <v>Functional Backpack</v>
      </c>
      <c r="C51" s="25" t="str">
        <f>IFERROR(INDEX('REFERENCING &amp; DATABASE'!$B$7:$B$131,MATCH($A51,'REFERENCING &amp; DATABASE'!$D$7:$D$131,0)),"")</f>
        <v>ACCESSORIES</v>
      </c>
      <c r="D51" s="25" t="str">
        <f>IFERROR(INDEX('REFERENCING &amp; DATABASE'!$C$7:$C$131,MATCH($A51,'REFERENCING &amp; DATABASE'!$D$7:$D$131,0)),"")</f>
        <v>BAGS</v>
      </c>
      <c r="E51" s="26" t="str">
        <f>IFERROR(INDEX('REFERENCING &amp; DATABASE'!$F$7:$F$131,MATCH($A51,'REFERENCING &amp; DATABASE'!$D$7:$D$131,0)),"")</f>
        <v>Ideal for carrying school supplies, work essentials, or travel items.</v>
      </c>
      <c r="F51" s="28" t="str">
        <f>IFERROR(INDEX('REFERENCING &amp; DATABASE'!$G$7:$G$131,MATCH($A51,'REFERENCING &amp; DATABASE'!$D$7:$D$131,0)),"")</f>
        <v>Black,nude,red</v>
      </c>
      <c r="G51" s="39" t="str">
        <f>IFERROR(INDEX('REFERENCING &amp; DATABASE'!$H$7:$H$131,MATCH($A51,'REFERENCING &amp; DATABASE'!$D$7:$D$131,0)),"")</f>
        <v>M</v>
      </c>
      <c r="H51" s="28">
        <f>IFERROR(INDEX('WHS STK MGT &amp; ALLOC.'!$I:$I,MATCH($A51,'WHS STK MGT &amp; ALLOC.'!$A:$A,0)),"")</f>
        <v>380</v>
      </c>
      <c r="I51" s="60">
        <f>SUM('WHS STK MGT &amp; ALLOC.'!$K37,'WHS STK MGT &amp; ALLOC.'!$M37,'WHS STK MGT &amp; ALLOC.'!$O37,'WHS STK MGT &amp; ALLOC.'!$Q37,'WHS STK MGT &amp; ALLOC.'!$S37,'WHS STK MGT &amp; ALLOC.'!$U37,'WHS STK MGT &amp; ALLOC.'!$W37,'WHS STK MGT &amp; ALLOC.'!$Y37)</f>
        <v>10</v>
      </c>
      <c r="J51" s="60">
        <f>SUMIF('IN STORE SALES RECORD'!$D:$D,'STORE STK &amp; SALES MGT'!$A51,'IN STORE SALES RECORD'!$E:$E)</f>
        <v>0</v>
      </c>
      <c r="K51" s="60">
        <f>SUMIF('IN STORE SALES RECORD'!$D:$D,'STORE STK &amp; SALES MGT'!$A51,'IN STORE SALES RECORD'!$H:$H)</f>
        <v>0</v>
      </c>
      <c r="L51" s="60">
        <f t="shared" si="6"/>
        <v>0</v>
      </c>
      <c r="M51" s="60">
        <f t="shared" si="7"/>
        <v>0</v>
      </c>
      <c r="N51" s="60" cm="1">
        <f t="array" ref="N51">_xlfn.IFS($P$5 = "WEEK 1",'WHS STK MGT &amp; ALLOC.'!$K51,$P$5 = "WEEK 2",'WHS STK MGT &amp; ALLOC.'!$M51,$P$5 = "WEEK 3",'WHS STK MGT &amp; ALLOC.'!$O51,$P$5 = "WEEK 4",'WHS STK MGT &amp; ALLOC.'!Q51,$P$5 ="WEEK 5",'WHS STK MGT &amp; ALLOC.'!$S51)</f>
        <v>10</v>
      </c>
      <c r="O51" s="60" cm="1">
        <f t="array" ref="O51">_xlfn.SWITCH($P$5,
  "WEEK 1", 'WHS STK MGT &amp; ALLOC.'!$H51,
  "WEEK 2", 'WHS STK MGT &amp; ALLOC.'!$H51 - 'WHS STK MGT &amp; ALLOC.'!$K51,
  "WEEK 3", 'WHS STK MGT &amp; ALLOC.'!$H51 - ('WHS STK MGT &amp; ALLOC.'!$K51 + 'WHS STK MGT &amp; ALLOC.'!$M51),
  "WEEK 4", 'WHS STK MGT &amp; ALLOC.'!$H51 - ('WHS STK MGT &amp; ALLOC.'!$K51 + 'WHS STK MGT &amp; ALLOC.'!$M51 + 'WHS STK MGT &amp; ALLOC.'!$O51),
  "WEEK 5", 'WHS STK MGT &amp; ALLOC.'!$H51 - ('WHS STK MGT &amp; ALLOC.'!$K51 + 'WHS STK MGT &amp; ALLOC.'!$M51 + 'WHS STK MGT &amp; ALLOC.'!$O51 + 'WHS STK MGT &amp; ALLOC.'!$Q51),
  "WEEK 6", 'WHS STK MGT &amp; ALLOC.'!$H51 - ('WHS STK MGT &amp; ALLOC.'!$K51 + 'WHS STK MGT &amp; ALLOC.'!$M51 + 'WHS STK MGT &amp; ALLOC.'!$O51 + 'WHS STK MGT &amp; ALLOC.'!$Q51 + 'WHS STK MGT &amp; ALLOC.'!$S51),
  "WEEK 7", 'WHS STK MGT &amp; ALLOC.'!$H37 - ('WHS STK MGT &amp; ALLOC.'!$K37 + 'WHS STK MGT &amp; ALLOC.'!$M37 + 'WHS STK MGT &amp; ALLOC.'!$O37 + 'WHS STK MGT &amp; ALLOC.'!$Q37 + 'WHS STK MGT &amp; ALLOC.'!$S37 + 'WHS STK MGT &amp; ALLOC.'!$U37),
  "Other Weeks", 0
)</f>
        <v>390</v>
      </c>
      <c r="P51" s="60">
        <f>SUMIFS('IN STORE SALES RECORD'!$E:$E,'IN STORE SALES RECORD'!$D:$D,'STORE STK &amp; SALES MGT'!$A51,'IN STORE SALES RECORD'!$A:$A,'STORE STK &amp; SALES MGT'!$P$5)</f>
        <v>0</v>
      </c>
      <c r="Q51" s="60">
        <f>SUMIFS('IN STORE SALES RECORD'!$H:$H,'IN STORE SALES RECORD'!$D:$D,'STORE STK &amp; SALES MGT'!$A51,'IN STORE SALES RECORD'!$A:$A,'STORE STK &amp; SALES MGT'!$P$5)</f>
        <v>0</v>
      </c>
      <c r="R51" s="60">
        <f>IFERROR(ROUND(Q51/SUMIF('IN STORE SALES RECORD'!$A:$A,'STORE STK &amp; SALES MGT'!$P$5,'IN STORE SALES RECORD'!$H:$H)*100,3),"")</f>
        <v>0</v>
      </c>
      <c r="S51" s="60" cm="1">
        <f t="array" ref="S51">_xlfn.IFS($P$5 ="WEEK 1",'WHS STK MGT &amp; ALLOC.'!$H51-'WHS STK MGT &amp; ALLOC.'!$K51,$P$5 ="WEEK 2",'WHS STK MGT &amp; ALLOC.'!H51-('WHS STK MGT &amp; ALLOC.'!$K51+'WHS STK MGT &amp; ALLOC.'!$M51),$P$5 ="WEEK 3",'WHS STK MGT &amp; ALLOC.'!$H51-'WHS STK MGT &amp; ALLOC.'!$K51-'WHS STK MGT &amp; ALLOC.'!$M51-'WHS STK MGT &amp; ALLOC.'!$O51,$P$5 = "WEEK 4",'WHS STK MGT &amp; ALLOC.'!H51-'WHS STK MGT &amp; ALLOC.'!$K51-'WHS STK MGT &amp; ALLOC.'!$M51-'WHS STK MGT &amp; ALLOC.'!$O51-'WHS STK MGT &amp; ALLOC.'!$Q51,$P$5 = "WEEK 5",'WHS STK MGT &amp; ALLOC.'!H51-'WHS STK MGT &amp; ALLOC.'!$K51-'WHS STK MGT &amp; ALLOC.'!$M51-'WHS STK MGT &amp; ALLOC.'!$O51-'WHS STK MGT &amp; ALLOC.'!$Q51-'WHS STK MGT &amp; ALLOC.'!$S51)</f>
        <v>380</v>
      </c>
      <c r="T51" s="99">
        <f>SUMIFS('IN STORE SALES RECORD'!$E:$E,'IN STORE SALES RECORD'!$C:$C,'STORE STK &amp; SALES MGT'!$U$5,'STORE STK &amp; SALES MGT'!$A:$A,'STORE STK &amp; SALES MGT'!$A51)</f>
        <v>0</v>
      </c>
      <c r="U51" s="60">
        <f>SUMIFS('IN STORE SALES RECORD'!$H:$H,'IN STORE SALES RECORD'!$D:$D,'STORE STK &amp; SALES MGT'!$A51,'IN STORE SALES RECORD'!$C:$C,'STORE STK &amp; SALES MGT'!$U$5)</f>
        <v>0</v>
      </c>
      <c r="V51" s="99">
        <f>IFERROR(ROUND(SUMIFS('IN STORE SALES RECORD'!$H:$H,'IN STORE SALES RECORD'!$C:$C,'STORE STK &amp; SALES MGT'!$U$5,'STORE STK &amp; SALES MGT'!$A:$A,'STORE STK &amp; SALES MGT'!$A51)/SUMIF('IN STORE SALES RECORD'!$C:$C,'STORE STK &amp; SALES MGT'!$U$5,'IN STORE SALES RECORD'!$H:$H)*100,3),"")</f>
        <v>0</v>
      </c>
    </row>
    <row r="52" spans="1:51" s="77" customFormat="1" ht="45">
      <c r="A52" s="25" t="s">
        <v>232</v>
      </c>
      <c r="B52" s="78" t="str">
        <f>IFERROR(INDEX('REFERENCING &amp; DATABASE'!$E$7:$E$131,MATCH($A52,'REFERENCING &amp; DATABASE'!$D$7:$D$131,0)),"")</f>
        <v>Sleek Crossbody Bag</v>
      </c>
      <c r="C52" s="25" t="str">
        <f>IFERROR(INDEX('REFERENCING &amp; DATABASE'!$B$7:$B$131,MATCH($A52,'REFERENCING &amp; DATABASE'!$D$7:$D$131,0)),"")</f>
        <v>ACCESSORIES</v>
      </c>
      <c r="D52" s="25" t="str">
        <f>IFERROR(INDEX('REFERENCING &amp; DATABASE'!$C$7:$C$131,MATCH($A52,'REFERENCING &amp; DATABASE'!$D$7:$D$131,0)),"")</f>
        <v>BAGS</v>
      </c>
      <c r="E52" s="26" t="str">
        <f>IFERROR(INDEX('REFERENCING &amp; DATABASE'!$F$7:$F$131,MATCH($A52,'REFERENCING &amp; DATABASE'!$D$7:$D$131,0)),"")</f>
        <v>A stylish and convenient option for hands-free carrying.</v>
      </c>
      <c r="F52" s="28" t="str">
        <f>IFERROR(INDEX('REFERENCING &amp; DATABASE'!$G$7:$G$131,MATCH($A52,'REFERENCING &amp; DATABASE'!$D$7:$D$131,0)),"")</f>
        <v>red, yellow, brown, nude, pink, white, blue, green</v>
      </c>
      <c r="G52" s="39" t="str">
        <f>IFERROR(INDEX('REFERENCING &amp; DATABASE'!$H$7:$H$131,MATCH($A52,'REFERENCING &amp; DATABASE'!$D$7:$D$131,0)),"")</f>
        <v>M</v>
      </c>
      <c r="H52" s="28">
        <f>IFERROR(INDEX('WHS STK MGT &amp; ALLOC.'!$I:$I,MATCH($A52,'WHS STK MGT &amp; ALLOC.'!$A:$A,0)),"")</f>
        <v>617</v>
      </c>
      <c r="I52" s="60">
        <f>SUM('WHS STK MGT &amp; ALLOC.'!$K38,'WHS STK MGT &amp; ALLOC.'!$M38,'WHS STK MGT &amp; ALLOC.'!$O38,'WHS STK MGT &amp; ALLOC.'!$Q38,'WHS STK MGT &amp; ALLOC.'!$S38,'WHS STK MGT &amp; ALLOC.'!$U38,'WHS STK MGT &amp; ALLOC.'!$W38,'WHS STK MGT &amp; ALLOC.'!$Y38)</f>
        <v>10</v>
      </c>
      <c r="J52" s="60">
        <f>SUMIF('IN STORE SALES RECORD'!$D:$D,'STORE STK &amp; SALES MGT'!$A52,'IN STORE SALES RECORD'!$E:$E)</f>
        <v>80</v>
      </c>
      <c r="K52" s="60">
        <f>SUMIF('IN STORE SALES RECORD'!$D:$D,'STORE STK &amp; SALES MGT'!$A52,'IN STORE SALES RECORD'!$H:$H)</f>
        <v>2800</v>
      </c>
      <c r="L52" s="60">
        <f t="shared" si="6"/>
        <v>6.8630000000000004</v>
      </c>
      <c r="M52" s="60">
        <f t="shared" si="7"/>
        <v>800</v>
      </c>
      <c r="N52" s="60" cm="1">
        <f t="array" ref="N52">_xlfn.IFS($P$5 = "WEEK 1",'WHS STK MGT &amp; ALLOC.'!$K52,$P$5 = "WEEK 2",'WHS STK MGT &amp; ALLOC.'!$M52,$P$5 = "WEEK 3",'WHS STK MGT &amp; ALLOC.'!$O52,$P$5 = "WEEK 4",'WHS STK MGT &amp; ALLOC.'!Q52,$P$5 ="WEEK 5",'WHS STK MGT &amp; ALLOC.'!$S52)</f>
        <v>90</v>
      </c>
      <c r="O52" s="60" cm="1">
        <f t="array" ref="O52">_xlfn.SWITCH($P$5,
  "WEEK 1", 'WHS STK MGT &amp; ALLOC.'!$H52,
  "WEEK 2", 'WHS STK MGT &amp; ALLOC.'!$H52 - 'WHS STK MGT &amp; ALLOC.'!$K52,
  "WEEK 3", 'WHS STK MGT &amp; ALLOC.'!$H52 - ('WHS STK MGT &amp; ALLOC.'!$K52 + 'WHS STK MGT &amp; ALLOC.'!$M52),
  "WEEK 4", 'WHS STK MGT &amp; ALLOC.'!$H52 - ('WHS STK MGT &amp; ALLOC.'!$K52 + 'WHS STK MGT &amp; ALLOC.'!$M52 + 'WHS STK MGT &amp; ALLOC.'!$O52),
  "WEEK 5", 'WHS STK MGT &amp; ALLOC.'!$H52 - ('WHS STK MGT &amp; ALLOC.'!$K52 + 'WHS STK MGT &amp; ALLOC.'!$M52 + 'WHS STK MGT &amp; ALLOC.'!$O52 + 'WHS STK MGT &amp; ALLOC.'!$Q52),
  "WEEK 6", 'WHS STK MGT &amp; ALLOC.'!$H52 - ('WHS STK MGT &amp; ALLOC.'!$K52 + 'WHS STK MGT &amp; ALLOC.'!$M52 + 'WHS STK MGT &amp; ALLOC.'!$O52 + 'WHS STK MGT &amp; ALLOC.'!$Q52 + 'WHS STK MGT &amp; ALLOC.'!$S52),
  "WEEK 7", 'WHS STK MGT &amp; ALLOC.'!$H38 - ('WHS STK MGT &amp; ALLOC.'!$K38 + 'WHS STK MGT &amp; ALLOC.'!$M38 + 'WHS STK MGT &amp; ALLOC.'!$O38 + 'WHS STK MGT &amp; ALLOC.'!$Q38 + 'WHS STK MGT &amp; ALLOC.'!$S38 + 'WHS STK MGT &amp; ALLOC.'!$U38),
  "Other Weeks", 0
)</f>
        <v>707</v>
      </c>
      <c r="P52" s="60">
        <f>SUMIFS('IN STORE SALES RECORD'!$E:$E,'IN STORE SALES RECORD'!$D:$D,'STORE STK &amp; SALES MGT'!$A52,'IN STORE SALES RECORD'!$A:$A,'STORE STK &amp; SALES MGT'!$P$5)</f>
        <v>80</v>
      </c>
      <c r="Q52" s="60">
        <f>SUMIFS('IN STORE SALES RECORD'!$H:$H,'IN STORE SALES RECORD'!$D:$D,'STORE STK &amp; SALES MGT'!$A52,'IN STORE SALES RECORD'!$A:$A,'STORE STK &amp; SALES MGT'!$P$5)</f>
        <v>2800</v>
      </c>
      <c r="R52" s="60">
        <f>IFERROR(ROUND(Q52/SUMIF('IN STORE SALES RECORD'!$A:$A,'STORE STK &amp; SALES MGT'!$P$5,'IN STORE SALES RECORD'!$H:$H)*100,3),"")</f>
        <v>13.968999999999999</v>
      </c>
      <c r="S52" s="60" cm="1">
        <f t="array" ref="S52">_xlfn.IFS($P$5 ="WEEK 1",'WHS STK MGT &amp; ALLOC.'!$H52-'WHS STK MGT &amp; ALLOC.'!$K52,$P$5 ="WEEK 2",'WHS STK MGT &amp; ALLOC.'!H52-('WHS STK MGT &amp; ALLOC.'!$K52+'WHS STK MGT &amp; ALLOC.'!$M52),$P$5 ="WEEK 3",'WHS STK MGT &amp; ALLOC.'!$H52-'WHS STK MGT &amp; ALLOC.'!$K52-'WHS STK MGT &amp; ALLOC.'!$M52-'WHS STK MGT &amp; ALLOC.'!$O52,$P$5 = "WEEK 4",'WHS STK MGT &amp; ALLOC.'!H52-'WHS STK MGT &amp; ALLOC.'!$K52-'WHS STK MGT &amp; ALLOC.'!$M52-'WHS STK MGT &amp; ALLOC.'!$O52-'WHS STK MGT &amp; ALLOC.'!$Q52,$P$5 = "WEEK 5",'WHS STK MGT &amp; ALLOC.'!H52-'WHS STK MGT &amp; ALLOC.'!$K52-'WHS STK MGT &amp; ALLOC.'!$M52-'WHS STK MGT &amp; ALLOC.'!$O52-'WHS STK MGT &amp; ALLOC.'!$Q52-'WHS STK MGT &amp; ALLOC.'!$S52)</f>
        <v>617</v>
      </c>
      <c r="T52" s="99">
        <f>SUMIFS('IN STORE SALES RECORD'!$E:$E,'IN STORE SALES RECORD'!$C:$C,'STORE STK &amp; SALES MGT'!$U$5,'STORE STK &amp; SALES MGT'!$A:$A,'STORE STK &amp; SALES MGT'!$A52)</f>
        <v>0</v>
      </c>
      <c r="U52" s="60">
        <f>SUMIFS('IN STORE SALES RECORD'!$H:$H,'IN STORE SALES RECORD'!$D:$D,'STORE STK &amp; SALES MGT'!$A52,'IN STORE SALES RECORD'!$C:$C,'STORE STK &amp; SALES MGT'!$U$5)</f>
        <v>2800</v>
      </c>
      <c r="V52" s="99">
        <f>IFERROR(ROUND(SUMIFS('IN STORE SALES RECORD'!$H:$H,'IN STORE SALES RECORD'!$C:$C,'STORE STK &amp; SALES MGT'!$U$5,'STORE STK &amp; SALES MGT'!$A:$A,'STORE STK &amp; SALES MGT'!$A52)/SUMIF('IN STORE SALES RECORD'!$C:$C,'STORE STK &amp; SALES MGT'!$U$5,'IN STORE SALES RECORD'!$H:$H)*100,3),"")</f>
        <v>0</v>
      </c>
    </row>
    <row r="53" spans="1:51" s="77" customFormat="1" ht="45">
      <c r="A53" s="25" t="s">
        <v>233</v>
      </c>
      <c r="B53" s="78" t="str">
        <f>IFERROR(INDEX('REFERENCING &amp; DATABASE'!$E$7:$E$131,MATCH($A53,'REFERENCING &amp; DATABASE'!$D$7:$D$131,0)),"")</f>
        <v>Elegant Clutch</v>
      </c>
      <c r="C53" s="25" t="str">
        <f>IFERROR(INDEX('REFERENCING &amp; DATABASE'!$B$7:$B$131,MATCH($A53,'REFERENCING &amp; DATABASE'!$D$7:$D$131,0)),"")</f>
        <v>ACCESSORIES</v>
      </c>
      <c r="D53" s="25" t="str">
        <f>IFERROR(INDEX('REFERENCING &amp; DATABASE'!$C$7:$C$131,MATCH($A53,'REFERENCING &amp; DATABASE'!$D$7:$D$131,0)),"")</f>
        <v>BAGS</v>
      </c>
      <c r="E53" s="26" t="str">
        <f>IFERROR(INDEX('REFERENCING &amp; DATABASE'!$F$7:$F$131,MATCH($A53,'REFERENCING &amp; DATABASE'!$D$7:$D$131,0)),"")</f>
        <v>A sophisticated and compact bag for formal occasions.</v>
      </c>
      <c r="F53" s="28" t="str">
        <f>IFERROR(INDEX('REFERENCING &amp; DATABASE'!$G$7:$G$131,MATCH($A53,'REFERENCING &amp; DATABASE'!$D$7:$D$131,0)),"")</f>
        <v>red, yellow, brown, nude, pink, white, blue, green</v>
      </c>
      <c r="G53" s="39" t="str">
        <f>IFERROR(INDEX('REFERENCING &amp; DATABASE'!$H$7:$H$131,MATCH($A53,'REFERENCING &amp; DATABASE'!$D$7:$D$131,0)),"")</f>
        <v>M</v>
      </c>
      <c r="H53" s="28">
        <f>IFERROR(INDEX('WHS STK MGT &amp; ALLOC.'!$I:$I,MATCH($A53,'WHS STK MGT &amp; ALLOC.'!$A:$A,0)),"")</f>
        <v>333</v>
      </c>
      <c r="I53" s="60">
        <f>SUM('WHS STK MGT &amp; ALLOC.'!$K39,'WHS STK MGT &amp; ALLOC.'!$M39,'WHS STK MGT &amp; ALLOC.'!$O39,'WHS STK MGT &amp; ALLOC.'!$Q39,'WHS STK MGT &amp; ALLOC.'!$S39,'WHS STK MGT &amp; ALLOC.'!$U39,'WHS STK MGT &amp; ALLOC.'!$W39,'WHS STK MGT &amp; ALLOC.'!$Y39)</f>
        <v>10</v>
      </c>
      <c r="J53" s="60">
        <f>SUMIF('IN STORE SALES RECORD'!$D:$D,'STORE STK &amp; SALES MGT'!$A53,'IN STORE SALES RECORD'!$E:$E)</f>
        <v>0</v>
      </c>
      <c r="K53" s="60">
        <f>SUMIF('IN STORE SALES RECORD'!$D:$D,'STORE STK &amp; SALES MGT'!$A53,'IN STORE SALES RECORD'!$H:$H)</f>
        <v>0</v>
      </c>
      <c r="L53" s="60">
        <f t="shared" si="6"/>
        <v>0</v>
      </c>
      <c r="M53" s="60">
        <f t="shared" si="7"/>
        <v>0</v>
      </c>
      <c r="N53" s="60" cm="1">
        <f t="array" ref="N53">_xlfn.IFS($P$5 = "WEEK 1",'WHS STK MGT &amp; ALLOC.'!$K53,$P$5 = "WEEK 2",'WHS STK MGT &amp; ALLOC.'!$M53,$P$5 = "WEEK 3",'WHS STK MGT &amp; ALLOC.'!$O53,$P$5 = "WEEK 4",'WHS STK MGT &amp; ALLOC.'!Q53,$P$5 ="WEEK 5",'WHS STK MGT &amp; ALLOC.'!$S53)</f>
        <v>10</v>
      </c>
      <c r="O53" s="60" cm="1">
        <f t="array" ref="O53">_xlfn.SWITCH($P$5,
  "WEEK 1", 'WHS STK MGT &amp; ALLOC.'!$H53,
  "WEEK 2", 'WHS STK MGT &amp; ALLOC.'!$H53 - 'WHS STK MGT &amp; ALLOC.'!$K53,
  "WEEK 3", 'WHS STK MGT &amp; ALLOC.'!$H53 - ('WHS STK MGT &amp; ALLOC.'!$K53 + 'WHS STK MGT &amp; ALLOC.'!$M53),
  "WEEK 4", 'WHS STK MGT &amp; ALLOC.'!$H53 - ('WHS STK MGT &amp; ALLOC.'!$K53 + 'WHS STK MGT &amp; ALLOC.'!$M53 + 'WHS STK MGT &amp; ALLOC.'!$O53),
  "WEEK 5", 'WHS STK MGT &amp; ALLOC.'!$H53 - ('WHS STK MGT &amp; ALLOC.'!$K53 + 'WHS STK MGT &amp; ALLOC.'!$M53 + 'WHS STK MGT &amp; ALLOC.'!$O53 + 'WHS STK MGT &amp; ALLOC.'!$Q53),
  "WEEK 6", 'WHS STK MGT &amp; ALLOC.'!$H53 - ('WHS STK MGT &amp; ALLOC.'!$K53 + 'WHS STK MGT &amp; ALLOC.'!$M53 + 'WHS STK MGT &amp; ALLOC.'!$O53 + 'WHS STK MGT &amp; ALLOC.'!$Q53 + 'WHS STK MGT &amp; ALLOC.'!$S53),
  "WEEK 7", 'WHS STK MGT &amp; ALLOC.'!$H39 - ('WHS STK MGT &amp; ALLOC.'!$K39 + 'WHS STK MGT &amp; ALLOC.'!$M39 + 'WHS STK MGT &amp; ALLOC.'!$O39 + 'WHS STK MGT &amp; ALLOC.'!$Q39 + 'WHS STK MGT &amp; ALLOC.'!$S39 + 'WHS STK MGT &amp; ALLOC.'!$U39),
  "Other Weeks", 0
)</f>
        <v>343</v>
      </c>
      <c r="P53" s="60">
        <f>SUMIFS('IN STORE SALES RECORD'!$E:$E,'IN STORE SALES RECORD'!$D:$D,'STORE STK &amp; SALES MGT'!$A53,'IN STORE SALES RECORD'!$A:$A,'STORE STK &amp; SALES MGT'!$P$5)</f>
        <v>0</v>
      </c>
      <c r="Q53" s="60">
        <f>SUMIFS('IN STORE SALES RECORD'!$H:$H,'IN STORE SALES RECORD'!$D:$D,'STORE STK &amp; SALES MGT'!$A53,'IN STORE SALES RECORD'!$A:$A,'STORE STK &amp; SALES MGT'!$P$5)</f>
        <v>0</v>
      </c>
      <c r="R53" s="60">
        <f>IFERROR(ROUND(Q53/SUMIF('IN STORE SALES RECORD'!$A:$A,'STORE STK &amp; SALES MGT'!$P$5,'IN STORE SALES RECORD'!$H:$H)*100,3),"")</f>
        <v>0</v>
      </c>
      <c r="S53" s="60" cm="1">
        <f t="array" ref="S53">_xlfn.IFS($P$5 ="WEEK 1",'WHS STK MGT &amp; ALLOC.'!$H53-'WHS STK MGT &amp; ALLOC.'!$K53,$P$5 ="WEEK 2",'WHS STK MGT &amp; ALLOC.'!H53-('WHS STK MGT &amp; ALLOC.'!$K53+'WHS STK MGT &amp; ALLOC.'!$M53),$P$5 ="WEEK 3",'WHS STK MGT &amp; ALLOC.'!$H53-'WHS STK MGT &amp; ALLOC.'!$K53-'WHS STK MGT &amp; ALLOC.'!$M53-'WHS STK MGT &amp; ALLOC.'!$O53,$P$5 = "WEEK 4",'WHS STK MGT &amp; ALLOC.'!H53-'WHS STK MGT &amp; ALLOC.'!$K53-'WHS STK MGT &amp; ALLOC.'!$M53-'WHS STK MGT &amp; ALLOC.'!$O53-'WHS STK MGT &amp; ALLOC.'!$Q53,$P$5 = "WEEK 5",'WHS STK MGT &amp; ALLOC.'!H53-'WHS STK MGT &amp; ALLOC.'!$K53-'WHS STK MGT &amp; ALLOC.'!$M53-'WHS STK MGT &amp; ALLOC.'!$O53-'WHS STK MGT &amp; ALLOC.'!$Q53-'WHS STK MGT &amp; ALLOC.'!$S53)</f>
        <v>333</v>
      </c>
      <c r="T53" s="99">
        <f>SUMIFS('IN STORE SALES RECORD'!$E:$E,'IN STORE SALES RECORD'!$C:$C,'STORE STK &amp; SALES MGT'!$U$5,'STORE STK &amp; SALES MGT'!$A:$A,'STORE STK &amp; SALES MGT'!$A53)</f>
        <v>0</v>
      </c>
      <c r="U53" s="60">
        <f>SUMIFS('IN STORE SALES RECORD'!$H:$H,'IN STORE SALES RECORD'!$D:$D,'STORE STK &amp; SALES MGT'!$A53,'IN STORE SALES RECORD'!$C:$C,'STORE STK &amp; SALES MGT'!$U$5)</f>
        <v>0</v>
      </c>
      <c r="V53" s="99">
        <f>IFERROR(ROUND(SUMIFS('IN STORE SALES RECORD'!$H:$H,'IN STORE SALES RECORD'!$C:$C,'STORE STK &amp; SALES MGT'!$U$5,'STORE STK &amp; SALES MGT'!$A:$A,'STORE STK &amp; SALES MGT'!$A53)/SUMIF('IN STORE SALES RECORD'!$C:$C,'STORE STK &amp; SALES MGT'!$U$5,'IN STORE SALES RECORD'!$H:$H)*100,3),"")</f>
        <v>0</v>
      </c>
    </row>
    <row r="54" spans="1:51" s="77" customFormat="1" ht="45">
      <c r="A54" s="25" t="s">
        <v>234</v>
      </c>
      <c r="B54" s="78" t="str">
        <f>IFERROR(INDEX('REFERENCING &amp; DATABASE'!$E$7:$E$131,MATCH($A54,'REFERENCING &amp; DATABASE'!$D$7:$D$131,0)),"")</f>
        <v>Professional Briefcase</v>
      </c>
      <c r="C54" s="25" t="str">
        <f>IFERROR(INDEX('REFERENCING &amp; DATABASE'!$B$7:$B$131,MATCH($A54,'REFERENCING &amp; DATABASE'!$D$7:$D$131,0)),"")</f>
        <v>ACCESSORIES</v>
      </c>
      <c r="D54" s="25" t="str">
        <f>IFERROR(INDEX('REFERENCING &amp; DATABASE'!$C$7:$C$131,MATCH($A54,'REFERENCING &amp; DATABASE'!$D$7:$D$131,0)),"")</f>
        <v>BAGS</v>
      </c>
      <c r="E54" s="26" t="str">
        <f>IFERROR(INDEX('REFERENCING &amp; DATABASE'!$F$7:$F$131,MATCH($A54,'REFERENCING &amp; DATABASE'!$D$7:$D$131,0)),"")</f>
        <v>A structured and durable bag for carrying work documents and laptops.</v>
      </c>
      <c r="F54" s="28" t="str">
        <f>IFERROR(INDEX('REFERENCING &amp; DATABASE'!$G$7:$G$131,MATCH($A54,'REFERENCING &amp; DATABASE'!$D$7:$D$131,0)),"")</f>
        <v>red, yellow, brown, nude, pink, white, blue, green</v>
      </c>
      <c r="G54" s="39" t="str">
        <f>IFERROR(INDEX('REFERENCING &amp; DATABASE'!$H$7:$H$131,MATCH($A54,'REFERENCING &amp; DATABASE'!$D$7:$D$131,0)),"")</f>
        <v>M</v>
      </c>
      <c r="H54" s="28">
        <f>IFERROR(INDEX('WHS STK MGT &amp; ALLOC.'!$I:$I,MATCH($A54,'WHS STK MGT &amp; ALLOC.'!$A:$A,0)),"")</f>
        <v>335</v>
      </c>
      <c r="I54" s="60">
        <f>SUM('WHS STK MGT &amp; ALLOC.'!$K40,'WHS STK MGT &amp; ALLOC.'!$M40,'WHS STK MGT &amp; ALLOC.'!$O40,'WHS STK MGT &amp; ALLOC.'!$Q40,'WHS STK MGT &amp; ALLOC.'!$S40,'WHS STK MGT &amp; ALLOC.'!$U40,'WHS STK MGT &amp; ALLOC.'!$W40,'WHS STK MGT &amp; ALLOC.'!$Y40)</f>
        <v>10</v>
      </c>
      <c r="J54" s="60">
        <f>SUMIF('IN STORE SALES RECORD'!$D:$D,'STORE STK &amp; SALES MGT'!$A54,'IN STORE SALES RECORD'!$E:$E)</f>
        <v>0</v>
      </c>
      <c r="K54" s="60">
        <f>SUMIF('IN STORE SALES RECORD'!$D:$D,'STORE STK &amp; SALES MGT'!$A54,'IN STORE SALES RECORD'!$H:$H)</f>
        <v>0</v>
      </c>
      <c r="L54" s="60">
        <f t="shared" si="6"/>
        <v>0</v>
      </c>
      <c r="M54" s="60">
        <f t="shared" si="7"/>
        <v>0</v>
      </c>
      <c r="N54" s="60" cm="1">
        <f t="array" ref="N54">_xlfn.IFS($P$5 = "WEEK 1",'WHS STK MGT &amp; ALLOC.'!$K54,$P$5 = "WEEK 2",'WHS STK MGT &amp; ALLOC.'!$M54,$P$5 = "WEEK 3",'WHS STK MGT &amp; ALLOC.'!$O54,$P$5 = "WEEK 4",'WHS STK MGT &amp; ALLOC.'!Q54,$P$5 ="WEEK 5",'WHS STK MGT &amp; ALLOC.'!$S54)</f>
        <v>10</v>
      </c>
      <c r="O54" s="60" cm="1">
        <f t="array" ref="O54">_xlfn.SWITCH($P$5,
  "WEEK 1", 'WHS STK MGT &amp; ALLOC.'!$H54,
  "WEEK 2", 'WHS STK MGT &amp; ALLOC.'!$H54 - 'WHS STK MGT &amp; ALLOC.'!$K54,
  "WEEK 3", 'WHS STK MGT &amp; ALLOC.'!$H54 - ('WHS STK MGT &amp; ALLOC.'!$K54 + 'WHS STK MGT &amp; ALLOC.'!$M54),
  "WEEK 4", 'WHS STK MGT &amp; ALLOC.'!$H54 - ('WHS STK MGT &amp; ALLOC.'!$K54 + 'WHS STK MGT &amp; ALLOC.'!$M54 + 'WHS STK MGT &amp; ALLOC.'!$O54),
  "WEEK 5", 'WHS STK MGT &amp; ALLOC.'!$H54 - ('WHS STK MGT &amp; ALLOC.'!$K54 + 'WHS STK MGT &amp; ALLOC.'!$M54 + 'WHS STK MGT &amp; ALLOC.'!$O54 + 'WHS STK MGT &amp; ALLOC.'!$Q54),
  "WEEK 6", 'WHS STK MGT &amp; ALLOC.'!$H54 - ('WHS STK MGT &amp; ALLOC.'!$K54 + 'WHS STK MGT &amp; ALLOC.'!$M54 + 'WHS STK MGT &amp; ALLOC.'!$O54 + 'WHS STK MGT &amp; ALLOC.'!$Q54 + 'WHS STK MGT &amp; ALLOC.'!$S54),
  "WEEK 7", 'WHS STK MGT &amp; ALLOC.'!$H40 - ('WHS STK MGT &amp; ALLOC.'!$K40 + 'WHS STK MGT &amp; ALLOC.'!$M40 + 'WHS STK MGT &amp; ALLOC.'!$O40 + 'WHS STK MGT &amp; ALLOC.'!$Q40 + 'WHS STK MGT &amp; ALLOC.'!$S40 + 'WHS STK MGT &amp; ALLOC.'!$U40),
  "Other Weeks", 0
)</f>
        <v>345</v>
      </c>
      <c r="P54" s="60">
        <f>SUMIFS('IN STORE SALES RECORD'!$E:$E,'IN STORE SALES RECORD'!$D:$D,'STORE STK &amp; SALES MGT'!$A54,'IN STORE SALES RECORD'!$A:$A,'STORE STK &amp; SALES MGT'!$P$5)</f>
        <v>0</v>
      </c>
      <c r="Q54" s="60">
        <f>SUMIFS('IN STORE SALES RECORD'!$H:$H,'IN STORE SALES RECORD'!$D:$D,'STORE STK &amp; SALES MGT'!$A54,'IN STORE SALES RECORD'!$A:$A,'STORE STK &amp; SALES MGT'!$P$5)</f>
        <v>0</v>
      </c>
      <c r="R54" s="60">
        <f>IFERROR(ROUND(Q54/SUMIF('IN STORE SALES RECORD'!$A:$A,'STORE STK &amp; SALES MGT'!$P$5,'IN STORE SALES RECORD'!$H:$H)*100,3),"")</f>
        <v>0</v>
      </c>
      <c r="S54" s="60" cm="1">
        <f t="array" ref="S54">_xlfn.IFS($P$5 ="WEEK 1",'WHS STK MGT &amp; ALLOC.'!$H54-'WHS STK MGT &amp; ALLOC.'!$K54,$P$5 ="WEEK 2",'WHS STK MGT &amp; ALLOC.'!H54-('WHS STK MGT &amp; ALLOC.'!$K54+'WHS STK MGT &amp; ALLOC.'!$M54),$P$5 ="WEEK 3",'WHS STK MGT &amp; ALLOC.'!$H54-'WHS STK MGT &amp; ALLOC.'!$K54-'WHS STK MGT &amp; ALLOC.'!$M54-'WHS STK MGT &amp; ALLOC.'!$O54,$P$5 = "WEEK 4",'WHS STK MGT &amp; ALLOC.'!H54-'WHS STK MGT &amp; ALLOC.'!$K54-'WHS STK MGT &amp; ALLOC.'!$M54-'WHS STK MGT &amp; ALLOC.'!$O54-'WHS STK MGT &amp; ALLOC.'!$Q54,$P$5 = "WEEK 5",'WHS STK MGT &amp; ALLOC.'!H54-'WHS STK MGT &amp; ALLOC.'!$K54-'WHS STK MGT &amp; ALLOC.'!$M54-'WHS STK MGT &amp; ALLOC.'!$O54-'WHS STK MGT &amp; ALLOC.'!$Q54-'WHS STK MGT &amp; ALLOC.'!$S54)</f>
        <v>335</v>
      </c>
      <c r="T54" s="99">
        <f>SUMIFS('IN STORE SALES RECORD'!$E:$E,'IN STORE SALES RECORD'!$C:$C,'STORE STK &amp; SALES MGT'!$U$5,'STORE STK &amp; SALES MGT'!$A:$A,'STORE STK &amp; SALES MGT'!$A54)</f>
        <v>0</v>
      </c>
      <c r="U54" s="60">
        <f>SUMIFS('IN STORE SALES RECORD'!$H:$H,'IN STORE SALES RECORD'!$D:$D,'STORE STK &amp; SALES MGT'!$A54,'IN STORE SALES RECORD'!$C:$C,'STORE STK &amp; SALES MGT'!$U$5)</f>
        <v>0</v>
      </c>
      <c r="V54" s="99">
        <f>IFERROR(ROUND(SUMIFS('IN STORE SALES RECORD'!$H:$H,'IN STORE SALES RECORD'!$C:$C,'STORE STK &amp; SALES MGT'!$U$5,'STORE STK &amp; SALES MGT'!$A:$A,'STORE STK &amp; SALES MGT'!$A54)/SUMIF('IN STORE SALES RECORD'!$C:$C,'STORE STK &amp; SALES MGT'!$U$5,'IN STORE SALES RECORD'!$H:$H)*100,3),"")</f>
        <v>0</v>
      </c>
    </row>
    <row r="55" spans="1:51" s="77" customFormat="1">
      <c r="A55" s="25" t="s">
        <v>235</v>
      </c>
      <c r="B55" s="78" t="str">
        <f>IFERROR(INDEX('REFERENCING &amp; DATABASE'!$E$7:$E$131,MATCH($A55,'REFERENCING &amp; DATABASE'!$D$7:$D$131,0)),"")</f>
        <v>Genuine Leather Belt</v>
      </c>
      <c r="C55" s="25" t="str">
        <f>IFERROR(INDEX('REFERENCING &amp; DATABASE'!$B$7:$B$131,MATCH($A55,'REFERENCING &amp; DATABASE'!$D$7:$D$131,0)),"")</f>
        <v>ACCESSORIES</v>
      </c>
      <c r="D55" s="25" t="str">
        <f>IFERROR(INDEX('REFERENCING &amp; DATABASE'!$C$7:$C$131,MATCH($A55,'REFERENCING &amp; DATABASE'!$D$7:$D$131,0)),"")</f>
        <v>BELTS</v>
      </c>
      <c r="E55" s="26" t="str">
        <f>IFERROR(INDEX('REFERENCING &amp; DATABASE'!$F$7:$F$131,MATCH($A55,'REFERENCING &amp; DATABASE'!$D$7:$D$131,0)),"")</f>
        <v>A classic and durable belt for everyday use.</v>
      </c>
      <c r="F55" s="28" t="str">
        <f>IFERROR(INDEX('REFERENCING &amp; DATABASE'!$G$7:$G$131,MATCH($A55,'REFERENCING &amp; DATABASE'!$D$7:$D$131,0)),"")</f>
        <v>Black,Brown</v>
      </c>
      <c r="G55" s="39">
        <f>IFERROR(INDEX('REFERENCING &amp; DATABASE'!$H$7:$H$131,MATCH($A55,'REFERENCING &amp; DATABASE'!$D$7:$D$131,0)),"")</f>
        <v>35</v>
      </c>
      <c r="H55" s="28">
        <f>IFERROR(INDEX('WHS STK MGT &amp; ALLOC.'!$I:$I,MATCH($A55,'WHS STK MGT &amp; ALLOC.'!$A:$A,0)),"")</f>
        <v>755</v>
      </c>
      <c r="I55" s="60">
        <f>SUM('WHS STK MGT &amp; ALLOC.'!$K41,'WHS STK MGT &amp; ALLOC.'!$M41,'WHS STK MGT &amp; ALLOC.'!$O41,'WHS STK MGT &amp; ALLOC.'!$Q41,'WHS STK MGT &amp; ALLOC.'!$S41,'WHS STK MGT &amp; ALLOC.'!$U41,'WHS STK MGT &amp; ALLOC.'!$W41,'WHS STK MGT &amp; ALLOC.'!$Y41)</f>
        <v>10</v>
      </c>
      <c r="J55" s="60">
        <f>SUMIF('IN STORE SALES RECORD'!$D:$D,'STORE STK &amp; SALES MGT'!$A55,'IN STORE SALES RECORD'!$E:$E)</f>
        <v>0</v>
      </c>
      <c r="K55" s="60">
        <f>SUMIF('IN STORE SALES RECORD'!$D:$D,'STORE STK &amp; SALES MGT'!$A55,'IN STORE SALES RECORD'!$H:$H)</f>
        <v>0</v>
      </c>
      <c r="L55" s="60">
        <f t="shared" si="6"/>
        <v>0</v>
      </c>
      <c r="M55" s="60">
        <f t="shared" si="7"/>
        <v>0</v>
      </c>
      <c r="N55" s="60" cm="1">
        <f t="array" ref="N55">_xlfn.IFS($P$5 = "WEEK 1",'WHS STK MGT &amp; ALLOC.'!$K55,$P$5 = "WEEK 2",'WHS STK MGT &amp; ALLOC.'!$M55,$P$5 = "WEEK 3",'WHS STK MGT &amp; ALLOC.'!$O55,$P$5 = "WEEK 4",'WHS STK MGT &amp; ALLOC.'!Q55,$P$5 ="WEEK 5",'WHS STK MGT &amp; ALLOC.'!$S55)</f>
        <v>10</v>
      </c>
      <c r="O55" s="60" cm="1">
        <f t="array" ref="O55">_xlfn.SWITCH($P$5,
  "WEEK 1", 'WHS STK MGT &amp; ALLOC.'!$H55,
  "WEEK 2", 'WHS STK MGT &amp; ALLOC.'!$H55 - 'WHS STK MGT &amp; ALLOC.'!$K55,
  "WEEK 3", 'WHS STK MGT &amp; ALLOC.'!$H55 - ('WHS STK MGT &amp; ALLOC.'!$K55 + 'WHS STK MGT &amp; ALLOC.'!$M55),
  "WEEK 4", 'WHS STK MGT &amp; ALLOC.'!$H55 - ('WHS STK MGT &amp; ALLOC.'!$K55 + 'WHS STK MGT &amp; ALLOC.'!$M55 + 'WHS STK MGT &amp; ALLOC.'!$O55),
  "WEEK 5", 'WHS STK MGT &amp; ALLOC.'!$H55 - ('WHS STK MGT &amp; ALLOC.'!$K55 + 'WHS STK MGT &amp; ALLOC.'!$M55 + 'WHS STK MGT &amp; ALLOC.'!$O55 + 'WHS STK MGT &amp; ALLOC.'!$Q55),
  "WEEK 6", 'WHS STK MGT &amp; ALLOC.'!$H55 - ('WHS STK MGT &amp; ALLOC.'!$K55 + 'WHS STK MGT &amp; ALLOC.'!$M55 + 'WHS STK MGT &amp; ALLOC.'!$O55 + 'WHS STK MGT &amp; ALLOC.'!$Q55 + 'WHS STK MGT &amp; ALLOC.'!$S55),
  "WEEK 7", 'WHS STK MGT &amp; ALLOC.'!$H41 - ('WHS STK MGT &amp; ALLOC.'!$K41 + 'WHS STK MGT &amp; ALLOC.'!$M41 + 'WHS STK MGT &amp; ALLOC.'!$O41 + 'WHS STK MGT &amp; ALLOC.'!$Q41 + 'WHS STK MGT &amp; ALLOC.'!$S41 + 'WHS STK MGT &amp; ALLOC.'!$U41),
  "Other Weeks", 0
)</f>
        <v>765</v>
      </c>
      <c r="P55" s="60">
        <f>SUMIFS('IN STORE SALES RECORD'!$E:$E,'IN STORE SALES RECORD'!$D:$D,'STORE STK &amp; SALES MGT'!$A55,'IN STORE SALES RECORD'!$A:$A,'STORE STK &amp; SALES MGT'!$P$5)</f>
        <v>0</v>
      </c>
      <c r="Q55" s="60">
        <f>SUMIFS('IN STORE SALES RECORD'!$H:$H,'IN STORE SALES RECORD'!$D:$D,'STORE STK &amp; SALES MGT'!$A55,'IN STORE SALES RECORD'!$A:$A,'STORE STK &amp; SALES MGT'!$P$5)</f>
        <v>0</v>
      </c>
      <c r="R55" s="60">
        <f>IFERROR(ROUND(Q55/SUMIF('IN STORE SALES RECORD'!$A:$A,'STORE STK &amp; SALES MGT'!$P$5,'IN STORE SALES RECORD'!$H:$H)*100,3),"")</f>
        <v>0</v>
      </c>
      <c r="S55" s="60" cm="1">
        <f t="array" ref="S55">_xlfn.IFS($P$5 ="WEEK 1",'WHS STK MGT &amp; ALLOC.'!$H55-'WHS STK MGT &amp; ALLOC.'!$K55,$P$5 ="WEEK 2",'WHS STK MGT &amp; ALLOC.'!H55-('WHS STK MGT &amp; ALLOC.'!$K55+'WHS STK MGT &amp; ALLOC.'!$M55),$P$5 ="WEEK 3",'WHS STK MGT &amp; ALLOC.'!$H55-'WHS STK MGT &amp; ALLOC.'!$K55-'WHS STK MGT &amp; ALLOC.'!$M55-'WHS STK MGT &amp; ALLOC.'!$O55,$P$5 = "WEEK 4",'WHS STK MGT &amp; ALLOC.'!H55-'WHS STK MGT &amp; ALLOC.'!$K55-'WHS STK MGT &amp; ALLOC.'!$M55-'WHS STK MGT &amp; ALLOC.'!$O55-'WHS STK MGT &amp; ALLOC.'!$Q55,$P$5 = "WEEK 5",'WHS STK MGT &amp; ALLOC.'!H55-'WHS STK MGT &amp; ALLOC.'!$K55-'WHS STK MGT &amp; ALLOC.'!$M55-'WHS STK MGT &amp; ALLOC.'!$O55-'WHS STK MGT &amp; ALLOC.'!$Q55-'WHS STK MGT &amp; ALLOC.'!$S55)</f>
        <v>755</v>
      </c>
      <c r="T55" s="99">
        <f>SUMIFS('IN STORE SALES RECORD'!$E:$E,'IN STORE SALES RECORD'!$C:$C,'STORE STK &amp; SALES MGT'!$U$5,'STORE STK &amp; SALES MGT'!$A:$A,'STORE STK &amp; SALES MGT'!$A55)</f>
        <v>0</v>
      </c>
      <c r="U55" s="60">
        <f>SUMIFS('IN STORE SALES RECORD'!$H:$H,'IN STORE SALES RECORD'!$D:$D,'STORE STK &amp; SALES MGT'!$A55,'IN STORE SALES RECORD'!$C:$C,'STORE STK &amp; SALES MGT'!$U$5)</f>
        <v>0</v>
      </c>
      <c r="V55" s="99">
        <f>IFERROR(ROUND(SUMIFS('IN STORE SALES RECORD'!$H:$H,'IN STORE SALES RECORD'!$C:$C,'STORE STK &amp; SALES MGT'!$U$5,'STORE STK &amp; SALES MGT'!$A:$A,'STORE STK &amp; SALES MGT'!$A55)/SUMIF('IN STORE SALES RECORD'!$C:$C,'STORE STK &amp; SALES MGT'!$U$5,'IN STORE SALES RECORD'!$H:$H)*100,3),"")</f>
        <v>0</v>
      </c>
    </row>
    <row r="56" spans="1:51" s="77" customFormat="1" ht="30">
      <c r="A56" s="25" t="s">
        <v>236</v>
      </c>
      <c r="B56" s="78" t="str">
        <f>IFERROR(INDEX('REFERENCING &amp; DATABASE'!$E$7:$E$131,MATCH($A56,'REFERENCING &amp; DATABASE'!$D$7:$D$131,0)),"")</f>
        <v>Woven Canvas Belt</v>
      </c>
      <c r="C56" s="25" t="str">
        <f>IFERROR(INDEX('REFERENCING &amp; DATABASE'!$B$7:$B$131,MATCH($A56,'REFERENCING &amp; DATABASE'!$D$7:$D$131,0)),"")</f>
        <v>ACCESSORIES</v>
      </c>
      <c r="D56" s="25" t="str">
        <f>IFERROR(INDEX('REFERENCING &amp; DATABASE'!$C$7:$C$131,MATCH($A56,'REFERENCING &amp; DATABASE'!$D$7:$D$131,0)),"")</f>
        <v>BELTS</v>
      </c>
      <c r="E56" s="26" t="str">
        <f>IFERROR(INDEX('REFERENCING &amp; DATABASE'!$F$7:$F$131,MATCH($A56,'REFERENCING &amp; DATABASE'!$D$7:$D$131,0)),"")</f>
        <v>A casual and stylish belt perfect for summer outfits.</v>
      </c>
      <c r="F56" s="28" t="str">
        <f>IFERROR(INDEX('REFERENCING &amp; DATABASE'!$G$7:$G$131,MATCH($A56,'REFERENCING &amp; DATABASE'!$D$7:$D$131,0)),"")</f>
        <v>Black,Brown</v>
      </c>
      <c r="G56" s="39">
        <f>IFERROR(INDEX('REFERENCING &amp; DATABASE'!$H$7:$H$131,MATCH($A56,'REFERENCING &amp; DATABASE'!$D$7:$D$131,0)),"")</f>
        <v>35</v>
      </c>
      <c r="H56" s="28">
        <f>IFERROR(INDEX('WHS STK MGT &amp; ALLOC.'!$I:$I,MATCH($A56,'WHS STK MGT &amp; ALLOC.'!$A:$A,0)),"")</f>
        <v>435</v>
      </c>
      <c r="I56" s="60">
        <f>SUM('WHS STK MGT &amp; ALLOC.'!$K42,'WHS STK MGT &amp; ALLOC.'!$M42,'WHS STK MGT &amp; ALLOC.'!$O42,'WHS STK MGT &amp; ALLOC.'!$Q42,'WHS STK MGT &amp; ALLOC.'!$S42,'WHS STK MGT &amp; ALLOC.'!$U42,'WHS STK MGT &amp; ALLOC.'!$W42,'WHS STK MGT &amp; ALLOC.'!$Y42)</f>
        <v>10</v>
      </c>
      <c r="J56" s="60">
        <f>SUMIF('IN STORE SALES RECORD'!$D:$D,'STORE STK &amp; SALES MGT'!$A56,'IN STORE SALES RECORD'!$E:$E)</f>
        <v>0</v>
      </c>
      <c r="K56" s="60">
        <f>SUMIF('IN STORE SALES RECORD'!$D:$D,'STORE STK &amp; SALES MGT'!$A56,'IN STORE SALES RECORD'!$H:$H)</f>
        <v>0</v>
      </c>
      <c r="L56" s="60">
        <f t="shared" si="6"/>
        <v>0</v>
      </c>
      <c r="M56" s="60">
        <f t="shared" si="7"/>
        <v>0</v>
      </c>
      <c r="N56" s="60" cm="1">
        <f t="array" ref="N56">_xlfn.IFS($P$5 = "WEEK 1",'WHS STK MGT &amp; ALLOC.'!$K56,$P$5 = "WEEK 2",'WHS STK MGT &amp; ALLOC.'!$M56,$P$5 = "WEEK 3",'WHS STK MGT &amp; ALLOC.'!$O56,$P$5 = "WEEK 4",'WHS STK MGT &amp; ALLOC.'!Q56,$P$5 ="WEEK 5",'WHS STK MGT &amp; ALLOC.'!$S56)</f>
        <v>10</v>
      </c>
      <c r="O56" s="60" cm="1">
        <f t="array" ref="O56">_xlfn.SWITCH($P$5,
  "WEEK 1", 'WHS STK MGT &amp; ALLOC.'!$H56,
  "WEEK 2", 'WHS STK MGT &amp; ALLOC.'!$H56 - 'WHS STK MGT &amp; ALLOC.'!$K56,
  "WEEK 3", 'WHS STK MGT &amp; ALLOC.'!$H56 - ('WHS STK MGT &amp; ALLOC.'!$K56 + 'WHS STK MGT &amp; ALLOC.'!$M56),
  "WEEK 4", 'WHS STK MGT &amp; ALLOC.'!$H56 - ('WHS STK MGT &amp; ALLOC.'!$K56 + 'WHS STK MGT &amp; ALLOC.'!$M56 + 'WHS STK MGT &amp; ALLOC.'!$O56),
  "WEEK 5", 'WHS STK MGT &amp; ALLOC.'!$H56 - ('WHS STK MGT &amp; ALLOC.'!$K56 + 'WHS STK MGT &amp; ALLOC.'!$M56 + 'WHS STK MGT &amp; ALLOC.'!$O56 + 'WHS STK MGT &amp; ALLOC.'!$Q56),
  "WEEK 6", 'WHS STK MGT &amp; ALLOC.'!$H56 - ('WHS STK MGT &amp; ALLOC.'!$K56 + 'WHS STK MGT &amp; ALLOC.'!$M56 + 'WHS STK MGT &amp; ALLOC.'!$O56 + 'WHS STK MGT &amp; ALLOC.'!$Q56 + 'WHS STK MGT &amp; ALLOC.'!$S56),
  "WEEK 7", 'WHS STK MGT &amp; ALLOC.'!$H42 - ('WHS STK MGT &amp; ALLOC.'!$K42 + 'WHS STK MGT &amp; ALLOC.'!$M42 + 'WHS STK MGT &amp; ALLOC.'!$O42 + 'WHS STK MGT &amp; ALLOC.'!$Q42 + 'WHS STK MGT &amp; ALLOC.'!$S42 + 'WHS STK MGT &amp; ALLOC.'!$U42),
  "Other Weeks", 0
)</f>
        <v>445</v>
      </c>
      <c r="P56" s="60">
        <f>SUMIFS('IN STORE SALES RECORD'!$E:$E,'IN STORE SALES RECORD'!$D:$D,'STORE STK &amp; SALES MGT'!$A56,'IN STORE SALES RECORD'!$A:$A,'STORE STK &amp; SALES MGT'!$P$5)</f>
        <v>0</v>
      </c>
      <c r="Q56" s="60">
        <f>SUMIFS('IN STORE SALES RECORD'!$H:$H,'IN STORE SALES RECORD'!$D:$D,'STORE STK &amp; SALES MGT'!$A56,'IN STORE SALES RECORD'!$A:$A,'STORE STK &amp; SALES MGT'!$P$5)</f>
        <v>0</v>
      </c>
      <c r="R56" s="60">
        <f>IFERROR(ROUND(Q56/SUMIF('IN STORE SALES RECORD'!$A:$A,'STORE STK &amp; SALES MGT'!$P$5,'IN STORE SALES RECORD'!$H:$H)*100,3),"")</f>
        <v>0</v>
      </c>
      <c r="S56" s="60" cm="1">
        <f t="array" ref="S56">_xlfn.IFS($P$5 ="WEEK 1",'WHS STK MGT &amp; ALLOC.'!$H56-'WHS STK MGT &amp; ALLOC.'!$K56,$P$5 ="WEEK 2",'WHS STK MGT &amp; ALLOC.'!H56-('WHS STK MGT &amp; ALLOC.'!$K56+'WHS STK MGT &amp; ALLOC.'!$M56),$P$5 ="WEEK 3",'WHS STK MGT &amp; ALLOC.'!$H56-'WHS STK MGT &amp; ALLOC.'!$K56-'WHS STK MGT &amp; ALLOC.'!$M56-'WHS STK MGT &amp; ALLOC.'!$O56,$P$5 = "WEEK 4",'WHS STK MGT &amp; ALLOC.'!H56-'WHS STK MGT &amp; ALLOC.'!$K56-'WHS STK MGT &amp; ALLOC.'!$M56-'WHS STK MGT &amp; ALLOC.'!$O56-'WHS STK MGT &amp; ALLOC.'!$Q56,$P$5 = "WEEK 5",'WHS STK MGT &amp; ALLOC.'!H56-'WHS STK MGT &amp; ALLOC.'!$K56-'WHS STK MGT &amp; ALLOC.'!$M56-'WHS STK MGT &amp; ALLOC.'!$O56-'WHS STK MGT &amp; ALLOC.'!$Q56-'WHS STK MGT &amp; ALLOC.'!$S56)</f>
        <v>435</v>
      </c>
      <c r="T56" s="99">
        <f>SUMIFS('IN STORE SALES RECORD'!$E:$E,'IN STORE SALES RECORD'!$C:$C,'STORE STK &amp; SALES MGT'!$U$5,'STORE STK &amp; SALES MGT'!$A:$A,'STORE STK &amp; SALES MGT'!$A56)</f>
        <v>0</v>
      </c>
      <c r="U56" s="60">
        <f>SUMIFS('IN STORE SALES RECORD'!$H:$H,'IN STORE SALES RECORD'!$D:$D,'STORE STK &amp; SALES MGT'!$A56,'IN STORE SALES RECORD'!$C:$C,'STORE STK &amp; SALES MGT'!$U$5)</f>
        <v>0</v>
      </c>
      <c r="V56" s="99">
        <f>IFERROR(ROUND(SUMIFS('IN STORE SALES RECORD'!$H:$H,'IN STORE SALES RECORD'!$C:$C,'STORE STK &amp; SALES MGT'!$U$5,'STORE STK &amp; SALES MGT'!$A:$A,'STORE STK &amp; SALES MGT'!$A56)/SUMIF('IN STORE SALES RECORD'!$C:$C,'STORE STK &amp; SALES MGT'!$U$5,'IN STORE SALES RECORD'!$H:$H)*100,3),"")</f>
        <v>0</v>
      </c>
    </row>
    <row r="57" spans="1:51" s="77" customFormat="1" ht="30">
      <c r="A57" s="25" t="s">
        <v>237</v>
      </c>
      <c r="B57" s="78" t="str">
        <f>IFERROR(INDEX('REFERENCING &amp; DATABASE'!$E$7:$E$131,MATCH($A57,'REFERENCING &amp; DATABASE'!$D$7:$D$131,0)),"")</f>
        <v>Braided Leather Belt</v>
      </c>
      <c r="C57" s="25" t="str">
        <f>IFERROR(INDEX('REFERENCING &amp; DATABASE'!$B$7:$B$131,MATCH($A57,'REFERENCING &amp; DATABASE'!$D$7:$D$131,0)),"")</f>
        <v>ACCESSORIES</v>
      </c>
      <c r="D57" s="25" t="str">
        <f>IFERROR(INDEX('REFERENCING &amp; DATABASE'!$C$7:$C$131,MATCH($A57,'REFERENCING &amp; DATABASE'!$D$7:$D$131,0)),"")</f>
        <v>BELTS</v>
      </c>
      <c r="E57" s="26" t="str">
        <f>IFERROR(INDEX('REFERENCING &amp; DATABASE'!$F$7:$F$131,MATCH($A57,'REFERENCING &amp; DATABASE'!$D$7:$D$131,0)),"")</f>
        <v>Adds a touch of western-inspired style to your look.</v>
      </c>
      <c r="F57" s="28" t="str">
        <f>IFERROR(INDEX('REFERENCING &amp; DATABASE'!$G$7:$G$131,MATCH($A57,'REFERENCING &amp; DATABASE'!$D$7:$D$131,0)),"")</f>
        <v>Black,Brown</v>
      </c>
      <c r="G57" s="39">
        <f>IFERROR(INDEX('REFERENCING &amp; DATABASE'!$H$7:$H$131,MATCH($A57,'REFERENCING &amp; DATABASE'!$D$7:$D$131,0)),"")</f>
        <v>35</v>
      </c>
      <c r="H57" s="28">
        <f>IFERROR(INDEX('WHS STK MGT &amp; ALLOC.'!$I:$I,MATCH($A57,'WHS STK MGT &amp; ALLOC.'!$A:$A,0)),"")</f>
        <v>190</v>
      </c>
      <c r="I57" s="60">
        <f>SUM('WHS STK MGT &amp; ALLOC.'!$K43,'WHS STK MGT &amp; ALLOC.'!$M43,'WHS STK MGT &amp; ALLOC.'!$O43,'WHS STK MGT &amp; ALLOC.'!$Q43,'WHS STK MGT &amp; ALLOC.'!$S43,'WHS STK MGT &amp; ALLOC.'!$U43,'WHS STK MGT &amp; ALLOC.'!$W43,'WHS STK MGT &amp; ALLOC.'!$Y43)</f>
        <v>10</v>
      </c>
      <c r="J57" s="60">
        <f>SUMIF('IN STORE SALES RECORD'!$D:$D,'STORE STK &amp; SALES MGT'!$A57,'IN STORE SALES RECORD'!$E:$E)</f>
        <v>0</v>
      </c>
      <c r="K57" s="60">
        <f>SUMIF('IN STORE SALES RECORD'!$D:$D,'STORE STK &amp; SALES MGT'!$A57,'IN STORE SALES RECORD'!$H:$H)</f>
        <v>0</v>
      </c>
      <c r="L57" s="60">
        <f t="shared" si="6"/>
        <v>0</v>
      </c>
      <c r="M57" s="60">
        <f t="shared" si="7"/>
        <v>0</v>
      </c>
      <c r="N57" s="60" cm="1">
        <f t="array" ref="N57">_xlfn.IFS($P$5 = "WEEK 1",'WHS STK MGT &amp; ALLOC.'!$K57,$P$5 = "WEEK 2",'WHS STK MGT &amp; ALLOC.'!$M57,$P$5 = "WEEK 3",'WHS STK MGT &amp; ALLOC.'!$O57,$P$5 = "WEEK 4",'WHS STK MGT &amp; ALLOC.'!Q57,$P$5 ="WEEK 5",'WHS STK MGT &amp; ALLOC.'!$S57)</f>
        <v>10</v>
      </c>
      <c r="O57" s="60" cm="1">
        <f t="array" ref="O57">_xlfn.SWITCH($P$5,
  "WEEK 1", 'WHS STK MGT &amp; ALLOC.'!$H57,
  "WEEK 2", 'WHS STK MGT &amp; ALLOC.'!$H57 - 'WHS STK MGT &amp; ALLOC.'!$K57,
  "WEEK 3", 'WHS STK MGT &amp; ALLOC.'!$H57 - ('WHS STK MGT &amp; ALLOC.'!$K57 + 'WHS STK MGT &amp; ALLOC.'!$M57),
  "WEEK 4", 'WHS STK MGT &amp; ALLOC.'!$H57 - ('WHS STK MGT &amp; ALLOC.'!$K57 + 'WHS STK MGT &amp; ALLOC.'!$M57 + 'WHS STK MGT &amp; ALLOC.'!$O57),
  "WEEK 5", 'WHS STK MGT &amp; ALLOC.'!$H57 - ('WHS STK MGT &amp; ALLOC.'!$K57 + 'WHS STK MGT &amp; ALLOC.'!$M57 + 'WHS STK MGT &amp; ALLOC.'!$O57 + 'WHS STK MGT &amp; ALLOC.'!$Q57),
  "WEEK 6", 'WHS STK MGT &amp; ALLOC.'!$H57 - ('WHS STK MGT &amp; ALLOC.'!$K57 + 'WHS STK MGT &amp; ALLOC.'!$M57 + 'WHS STK MGT &amp; ALLOC.'!$O57 + 'WHS STK MGT &amp; ALLOC.'!$Q57 + 'WHS STK MGT &amp; ALLOC.'!$S57),
  "WEEK 7", 'WHS STK MGT &amp; ALLOC.'!$H43 - ('WHS STK MGT &amp; ALLOC.'!$K43 + 'WHS STK MGT &amp; ALLOC.'!$M43 + 'WHS STK MGT &amp; ALLOC.'!$O43 + 'WHS STK MGT &amp; ALLOC.'!$Q43 + 'WHS STK MGT &amp; ALLOC.'!$S43 + 'WHS STK MGT &amp; ALLOC.'!$U43),
  "Other Weeks", 0
)</f>
        <v>200</v>
      </c>
      <c r="P57" s="60">
        <f>SUMIFS('IN STORE SALES RECORD'!$E:$E,'IN STORE SALES RECORD'!$D:$D,'STORE STK &amp; SALES MGT'!$A57,'IN STORE SALES RECORD'!$A:$A,'STORE STK &amp; SALES MGT'!$P$5)</f>
        <v>0</v>
      </c>
      <c r="Q57" s="60">
        <f>SUMIFS('IN STORE SALES RECORD'!$H:$H,'IN STORE SALES RECORD'!$D:$D,'STORE STK &amp; SALES MGT'!$A57,'IN STORE SALES RECORD'!$A:$A,'STORE STK &amp; SALES MGT'!$P$5)</f>
        <v>0</v>
      </c>
      <c r="R57" s="60">
        <f>IFERROR(ROUND(Q57/SUMIF('IN STORE SALES RECORD'!$A:$A,'STORE STK &amp; SALES MGT'!$P$5,'IN STORE SALES RECORD'!$H:$H)*100,3),"")</f>
        <v>0</v>
      </c>
      <c r="S57" s="60" cm="1">
        <f t="array" ref="S57">_xlfn.IFS($P$5 ="WEEK 1",'WHS STK MGT &amp; ALLOC.'!$H57-'WHS STK MGT &amp; ALLOC.'!$K57,$P$5 ="WEEK 2",'WHS STK MGT &amp; ALLOC.'!H57-('WHS STK MGT &amp; ALLOC.'!$K57+'WHS STK MGT &amp; ALLOC.'!$M57),$P$5 ="WEEK 3",'WHS STK MGT &amp; ALLOC.'!$H57-'WHS STK MGT &amp; ALLOC.'!$K57-'WHS STK MGT &amp; ALLOC.'!$M57-'WHS STK MGT &amp; ALLOC.'!$O57,$P$5 = "WEEK 4",'WHS STK MGT &amp; ALLOC.'!H57-'WHS STK MGT &amp; ALLOC.'!$K57-'WHS STK MGT &amp; ALLOC.'!$M57-'WHS STK MGT &amp; ALLOC.'!$O57-'WHS STK MGT &amp; ALLOC.'!$Q57,$P$5 = "WEEK 5",'WHS STK MGT &amp; ALLOC.'!H57-'WHS STK MGT &amp; ALLOC.'!$K57-'WHS STK MGT &amp; ALLOC.'!$M57-'WHS STK MGT &amp; ALLOC.'!$O57-'WHS STK MGT &amp; ALLOC.'!$Q57-'WHS STK MGT &amp; ALLOC.'!$S57)</f>
        <v>190</v>
      </c>
      <c r="T57" s="99">
        <f>SUMIFS('IN STORE SALES RECORD'!$E:$E,'IN STORE SALES RECORD'!$C:$C,'STORE STK &amp; SALES MGT'!$U$5,'STORE STK &amp; SALES MGT'!$A:$A,'STORE STK &amp; SALES MGT'!$A57)</f>
        <v>0</v>
      </c>
      <c r="U57" s="60">
        <f>SUMIFS('IN STORE SALES RECORD'!$H:$H,'IN STORE SALES RECORD'!$D:$D,'STORE STK &amp; SALES MGT'!$A57,'IN STORE SALES RECORD'!$C:$C,'STORE STK &amp; SALES MGT'!$U$5)</f>
        <v>0</v>
      </c>
      <c r="V57" s="99">
        <f>IFERROR(ROUND(SUMIFS('IN STORE SALES RECORD'!$H:$H,'IN STORE SALES RECORD'!$C:$C,'STORE STK &amp; SALES MGT'!$U$5,'STORE STK &amp; SALES MGT'!$A:$A,'STORE STK &amp; SALES MGT'!$A57)/SUMIF('IN STORE SALES RECORD'!$C:$C,'STORE STK &amp; SALES MGT'!$U$5,'IN STORE SALES RECORD'!$H:$H)*100,3),"")</f>
        <v>0</v>
      </c>
    </row>
    <row r="58" spans="1:51" s="77" customFormat="1" ht="30">
      <c r="A58" s="25" t="s">
        <v>238</v>
      </c>
      <c r="B58" s="78" t="str">
        <f>IFERROR(INDEX('REFERENCING &amp; DATABASE'!$E$7:$E$131,MATCH($A58,'REFERENCING &amp; DATABASE'!$D$7:$D$131,0)),"")</f>
        <v>Slim Dress Belt</v>
      </c>
      <c r="C58" s="25" t="str">
        <f>IFERROR(INDEX('REFERENCING &amp; DATABASE'!$B$7:$B$131,MATCH($A58,'REFERENCING &amp; DATABASE'!$D$7:$D$131,0)),"")</f>
        <v>ACCESSORIES</v>
      </c>
      <c r="D58" s="25" t="str">
        <f>IFERROR(INDEX('REFERENCING &amp; DATABASE'!$C$7:$C$131,MATCH($A58,'REFERENCING &amp; DATABASE'!$D$7:$D$131,0)),"")</f>
        <v>BELTS</v>
      </c>
      <c r="E58" s="26" t="str">
        <f>IFERROR(INDEX('REFERENCING &amp; DATABASE'!$F$7:$F$131,MATCH($A58,'REFERENCING &amp; DATABASE'!$D$7:$D$131,0)),"")</f>
        <v> A polished and sophisticated belt for formal occasions.</v>
      </c>
      <c r="F58" s="28" t="str">
        <f>IFERROR(INDEX('REFERENCING &amp; DATABASE'!$G$7:$G$131,MATCH($A58,'REFERENCING &amp; DATABASE'!$D$7:$D$131,0)),"")</f>
        <v>Black,Brown</v>
      </c>
      <c r="G58" s="39">
        <f>IFERROR(INDEX('REFERENCING &amp; DATABASE'!$H$7:$H$131,MATCH($A58,'REFERENCING &amp; DATABASE'!$D$7:$D$131,0)),"")</f>
        <v>35</v>
      </c>
      <c r="H58" s="28">
        <f>IFERROR(INDEX('WHS STK MGT &amp; ALLOC.'!$I:$I,MATCH($A58,'WHS STK MGT &amp; ALLOC.'!$A:$A,0)),"")</f>
        <v>220</v>
      </c>
      <c r="I58" s="60">
        <f>SUM('WHS STK MGT &amp; ALLOC.'!$K44,'WHS STK MGT &amp; ALLOC.'!$M44,'WHS STK MGT &amp; ALLOC.'!$O44,'WHS STK MGT &amp; ALLOC.'!$Q44,'WHS STK MGT &amp; ALLOC.'!$S44,'WHS STK MGT &amp; ALLOC.'!$U44,'WHS STK MGT &amp; ALLOC.'!$W44,'WHS STK MGT &amp; ALLOC.'!$Y44)</f>
        <v>10</v>
      </c>
      <c r="J58" s="60">
        <f>SUMIF('IN STORE SALES RECORD'!$D:$D,'STORE STK &amp; SALES MGT'!$A58,'IN STORE SALES RECORD'!$E:$E)</f>
        <v>0</v>
      </c>
      <c r="K58" s="60">
        <f>SUMIF('IN STORE SALES RECORD'!$D:$D,'STORE STK &amp; SALES MGT'!$A58,'IN STORE SALES RECORD'!$H:$H)</f>
        <v>0</v>
      </c>
      <c r="L58" s="60">
        <f t="shared" si="6"/>
        <v>0</v>
      </c>
      <c r="M58" s="60">
        <f t="shared" si="7"/>
        <v>0</v>
      </c>
      <c r="N58" s="60" cm="1">
        <f t="array" ref="N58">_xlfn.IFS($P$5 = "WEEK 1",'WHS STK MGT &amp; ALLOC.'!$K58,$P$5 = "WEEK 2",'WHS STK MGT &amp; ALLOC.'!$M58,$P$5 = "WEEK 3",'WHS STK MGT &amp; ALLOC.'!$O58,$P$5 = "WEEK 4",'WHS STK MGT &amp; ALLOC.'!Q58,$P$5 ="WEEK 5",'WHS STK MGT &amp; ALLOC.'!$S58)</f>
        <v>10</v>
      </c>
      <c r="O58" s="60" cm="1">
        <f t="array" ref="O58">_xlfn.SWITCH($P$5,
  "WEEK 1", 'WHS STK MGT &amp; ALLOC.'!$H58,
  "WEEK 2", 'WHS STK MGT &amp; ALLOC.'!$H58 - 'WHS STK MGT &amp; ALLOC.'!$K58,
  "WEEK 3", 'WHS STK MGT &amp; ALLOC.'!$H58 - ('WHS STK MGT &amp; ALLOC.'!$K58 + 'WHS STK MGT &amp; ALLOC.'!$M58),
  "WEEK 4", 'WHS STK MGT &amp; ALLOC.'!$H58 - ('WHS STK MGT &amp; ALLOC.'!$K58 + 'WHS STK MGT &amp; ALLOC.'!$M58 + 'WHS STK MGT &amp; ALLOC.'!$O58),
  "WEEK 5", 'WHS STK MGT &amp; ALLOC.'!$H58 - ('WHS STK MGT &amp; ALLOC.'!$K58 + 'WHS STK MGT &amp; ALLOC.'!$M58 + 'WHS STK MGT &amp; ALLOC.'!$O58 + 'WHS STK MGT &amp; ALLOC.'!$Q58),
  "WEEK 6", 'WHS STK MGT &amp; ALLOC.'!$H58 - ('WHS STK MGT &amp; ALLOC.'!$K58 + 'WHS STK MGT &amp; ALLOC.'!$M58 + 'WHS STK MGT &amp; ALLOC.'!$O58 + 'WHS STK MGT &amp; ALLOC.'!$Q58 + 'WHS STK MGT &amp; ALLOC.'!$S58),
  "WEEK 7", 'WHS STK MGT &amp; ALLOC.'!$H44 - ('WHS STK MGT &amp; ALLOC.'!$K44 + 'WHS STK MGT &amp; ALLOC.'!$M44 + 'WHS STK MGT &amp; ALLOC.'!$O44 + 'WHS STK MGT &amp; ALLOC.'!$Q44 + 'WHS STK MGT &amp; ALLOC.'!$S44 + 'WHS STK MGT &amp; ALLOC.'!$U44),
  "Other Weeks", 0
)</f>
        <v>230</v>
      </c>
      <c r="P58" s="60">
        <f>SUMIFS('IN STORE SALES RECORD'!$E:$E,'IN STORE SALES RECORD'!$D:$D,'STORE STK &amp; SALES MGT'!$A58,'IN STORE SALES RECORD'!$A:$A,'STORE STK &amp; SALES MGT'!$P$5)</f>
        <v>0</v>
      </c>
      <c r="Q58" s="60">
        <f>SUMIFS('IN STORE SALES RECORD'!$H:$H,'IN STORE SALES RECORD'!$D:$D,'STORE STK &amp; SALES MGT'!$A58,'IN STORE SALES RECORD'!$A:$A,'STORE STK &amp; SALES MGT'!$P$5)</f>
        <v>0</v>
      </c>
      <c r="R58" s="60">
        <f>IFERROR(ROUND(Q58/SUMIF('IN STORE SALES RECORD'!$A:$A,'STORE STK &amp; SALES MGT'!$P$5,'IN STORE SALES RECORD'!$H:$H)*100,3),"")</f>
        <v>0</v>
      </c>
      <c r="S58" s="60" cm="1">
        <f t="array" ref="S58">_xlfn.IFS($P$5 ="WEEK 1",'WHS STK MGT &amp; ALLOC.'!$H58-'WHS STK MGT &amp; ALLOC.'!$K58,$P$5 ="WEEK 2",'WHS STK MGT &amp; ALLOC.'!H58-('WHS STK MGT &amp; ALLOC.'!$K58+'WHS STK MGT &amp; ALLOC.'!$M58),$P$5 ="WEEK 3",'WHS STK MGT &amp; ALLOC.'!$H58-'WHS STK MGT &amp; ALLOC.'!$K58-'WHS STK MGT &amp; ALLOC.'!$M58-'WHS STK MGT &amp; ALLOC.'!$O58,$P$5 = "WEEK 4",'WHS STK MGT &amp; ALLOC.'!H58-'WHS STK MGT &amp; ALLOC.'!$K58-'WHS STK MGT &amp; ALLOC.'!$M58-'WHS STK MGT &amp; ALLOC.'!$O58-'WHS STK MGT &amp; ALLOC.'!$Q58,$P$5 = "WEEK 5",'WHS STK MGT &amp; ALLOC.'!H58-'WHS STK MGT &amp; ALLOC.'!$K58-'WHS STK MGT &amp; ALLOC.'!$M58-'WHS STK MGT &amp; ALLOC.'!$O58-'WHS STK MGT &amp; ALLOC.'!$Q58-'WHS STK MGT &amp; ALLOC.'!$S58)</f>
        <v>220</v>
      </c>
      <c r="T58" s="99">
        <f>SUMIFS('IN STORE SALES RECORD'!$E:$E,'IN STORE SALES RECORD'!$C:$C,'STORE STK &amp; SALES MGT'!$U$5,'STORE STK &amp; SALES MGT'!$A:$A,'STORE STK &amp; SALES MGT'!$A58)</f>
        <v>0</v>
      </c>
      <c r="U58" s="60">
        <f>SUMIFS('IN STORE SALES RECORD'!$H:$H,'IN STORE SALES RECORD'!$D:$D,'STORE STK &amp; SALES MGT'!$A58,'IN STORE SALES RECORD'!$C:$C,'STORE STK &amp; SALES MGT'!$U$5)</f>
        <v>0</v>
      </c>
      <c r="V58" s="99">
        <f>IFERROR(ROUND(SUMIFS('IN STORE SALES RECORD'!$H:$H,'IN STORE SALES RECORD'!$C:$C,'STORE STK &amp; SALES MGT'!$U$5,'STORE STK &amp; SALES MGT'!$A:$A,'STORE STK &amp; SALES MGT'!$A58)/SUMIF('IN STORE SALES RECORD'!$C:$C,'STORE STK &amp; SALES MGT'!$U$5,'IN STORE SALES RECORD'!$H:$H)*100,3),"")</f>
        <v>0</v>
      </c>
    </row>
    <row r="59" spans="1:51" s="77" customFormat="1" ht="30">
      <c r="A59" s="25" t="s">
        <v>239</v>
      </c>
      <c r="B59" s="78" t="str">
        <f>IFERROR(INDEX('REFERENCING &amp; DATABASE'!$E$7:$E$131,MATCH($A59,'REFERENCING &amp; DATABASE'!$D$7:$D$131,0)),"")</f>
        <v>Canvas Webbing Belt</v>
      </c>
      <c r="C59" s="25" t="str">
        <f>IFERROR(INDEX('REFERENCING &amp; DATABASE'!$B$7:$B$131,MATCH($A59,'REFERENCING &amp; DATABASE'!$D$7:$D$131,0)),"")</f>
        <v>ACCESSORIES</v>
      </c>
      <c r="D59" s="25" t="str">
        <f>IFERROR(INDEX('REFERENCING &amp; DATABASE'!$C$7:$C$131,MATCH($A59,'REFERENCING &amp; DATABASE'!$D$7:$D$131,0)),"")</f>
        <v>BELTS</v>
      </c>
      <c r="E59" s="26" t="str">
        <f>IFERROR(INDEX('REFERENCING &amp; DATABASE'!$F$7:$F$131,MATCH($A59,'REFERENCING &amp; DATABASE'!$D$7:$D$131,0)),"")</f>
        <v>A versatile and adjustable belt for casual wear.</v>
      </c>
      <c r="F59" s="28" t="str">
        <f>IFERROR(INDEX('REFERENCING &amp; DATABASE'!$G$7:$G$131,MATCH($A59,'REFERENCING &amp; DATABASE'!$D$7:$D$131,0)),"")</f>
        <v>Black,Brown</v>
      </c>
      <c r="G59" s="39">
        <f>IFERROR(INDEX('REFERENCING &amp; DATABASE'!$H$7:$H$131,MATCH($A59,'REFERENCING &amp; DATABASE'!$D$7:$D$131,0)),"")</f>
        <v>35</v>
      </c>
      <c r="H59" s="28">
        <f>IFERROR(INDEX('WHS STK MGT &amp; ALLOC.'!$I:$I,MATCH($A59,'WHS STK MGT &amp; ALLOC.'!$A:$A,0)),"")</f>
        <v>110</v>
      </c>
      <c r="I59" s="60">
        <f>SUM('WHS STK MGT &amp; ALLOC.'!$K50,'WHS STK MGT &amp; ALLOC.'!$M50,'WHS STK MGT &amp; ALLOC.'!$O50,'WHS STK MGT &amp; ALLOC.'!$Q50,'WHS STK MGT &amp; ALLOC.'!$S50,'WHS STK MGT &amp; ALLOC.'!$U50,'WHS STK MGT &amp; ALLOC.'!$W50,'WHS STK MGT &amp; ALLOC.'!$Y50)</f>
        <v>10</v>
      </c>
      <c r="J59" s="60">
        <f>SUMIF('IN STORE SALES RECORD'!$D:$D,'STORE STK &amp; SALES MGT'!$A59,'IN STORE SALES RECORD'!$E:$E)</f>
        <v>0</v>
      </c>
      <c r="K59" s="60">
        <f>SUMIF('IN STORE SALES RECORD'!$D:$D,'STORE STK &amp; SALES MGT'!$A59,'IN STORE SALES RECORD'!$H:$H)</f>
        <v>0</v>
      </c>
      <c r="L59" s="60">
        <f t="shared" si="6"/>
        <v>0</v>
      </c>
      <c r="M59" s="60">
        <f t="shared" si="7"/>
        <v>0</v>
      </c>
      <c r="N59" s="60" cm="1">
        <f t="array" ref="N59">_xlfn.IFS($P$5 = "WEEK 1",'WHS STK MGT &amp; ALLOC.'!$K59,$P$5 = "WEEK 2",'WHS STK MGT &amp; ALLOC.'!$M59,$P$5 = "WEEK 3",'WHS STK MGT &amp; ALLOC.'!$O59,$P$5 = "WEEK 4",'WHS STK MGT &amp; ALLOC.'!Q59,$P$5 ="WEEK 5",'WHS STK MGT &amp; ALLOC.'!$S59)</f>
        <v>10</v>
      </c>
      <c r="O59" s="60" cm="1">
        <f t="array" ref="O59">_xlfn.SWITCH($P$5,
  "WEEK 1", 'WHS STK MGT &amp; ALLOC.'!$H59,
  "WEEK 2", 'WHS STK MGT &amp; ALLOC.'!$H59 - 'WHS STK MGT &amp; ALLOC.'!$K59,
  "WEEK 3", 'WHS STK MGT &amp; ALLOC.'!$H59 - ('WHS STK MGT &amp; ALLOC.'!$K59 + 'WHS STK MGT &amp; ALLOC.'!$M59),
  "WEEK 4", 'WHS STK MGT &amp; ALLOC.'!$H59 - ('WHS STK MGT &amp; ALLOC.'!$K59 + 'WHS STK MGT &amp; ALLOC.'!$M59 + 'WHS STK MGT &amp; ALLOC.'!$O59),
  "WEEK 5", 'WHS STK MGT &amp; ALLOC.'!$H59 - ('WHS STK MGT &amp; ALLOC.'!$K59 + 'WHS STK MGT &amp; ALLOC.'!$M59 + 'WHS STK MGT &amp; ALLOC.'!$O59 + 'WHS STK MGT &amp; ALLOC.'!$Q59),
  "WEEK 6", 'WHS STK MGT &amp; ALLOC.'!$H59 - ('WHS STK MGT &amp; ALLOC.'!$K59 + 'WHS STK MGT &amp; ALLOC.'!$M59 + 'WHS STK MGT &amp; ALLOC.'!$O59 + 'WHS STK MGT &amp; ALLOC.'!$Q59 + 'WHS STK MGT &amp; ALLOC.'!$S59),
  "WEEK 7", 'WHS STK MGT &amp; ALLOC.'!$H45 - ('WHS STK MGT &amp; ALLOC.'!$K45 + 'WHS STK MGT &amp; ALLOC.'!$M45 + 'WHS STK MGT &amp; ALLOC.'!$O45 + 'WHS STK MGT &amp; ALLOC.'!$Q45 + 'WHS STK MGT &amp; ALLOC.'!$S45 + 'WHS STK MGT &amp; ALLOC.'!$U45),
  "Other Weeks", 0
)</f>
        <v>120</v>
      </c>
      <c r="P59" s="60">
        <f>SUMIFS('IN STORE SALES RECORD'!$E:$E,'IN STORE SALES RECORD'!$D:$D,'STORE STK &amp; SALES MGT'!$A59,'IN STORE SALES RECORD'!$A:$A,'STORE STK &amp; SALES MGT'!$P$5)</f>
        <v>0</v>
      </c>
      <c r="Q59" s="60">
        <f>SUMIFS('IN STORE SALES RECORD'!$H:$H,'IN STORE SALES RECORD'!$D:$D,'STORE STK &amp; SALES MGT'!$A59,'IN STORE SALES RECORD'!$A:$A,'STORE STK &amp; SALES MGT'!$P$5)</f>
        <v>0</v>
      </c>
      <c r="R59" s="60">
        <f>IFERROR(ROUND(Q59/SUMIF('IN STORE SALES RECORD'!$A:$A,'STORE STK &amp; SALES MGT'!$P$5,'IN STORE SALES RECORD'!$H:$H)*100,3),"")</f>
        <v>0</v>
      </c>
      <c r="S59" s="60" cm="1">
        <f t="array" ref="S59">_xlfn.IFS($P$5 ="WEEK 1",'WHS STK MGT &amp; ALLOC.'!$H59-'WHS STK MGT &amp; ALLOC.'!$K59,$P$5 ="WEEK 2",'WHS STK MGT &amp; ALLOC.'!H59-('WHS STK MGT &amp; ALLOC.'!$K59+'WHS STK MGT &amp; ALLOC.'!$M59),$P$5 ="WEEK 3",'WHS STK MGT &amp; ALLOC.'!$H59-'WHS STK MGT &amp; ALLOC.'!$K59-'WHS STK MGT &amp; ALLOC.'!$M59-'WHS STK MGT &amp; ALLOC.'!$O59,$P$5 = "WEEK 4",'WHS STK MGT &amp; ALLOC.'!H59-'WHS STK MGT &amp; ALLOC.'!$K59-'WHS STK MGT &amp; ALLOC.'!$M59-'WHS STK MGT &amp; ALLOC.'!$O59-'WHS STK MGT &amp; ALLOC.'!$Q59,$P$5 = "WEEK 5",'WHS STK MGT &amp; ALLOC.'!H59-'WHS STK MGT &amp; ALLOC.'!$K59-'WHS STK MGT &amp; ALLOC.'!$M59-'WHS STK MGT &amp; ALLOC.'!$O59-'WHS STK MGT &amp; ALLOC.'!$Q59-'WHS STK MGT &amp; ALLOC.'!$S59)</f>
        <v>110</v>
      </c>
      <c r="T59" s="99">
        <f>SUMIFS('IN STORE SALES RECORD'!$E:$E,'IN STORE SALES RECORD'!$C:$C,'STORE STK &amp; SALES MGT'!$U$5,'STORE STK &amp; SALES MGT'!$A:$A,'STORE STK &amp; SALES MGT'!$A59)</f>
        <v>0</v>
      </c>
      <c r="U59" s="60">
        <f>SUMIFS('IN STORE SALES RECORD'!$H:$H,'IN STORE SALES RECORD'!$D:$D,'STORE STK &amp; SALES MGT'!$A59,'IN STORE SALES RECORD'!$C:$C,'STORE STK &amp; SALES MGT'!$U$5)</f>
        <v>0</v>
      </c>
      <c r="V59" s="99">
        <f>IFERROR(ROUND(SUMIFS('IN STORE SALES RECORD'!$H:$H,'IN STORE SALES RECORD'!$C:$C,'STORE STK &amp; SALES MGT'!$U$5,'STORE STK &amp; SALES MGT'!$A:$A,'STORE STK &amp; SALES MGT'!$A59)/SUMIF('IN STORE SALES RECORD'!$C:$C,'STORE STK &amp; SALES MGT'!$U$5,'IN STORE SALES RECORD'!$H:$H)*100,3),"")</f>
        <v>0</v>
      </c>
    </row>
    <row r="60" spans="1:51" s="77" customFormat="1" ht="30">
      <c r="A60" s="25" t="s">
        <v>240</v>
      </c>
      <c r="B60" s="78" t="str">
        <f>IFERROR(INDEX('REFERENCING &amp; DATABASE'!$E$7:$E$131,MATCH($A60,'REFERENCING &amp; DATABASE'!$D$7:$D$131,0)),"")</f>
        <v>Cozy Cable-Knit Beanie</v>
      </c>
      <c r="C60" s="25" t="str">
        <f>IFERROR(INDEX('REFERENCING &amp; DATABASE'!$B$7:$B$131,MATCH($A60,'REFERENCING &amp; DATABASE'!$D$7:$D$131,0)),"")</f>
        <v>ACCESSORIES</v>
      </c>
      <c r="D60" s="25" t="str">
        <f>IFERROR(INDEX('REFERENCING &amp; DATABASE'!$C$7:$C$131,MATCH($A60,'REFERENCING &amp; DATABASE'!$D$7:$D$131,0)),"")</f>
        <v>HATS</v>
      </c>
      <c r="E60" s="26" t="str">
        <f>IFERROR(INDEX('REFERENCING &amp; DATABASE'!$F$7:$F$131,MATCH($A60,'REFERENCING &amp; DATABASE'!$D$7:$D$131,0)),"")</f>
        <v>: A warm and stylish beanie perfect for winter weather.</v>
      </c>
      <c r="F60" s="28" t="str">
        <f>IFERROR(INDEX('REFERENCING &amp; DATABASE'!$G$7:$G$131,MATCH($A60,'REFERENCING &amp; DATABASE'!$D$7:$D$131,0)),"")</f>
        <v>Blue</v>
      </c>
      <c r="G60" s="39">
        <f>IFERROR(INDEX('REFERENCING &amp; DATABASE'!$H$7:$H$131,MATCH($A60,'REFERENCING &amp; DATABASE'!$D$7:$D$131,0)),"")</f>
        <v>7</v>
      </c>
      <c r="H60" s="28">
        <f>IFERROR(INDEX('WHS STK MGT &amp; ALLOC.'!$I:$I,MATCH($A60,'WHS STK MGT &amp; ALLOC.'!$A:$A,0)),"")</f>
        <v>115</v>
      </c>
      <c r="I60" s="60">
        <f>SUM('WHS STK MGT &amp; ALLOC.'!$K51,'WHS STK MGT &amp; ALLOC.'!$M51,'WHS STK MGT &amp; ALLOC.'!$O51,'WHS STK MGT &amp; ALLOC.'!$Q51,'WHS STK MGT &amp; ALLOC.'!$S51,'WHS STK MGT &amp; ALLOC.'!$U51,'WHS STK MGT &amp; ALLOC.'!$W51,'WHS STK MGT &amp; ALLOC.'!$Y51)</f>
        <v>10</v>
      </c>
      <c r="J60" s="60">
        <f>SUMIF('IN STORE SALES RECORD'!$D:$D,'STORE STK &amp; SALES MGT'!$A60,'IN STORE SALES RECORD'!$E:$E)</f>
        <v>75</v>
      </c>
      <c r="K60" s="60">
        <f>SUMIF('IN STORE SALES RECORD'!$D:$D,'STORE STK &amp; SALES MGT'!$A60,'IN STORE SALES RECORD'!$H:$H)</f>
        <v>1875</v>
      </c>
      <c r="L60" s="60">
        <f t="shared" si="6"/>
        <v>4.5960000000000001</v>
      </c>
      <c r="M60" s="60">
        <f t="shared" si="7"/>
        <v>750</v>
      </c>
      <c r="N60" s="60" cm="1">
        <f t="array" ref="N60">_xlfn.IFS($P$5 = "WEEK 1",'WHS STK MGT &amp; ALLOC.'!$K60,$P$5 = "WEEK 2",'WHS STK MGT &amp; ALLOC.'!$M60,$P$5 = "WEEK 3",'WHS STK MGT &amp; ALLOC.'!$O60,$P$5 = "WEEK 4",'WHS STK MGT &amp; ALLOC.'!Q60,$P$5 ="WEEK 5",'WHS STK MGT &amp; ALLOC.'!$S60)</f>
        <v>85</v>
      </c>
      <c r="O60" s="60" cm="1">
        <f t="array" ref="O60">_xlfn.SWITCH($P$5,
  "WEEK 1", 'WHS STK MGT &amp; ALLOC.'!$H60,
  "WEEK 2", 'WHS STK MGT &amp; ALLOC.'!$H60 - 'WHS STK MGT &amp; ALLOC.'!$K60,
  "WEEK 3", 'WHS STK MGT &amp; ALLOC.'!$H60 - ('WHS STK MGT &amp; ALLOC.'!$K60 + 'WHS STK MGT &amp; ALLOC.'!$M60),
  "WEEK 4", 'WHS STK MGT &amp; ALLOC.'!$H60 - ('WHS STK MGT &amp; ALLOC.'!$K60 + 'WHS STK MGT &amp; ALLOC.'!$M60 + 'WHS STK MGT &amp; ALLOC.'!$O60),
  "WEEK 5", 'WHS STK MGT &amp; ALLOC.'!$H60 - ('WHS STK MGT &amp; ALLOC.'!$K60 + 'WHS STK MGT &amp; ALLOC.'!$M60 + 'WHS STK MGT &amp; ALLOC.'!$O60 + 'WHS STK MGT &amp; ALLOC.'!$Q60),
  "WEEK 6", 'WHS STK MGT &amp; ALLOC.'!$H60 - ('WHS STK MGT &amp; ALLOC.'!$K60 + 'WHS STK MGT &amp; ALLOC.'!$M60 + 'WHS STK MGT &amp; ALLOC.'!$O60 + 'WHS STK MGT &amp; ALLOC.'!$Q60 + 'WHS STK MGT &amp; ALLOC.'!$S60),
  "WEEK 7", 'WHS STK MGT &amp; ALLOC.'!$H48 - ('WHS STK MGT &amp; ALLOC.'!$K48 + 'WHS STK MGT &amp; ALLOC.'!$M48 + 'WHS STK MGT &amp; ALLOC.'!$O48 + 'WHS STK MGT &amp; ALLOC.'!$Q48 + 'WHS STK MGT &amp; ALLOC.'!$S48 + 'WHS STK MGT &amp; ALLOC.'!$U48),
  "Other Weeks", 0
)</f>
        <v>200</v>
      </c>
      <c r="P60" s="60">
        <f>SUMIFS('IN STORE SALES RECORD'!$E:$E,'IN STORE SALES RECORD'!$D:$D,'STORE STK &amp; SALES MGT'!$A60,'IN STORE SALES RECORD'!$A:$A,'STORE STK &amp; SALES MGT'!$P$5)</f>
        <v>75</v>
      </c>
      <c r="Q60" s="60">
        <f>SUMIFS('IN STORE SALES RECORD'!$H:$H,'IN STORE SALES RECORD'!$D:$D,'STORE STK &amp; SALES MGT'!$A60,'IN STORE SALES RECORD'!$A:$A,'STORE STK &amp; SALES MGT'!$P$5)</f>
        <v>1875</v>
      </c>
      <c r="R60" s="60">
        <f>IFERROR(ROUND(Q60/SUMIF('IN STORE SALES RECORD'!$A:$A,'STORE STK &amp; SALES MGT'!$P$5,'IN STORE SALES RECORD'!$H:$H)*100,3),"")</f>
        <v>9.3539999999999992</v>
      </c>
      <c r="S60" s="60" cm="1">
        <f t="array" ref="S60">_xlfn.IFS($P$5 ="WEEK 1",'WHS STK MGT &amp; ALLOC.'!$H60-'WHS STK MGT &amp; ALLOC.'!$K60,$P$5 ="WEEK 2",'WHS STK MGT &amp; ALLOC.'!H60-('WHS STK MGT &amp; ALLOC.'!$K60+'WHS STK MGT &amp; ALLOC.'!$M60),$P$5 ="WEEK 3",'WHS STK MGT &amp; ALLOC.'!$H60-'WHS STK MGT &amp; ALLOC.'!$K60-'WHS STK MGT &amp; ALLOC.'!$M60-'WHS STK MGT &amp; ALLOC.'!$O60,$P$5 = "WEEK 4",'WHS STK MGT &amp; ALLOC.'!H60-'WHS STK MGT &amp; ALLOC.'!$K60-'WHS STK MGT &amp; ALLOC.'!$M60-'WHS STK MGT &amp; ALLOC.'!$O60-'WHS STK MGT &amp; ALLOC.'!$Q60,$P$5 = "WEEK 5",'WHS STK MGT &amp; ALLOC.'!H60-'WHS STK MGT &amp; ALLOC.'!$K60-'WHS STK MGT &amp; ALLOC.'!$M60-'WHS STK MGT &amp; ALLOC.'!$O60-'WHS STK MGT &amp; ALLOC.'!$Q60-'WHS STK MGT &amp; ALLOC.'!$S60)</f>
        <v>115</v>
      </c>
      <c r="T60" s="99">
        <f>SUMIFS('IN STORE SALES RECORD'!$E:$E,'IN STORE SALES RECORD'!$C:$C,'STORE STK &amp; SALES MGT'!$U$5,'STORE STK &amp; SALES MGT'!$A:$A,'STORE STK &amp; SALES MGT'!$A60)</f>
        <v>0</v>
      </c>
      <c r="U60" s="60">
        <f>SUMIFS('IN STORE SALES RECORD'!$H:$H,'IN STORE SALES RECORD'!$D:$D,'STORE STK &amp; SALES MGT'!$A60,'IN STORE SALES RECORD'!$C:$C,'STORE STK &amp; SALES MGT'!$U$5)</f>
        <v>1875</v>
      </c>
      <c r="V60" s="99">
        <f>IFERROR(ROUND(SUMIFS('IN STORE SALES RECORD'!$H:$H,'IN STORE SALES RECORD'!$C:$C,'STORE STK &amp; SALES MGT'!$U$5,'STORE STK &amp; SALES MGT'!$A:$A,'STORE STK &amp; SALES MGT'!$A60)/SUMIF('IN STORE SALES RECORD'!$C:$C,'STORE STK &amp; SALES MGT'!$U$5,'IN STORE SALES RECORD'!$H:$H)*100,3),"")</f>
        <v>0</v>
      </c>
    </row>
    <row r="61" spans="1:51" s="77" customFormat="1" ht="30">
      <c r="A61" s="25" t="s">
        <v>241</v>
      </c>
      <c r="B61" s="78" t="str">
        <f>IFERROR(INDEX('REFERENCING &amp; DATABASE'!$E$7:$E$131,MATCH($A61,'REFERENCING &amp; DATABASE'!$D$7:$D$131,0)),"")</f>
        <v>Classic Baseball Cap</v>
      </c>
      <c r="C61" s="25" t="str">
        <f>IFERROR(INDEX('REFERENCING &amp; DATABASE'!$B$7:$B$131,MATCH($A61,'REFERENCING &amp; DATABASE'!$D$7:$D$131,0)),"")</f>
        <v>ACCESSORIES</v>
      </c>
      <c r="D61" s="25" t="str">
        <f>IFERROR(INDEX('REFERENCING &amp; DATABASE'!$C$7:$C$131,MATCH($A61,'REFERENCING &amp; DATABASE'!$D$7:$D$131,0)),"")</f>
        <v>HATS</v>
      </c>
      <c r="E61" s="26" t="str">
        <f>IFERROR(INDEX('REFERENCING &amp; DATABASE'!$F$7:$F$131,MATCH($A61,'REFERENCING &amp; DATABASE'!$D$7:$D$131,0)),"")</f>
        <v>: A timeless and versatile cap with an adjustable strap.</v>
      </c>
      <c r="F61" s="28" t="str">
        <f>IFERROR(INDEX('REFERENCING &amp; DATABASE'!$G$7:$G$131,MATCH($A61,'REFERENCING &amp; DATABASE'!$D$7:$D$131,0)),"")</f>
        <v>Grey,Orange</v>
      </c>
      <c r="G61" s="39">
        <f>IFERROR(INDEX('REFERENCING &amp; DATABASE'!$H$7:$H$131,MATCH($A61,'REFERENCING &amp; DATABASE'!$D$7:$D$131,0)),"")</f>
        <v>7</v>
      </c>
      <c r="H61" s="28">
        <f>IFERROR(INDEX('WHS STK MGT &amp; ALLOC.'!$I:$I,MATCH($A61,'WHS STK MGT &amp; ALLOC.'!$A:$A,0)),"")</f>
        <v>295</v>
      </c>
      <c r="I61" s="60">
        <f>SUM('WHS STK MGT &amp; ALLOC.'!$K52,'WHS STK MGT &amp; ALLOC.'!$M52,'WHS STK MGT &amp; ALLOC.'!$O52,'WHS STK MGT &amp; ALLOC.'!$Q52,'WHS STK MGT &amp; ALLOC.'!$S52,'WHS STK MGT &amp; ALLOC.'!$U52,'WHS STK MGT &amp; ALLOC.'!$W52,'WHS STK MGT &amp; ALLOC.'!$Y52)</f>
        <v>90</v>
      </c>
      <c r="J61" s="60">
        <f>SUMIF('IN STORE SALES RECORD'!$D:$D,'STORE STK &amp; SALES MGT'!$A61,'IN STORE SALES RECORD'!$E:$E)</f>
        <v>0</v>
      </c>
      <c r="K61" s="60">
        <f>SUMIF('IN STORE SALES RECORD'!$D:$D,'STORE STK &amp; SALES MGT'!$A61,'IN STORE SALES RECORD'!$H:$H)</f>
        <v>0</v>
      </c>
      <c r="L61" s="60">
        <f t="shared" si="6"/>
        <v>0</v>
      </c>
      <c r="M61" s="60">
        <f t="shared" si="7"/>
        <v>0</v>
      </c>
      <c r="N61" s="60" cm="1">
        <f t="array" ref="N61">_xlfn.IFS($P$5 = "WEEK 1",'WHS STK MGT &amp; ALLOC.'!$K61,$P$5 = "WEEK 2",'WHS STK MGT &amp; ALLOC.'!$M61,$P$5 = "WEEK 3",'WHS STK MGT &amp; ALLOC.'!$O61,$P$5 = "WEEK 4",'WHS STK MGT &amp; ALLOC.'!Q61,$P$5 ="WEEK 5",'WHS STK MGT &amp; ALLOC.'!$S61)</f>
        <v>10</v>
      </c>
      <c r="O61" s="60" cm="1">
        <f t="array" ref="O61">_xlfn.SWITCH($P$5,
  "WEEK 1", 'WHS STK MGT &amp; ALLOC.'!$H61,
  "WEEK 2", 'WHS STK MGT &amp; ALLOC.'!$H61 - 'WHS STK MGT &amp; ALLOC.'!$K61,
  "WEEK 3", 'WHS STK MGT &amp; ALLOC.'!$H61 - ('WHS STK MGT &amp; ALLOC.'!$K61 + 'WHS STK MGT &amp; ALLOC.'!$M61),
  "WEEK 4", 'WHS STK MGT &amp; ALLOC.'!$H61 - ('WHS STK MGT &amp; ALLOC.'!$K61 + 'WHS STK MGT &amp; ALLOC.'!$M61 + 'WHS STK MGT &amp; ALLOC.'!$O61),
  "WEEK 5", 'WHS STK MGT &amp; ALLOC.'!$H61 - ('WHS STK MGT &amp; ALLOC.'!$K61 + 'WHS STK MGT &amp; ALLOC.'!$M61 + 'WHS STK MGT &amp; ALLOC.'!$O61 + 'WHS STK MGT &amp; ALLOC.'!$Q61),
  "WEEK 6", 'WHS STK MGT &amp; ALLOC.'!$H61 - ('WHS STK MGT &amp; ALLOC.'!$K61 + 'WHS STK MGT &amp; ALLOC.'!$M61 + 'WHS STK MGT &amp; ALLOC.'!$O61 + 'WHS STK MGT &amp; ALLOC.'!$Q61 + 'WHS STK MGT &amp; ALLOC.'!$S61),
  "WEEK 7", 'WHS STK MGT &amp; ALLOC.'!$H49 - ('WHS STK MGT &amp; ALLOC.'!$K49 + 'WHS STK MGT &amp; ALLOC.'!$M49 + 'WHS STK MGT &amp; ALLOC.'!$O49 + 'WHS STK MGT &amp; ALLOC.'!$Q49 + 'WHS STK MGT &amp; ALLOC.'!$S49 + 'WHS STK MGT &amp; ALLOC.'!$U49),
  "Other Weeks", 0
)</f>
        <v>305</v>
      </c>
      <c r="P61" s="60">
        <f>SUMIFS('IN STORE SALES RECORD'!$E:$E,'IN STORE SALES RECORD'!$D:$D,'STORE STK &amp; SALES MGT'!$A61,'IN STORE SALES RECORD'!$A:$A,'STORE STK &amp; SALES MGT'!$P$5)</f>
        <v>0</v>
      </c>
      <c r="Q61" s="60">
        <f>SUMIFS('IN STORE SALES RECORD'!$H:$H,'IN STORE SALES RECORD'!$D:$D,'STORE STK &amp; SALES MGT'!$A61,'IN STORE SALES RECORD'!$A:$A,'STORE STK &amp; SALES MGT'!$P$5)</f>
        <v>0</v>
      </c>
      <c r="R61" s="60">
        <f>IFERROR(ROUND(Q61/SUMIF('IN STORE SALES RECORD'!$A:$A,'STORE STK &amp; SALES MGT'!$P$5,'IN STORE SALES RECORD'!$H:$H)*100,3),"")</f>
        <v>0</v>
      </c>
      <c r="S61" s="60" cm="1">
        <f t="array" ref="S61">_xlfn.IFS($P$5 ="WEEK 1",'WHS STK MGT &amp; ALLOC.'!$H61-'WHS STK MGT &amp; ALLOC.'!$K61,$P$5 ="WEEK 2",'WHS STK MGT &amp; ALLOC.'!H61-('WHS STK MGT &amp; ALLOC.'!$K61+'WHS STK MGT &amp; ALLOC.'!$M61),$P$5 ="WEEK 3",'WHS STK MGT &amp; ALLOC.'!$H61-'WHS STK MGT &amp; ALLOC.'!$K61-'WHS STK MGT &amp; ALLOC.'!$M61-'WHS STK MGT &amp; ALLOC.'!$O61,$P$5 = "WEEK 4",'WHS STK MGT &amp; ALLOC.'!H61-'WHS STK MGT &amp; ALLOC.'!$K61-'WHS STK MGT &amp; ALLOC.'!$M61-'WHS STK MGT &amp; ALLOC.'!$O61-'WHS STK MGT &amp; ALLOC.'!$Q61,$P$5 = "WEEK 5",'WHS STK MGT &amp; ALLOC.'!H61-'WHS STK MGT &amp; ALLOC.'!$K61-'WHS STK MGT &amp; ALLOC.'!$M61-'WHS STK MGT &amp; ALLOC.'!$O61-'WHS STK MGT &amp; ALLOC.'!$Q61-'WHS STK MGT &amp; ALLOC.'!$S61)</f>
        <v>295</v>
      </c>
      <c r="T61" s="99">
        <f>SUMIFS('IN STORE SALES RECORD'!$E:$E,'IN STORE SALES RECORD'!$C:$C,'STORE STK &amp; SALES MGT'!$U$5,'STORE STK &amp; SALES MGT'!$A:$A,'STORE STK &amp; SALES MGT'!$A61)</f>
        <v>0</v>
      </c>
      <c r="U61" s="60">
        <f>SUMIFS('IN STORE SALES RECORD'!$H:$H,'IN STORE SALES RECORD'!$D:$D,'STORE STK &amp; SALES MGT'!$A61,'IN STORE SALES RECORD'!$C:$C,'STORE STK &amp; SALES MGT'!$U$5)</f>
        <v>0</v>
      </c>
      <c r="V61" s="99">
        <f>IFERROR(ROUND(SUMIFS('IN STORE SALES RECORD'!$H:$H,'IN STORE SALES RECORD'!$C:$C,'STORE STK &amp; SALES MGT'!$U$5,'STORE STK &amp; SALES MGT'!$A:$A,'STORE STK &amp; SALES MGT'!$A61)/SUMIF('IN STORE SALES RECORD'!$C:$C,'STORE STK &amp; SALES MGT'!$U$5,'IN STORE SALES RECORD'!$H:$H)*100,3),"")</f>
        <v>0</v>
      </c>
    </row>
    <row r="62" spans="1:51" s="77" customFormat="1" ht="30">
      <c r="A62" s="25" t="s">
        <v>242</v>
      </c>
      <c r="B62" s="78" t="str">
        <f>IFERROR(INDEX('REFERENCING &amp; DATABASE'!$E$7:$E$131,MATCH($A62,'REFERENCING &amp; DATABASE'!$D$7:$D$131,0)),"")</f>
        <v>Reversible Bucket Hat</v>
      </c>
      <c r="C62" s="25" t="str">
        <f>IFERROR(INDEX('REFERENCING &amp; DATABASE'!$B$7:$B$131,MATCH($A62,'REFERENCING &amp; DATABASE'!$D$7:$D$131,0)),"")</f>
        <v>ACCESSORIES</v>
      </c>
      <c r="D62" s="25" t="str">
        <f>IFERROR(INDEX('REFERENCING &amp; DATABASE'!$C$7:$C$131,MATCH($A62,'REFERENCING &amp; DATABASE'!$D$7:$D$131,0)),"")</f>
        <v>HATS</v>
      </c>
      <c r="E62" s="26" t="str">
        <f>IFERROR(INDEX('REFERENCING &amp; DATABASE'!$F$7:$F$131,MATCH($A62,'REFERENCING &amp; DATABASE'!$D$7:$D$131,0)),"")</f>
        <v>: A trendy and practical bucket hat with two color options.</v>
      </c>
      <c r="F62" s="28" t="str">
        <f>IFERROR(INDEX('REFERENCING &amp; DATABASE'!$G$7:$G$131,MATCH($A62,'REFERENCING &amp; DATABASE'!$D$7:$D$131,0)),"")</f>
        <v>Brown</v>
      </c>
      <c r="G62" s="39">
        <f>IFERROR(INDEX('REFERENCING &amp; DATABASE'!$H$7:$H$131,MATCH($A62,'REFERENCING &amp; DATABASE'!$D$7:$D$131,0)),"")</f>
        <v>7</v>
      </c>
      <c r="H62" s="28">
        <f>IFERROR(INDEX('WHS STK MGT &amp; ALLOC.'!$I:$I,MATCH($A62,'WHS STK MGT &amp; ALLOC.'!$A:$A,0)),"")</f>
        <v>93</v>
      </c>
      <c r="I62" s="60">
        <f>SUM('WHS STK MGT &amp; ALLOC.'!$K53,'WHS STK MGT &amp; ALLOC.'!$M53,'WHS STK MGT &amp; ALLOC.'!$O53,'WHS STK MGT &amp; ALLOC.'!$Q53,'WHS STK MGT &amp; ALLOC.'!$S53,'WHS STK MGT &amp; ALLOC.'!$U53,'WHS STK MGT &amp; ALLOC.'!$W53,'WHS STK MGT &amp; ALLOC.'!$Y53)</f>
        <v>10</v>
      </c>
      <c r="J62" s="60">
        <f>SUMIF('IN STORE SALES RECORD'!$D:$D,'STORE STK &amp; SALES MGT'!$A62,'IN STORE SALES RECORD'!$E:$E)</f>
        <v>0</v>
      </c>
      <c r="K62" s="60">
        <f>SUMIF('IN STORE SALES RECORD'!$D:$D,'STORE STK &amp; SALES MGT'!$A62,'IN STORE SALES RECORD'!$H:$H)</f>
        <v>0</v>
      </c>
      <c r="L62" s="60">
        <f t="shared" si="6"/>
        <v>0</v>
      </c>
      <c r="M62" s="60">
        <f t="shared" si="7"/>
        <v>0</v>
      </c>
      <c r="N62" s="60" cm="1">
        <f t="array" ref="N62">_xlfn.IFS($P$5 = "WEEK 1",'WHS STK MGT &amp; ALLOC.'!$K62,$P$5 = "WEEK 2",'WHS STK MGT &amp; ALLOC.'!$M62,$P$5 = "WEEK 3",'WHS STK MGT &amp; ALLOC.'!$O62,$P$5 = "WEEK 4",'WHS STK MGT &amp; ALLOC.'!Q62,$P$5 ="WEEK 5",'WHS STK MGT &amp; ALLOC.'!$S62)</f>
        <v>10</v>
      </c>
      <c r="O62" s="60" cm="1">
        <f t="array" ref="O62">_xlfn.SWITCH($P$5,
  "WEEK 1", 'WHS STK MGT &amp; ALLOC.'!$H62,
  "WEEK 2", 'WHS STK MGT &amp; ALLOC.'!$H62 - 'WHS STK MGT &amp; ALLOC.'!$K62,
  "WEEK 3", 'WHS STK MGT &amp; ALLOC.'!$H62 - ('WHS STK MGT &amp; ALLOC.'!$K62 + 'WHS STK MGT &amp; ALLOC.'!$M62),
  "WEEK 4", 'WHS STK MGT &amp; ALLOC.'!$H62 - ('WHS STK MGT &amp; ALLOC.'!$K62 + 'WHS STK MGT &amp; ALLOC.'!$M62 + 'WHS STK MGT &amp; ALLOC.'!$O62),
  "WEEK 5", 'WHS STK MGT &amp; ALLOC.'!$H62 - ('WHS STK MGT &amp; ALLOC.'!$K62 + 'WHS STK MGT &amp; ALLOC.'!$M62 + 'WHS STK MGT &amp; ALLOC.'!$O62 + 'WHS STK MGT &amp; ALLOC.'!$Q62),
  "WEEK 6", 'WHS STK MGT &amp; ALLOC.'!$H62 - ('WHS STK MGT &amp; ALLOC.'!$K62 + 'WHS STK MGT &amp; ALLOC.'!$M62 + 'WHS STK MGT &amp; ALLOC.'!$O62 + 'WHS STK MGT &amp; ALLOC.'!$Q62 + 'WHS STK MGT &amp; ALLOC.'!$S62),
  "WEEK 7", 'WHS STK MGT &amp; ALLOC.'!$H50 - ('WHS STK MGT &amp; ALLOC.'!$K50 + 'WHS STK MGT &amp; ALLOC.'!$M50 + 'WHS STK MGT &amp; ALLOC.'!$O50 + 'WHS STK MGT &amp; ALLOC.'!$Q50 + 'WHS STK MGT &amp; ALLOC.'!$S50 + 'WHS STK MGT &amp; ALLOC.'!$U50),
  "Other Weeks", 0
)</f>
        <v>103</v>
      </c>
      <c r="P62" s="60">
        <f>SUMIFS('IN STORE SALES RECORD'!$E:$E,'IN STORE SALES RECORD'!$D:$D,'STORE STK &amp; SALES MGT'!$A62,'IN STORE SALES RECORD'!$A:$A,'STORE STK &amp; SALES MGT'!$P$5)</f>
        <v>0</v>
      </c>
      <c r="Q62" s="60">
        <f>SUMIFS('IN STORE SALES RECORD'!$H:$H,'IN STORE SALES RECORD'!$D:$D,'STORE STK &amp; SALES MGT'!$A62,'IN STORE SALES RECORD'!$A:$A,'STORE STK &amp; SALES MGT'!$P$5)</f>
        <v>0</v>
      </c>
      <c r="R62" s="60">
        <f>IFERROR(ROUND(Q62/SUMIF('IN STORE SALES RECORD'!$A:$A,'STORE STK &amp; SALES MGT'!$P$5,'IN STORE SALES RECORD'!$H:$H)*100,3),"")</f>
        <v>0</v>
      </c>
      <c r="S62" s="60" cm="1">
        <f t="array" ref="S62">_xlfn.IFS($P$5 ="WEEK 1",'WHS STK MGT &amp; ALLOC.'!$H62-'WHS STK MGT &amp; ALLOC.'!$K62,$P$5 ="WEEK 2",'WHS STK MGT &amp; ALLOC.'!H62-('WHS STK MGT &amp; ALLOC.'!$K62+'WHS STK MGT &amp; ALLOC.'!$M62),$P$5 ="WEEK 3",'WHS STK MGT &amp; ALLOC.'!$H62-'WHS STK MGT &amp; ALLOC.'!$K62-'WHS STK MGT &amp; ALLOC.'!$M62-'WHS STK MGT &amp; ALLOC.'!$O62,$P$5 = "WEEK 4",'WHS STK MGT &amp; ALLOC.'!H62-'WHS STK MGT &amp; ALLOC.'!$K62-'WHS STK MGT &amp; ALLOC.'!$M62-'WHS STK MGT &amp; ALLOC.'!$O62-'WHS STK MGT &amp; ALLOC.'!$Q62,$P$5 = "WEEK 5",'WHS STK MGT &amp; ALLOC.'!H62-'WHS STK MGT &amp; ALLOC.'!$K62-'WHS STK MGT &amp; ALLOC.'!$M62-'WHS STK MGT &amp; ALLOC.'!$O62-'WHS STK MGT &amp; ALLOC.'!$Q62-'WHS STK MGT &amp; ALLOC.'!$S62)</f>
        <v>93</v>
      </c>
      <c r="T62" s="99">
        <f>SUMIFS('IN STORE SALES RECORD'!$E:$E,'IN STORE SALES RECORD'!$C:$C,'STORE STK &amp; SALES MGT'!$U$5,'STORE STK &amp; SALES MGT'!$A:$A,'STORE STK &amp; SALES MGT'!$A62)</f>
        <v>0</v>
      </c>
      <c r="U62" s="60">
        <f>SUMIFS('IN STORE SALES RECORD'!$H:$H,'IN STORE SALES RECORD'!$D:$D,'STORE STK &amp; SALES MGT'!$A62,'IN STORE SALES RECORD'!$C:$C,'STORE STK &amp; SALES MGT'!$U$5)</f>
        <v>0</v>
      </c>
      <c r="V62" s="99">
        <f>IFERROR(ROUND(SUMIFS('IN STORE SALES RECORD'!$H:$H,'IN STORE SALES RECORD'!$C:$C,'STORE STK &amp; SALES MGT'!$U$5,'STORE STK &amp; SALES MGT'!$A:$A,'STORE STK &amp; SALES MGT'!$A62)/SUMIF('IN STORE SALES RECORD'!$C:$C,'STORE STK &amp; SALES MGT'!$U$5,'IN STORE SALES RECORD'!$H:$H)*100,3),"")</f>
        <v>0</v>
      </c>
    </row>
    <row r="63" spans="1:51" s="77" customFormat="1" ht="30">
      <c r="A63" s="25" t="s">
        <v>243</v>
      </c>
      <c r="B63" s="78" t="str">
        <f>IFERROR(INDEX('REFERENCING &amp; DATABASE'!$E$7:$E$131,MATCH($A63,'REFERENCING &amp; DATABASE'!$D$7:$D$131,0)),"")</f>
        <v>Wide-Brim Sun Hat</v>
      </c>
      <c r="C63" s="25" t="str">
        <f>IFERROR(INDEX('REFERENCING &amp; DATABASE'!$B$7:$B$131,MATCH($A63,'REFERENCING &amp; DATABASE'!$D$7:$D$131,0)),"")</f>
        <v>ACCESSORIES</v>
      </c>
      <c r="D63" s="25" t="str">
        <f>IFERROR(INDEX('REFERENCING &amp; DATABASE'!$C$7:$C$131,MATCH($A63,'REFERENCING &amp; DATABASE'!$D$7:$D$131,0)),"")</f>
        <v>HATS</v>
      </c>
      <c r="E63" s="26" t="str">
        <f>IFERROR(INDEX('REFERENCING &amp; DATABASE'!$F$7:$F$131,MATCH($A63,'REFERENCING &amp; DATABASE'!$D$7:$D$131,0)),"")</f>
        <v>: Provides shade and protection from the sun on hot days.</v>
      </c>
      <c r="F63" s="28" t="str">
        <f>IFERROR(INDEX('REFERENCING &amp; DATABASE'!$G$7:$G$131,MATCH($A63,'REFERENCING &amp; DATABASE'!$D$7:$D$131,0)),"")</f>
        <v>Brown</v>
      </c>
      <c r="G63" s="39">
        <f>IFERROR(INDEX('REFERENCING &amp; DATABASE'!$H$7:$H$131,MATCH($A63,'REFERENCING &amp; DATABASE'!$D$7:$D$131,0)),"")</f>
        <v>7</v>
      </c>
      <c r="H63" s="28">
        <f>IFERROR(INDEX('WHS STK MGT &amp; ALLOC.'!$I:$I,MATCH($A63,'WHS STK MGT &amp; ALLOC.'!$A:$A,0)),"")</f>
        <v>190</v>
      </c>
      <c r="I63" s="60">
        <f>SUM('WHS STK MGT &amp; ALLOC.'!$K54,'WHS STK MGT &amp; ALLOC.'!$M54,'WHS STK MGT &amp; ALLOC.'!$O54,'WHS STK MGT &amp; ALLOC.'!$Q54,'WHS STK MGT &amp; ALLOC.'!$S54,'WHS STK MGT &amp; ALLOC.'!$U54,'WHS STK MGT &amp; ALLOC.'!$W54,'WHS STK MGT &amp; ALLOC.'!$Y54)</f>
        <v>10</v>
      </c>
      <c r="J63" s="60">
        <f>SUMIF('IN STORE SALES RECORD'!$D:$D,'STORE STK &amp; SALES MGT'!$A63,'IN STORE SALES RECORD'!$E:$E)</f>
        <v>32</v>
      </c>
      <c r="K63" s="60">
        <f>SUMIF('IN STORE SALES RECORD'!$D:$D,'STORE STK &amp; SALES MGT'!$A63,'IN STORE SALES RECORD'!$H:$H)</f>
        <v>1120</v>
      </c>
      <c r="L63" s="60">
        <f t="shared" si="6"/>
        <v>2.7450000000000001</v>
      </c>
      <c r="M63" s="60">
        <f t="shared" si="7"/>
        <v>320</v>
      </c>
      <c r="N63" s="60" cm="1">
        <f t="array" ref="N63">_xlfn.IFS($P$5 = "WEEK 1",'WHS STK MGT &amp; ALLOC.'!$K63,$P$5 = "WEEK 2",'WHS STK MGT &amp; ALLOC.'!$M63,$P$5 = "WEEK 3",'WHS STK MGT &amp; ALLOC.'!$O63,$P$5 = "WEEK 4",'WHS STK MGT &amp; ALLOC.'!Q63,$P$5 ="WEEK 5",'WHS STK MGT &amp; ALLOC.'!$S63)</f>
        <v>10</v>
      </c>
      <c r="O63" s="60" cm="1">
        <f t="array" ref="O63">_xlfn.SWITCH($P$5,
  "WEEK 1", 'WHS STK MGT &amp; ALLOC.'!$H63,
  "WEEK 2", 'WHS STK MGT &amp; ALLOC.'!$H63 - 'WHS STK MGT &amp; ALLOC.'!$K63,
  "WEEK 3", 'WHS STK MGT &amp; ALLOC.'!$H63 - ('WHS STK MGT &amp; ALLOC.'!$K63 + 'WHS STK MGT &amp; ALLOC.'!$M63),
  "WEEK 4", 'WHS STK MGT &amp; ALLOC.'!$H63 - ('WHS STK MGT &amp; ALLOC.'!$K63 + 'WHS STK MGT &amp; ALLOC.'!$M63 + 'WHS STK MGT &amp; ALLOC.'!$O63),
  "WEEK 5", 'WHS STK MGT &amp; ALLOC.'!$H63 - ('WHS STK MGT &amp; ALLOC.'!$K63 + 'WHS STK MGT &amp; ALLOC.'!$M63 + 'WHS STK MGT &amp; ALLOC.'!$O63 + 'WHS STK MGT &amp; ALLOC.'!$Q63),
  "WEEK 6", 'WHS STK MGT &amp; ALLOC.'!$H63 - ('WHS STK MGT &amp; ALLOC.'!$K63 + 'WHS STK MGT &amp; ALLOC.'!$M63 + 'WHS STK MGT &amp; ALLOC.'!$O63 + 'WHS STK MGT &amp; ALLOC.'!$Q63 + 'WHS STK MGT &amp; ALLOC.'!$S63),
  "WEEK 7", 'WHS STK MGT &amp; ALLOC.'!$H51 - ('WHS STK MGT &amp; ALLOC.'!$K51 + 'WHS STK MGT &amp; ALLOC.'!$M51 + 'WHS STK MGT &amp; ALLOC.'!$O51 + 'WHS STK MGT &amp; ALLOC.'!$Q51 + 'WHS STK MGT &amp; ALLOC.'!$S51 + 'WHS STK MGT &amp; ALLOC.'!$U51),
  "Other Weeks", 0
)</f>
        <v>200</v>
      </c>
      <c r="P63" s="60">
        <f>SUMIFS('IN STORE SALES RECORD'!$E:$E,'IN STORE SALES RECORD'!$D:$D,'STORE STK &amp; SALES MGT'!$A63,'IN STORE SALES RECORD'!$A:$A,'STORE STK &amp; SALES MGT'!$P$5)</f>
        <v>0</v>
      </c>
      <c r="Q63" s="60">
        <f>SUMIFS('IN STORE SALES RECORD'!$H:$H,'IN STORE SALES RECORD'!$D:$D,'STORE STK &amp; SALES MGT'!$A63,'IN STORE SALES RECORD'!$A:$A,'STORE STK &amp; SALES MGT'!$P$5)</f>
        <v>0</v>
      </c>
      <c r="R63" s="60">
        <f>IFERROR(ROUND(Q63/SUMIF('IN STORE SALES RECORD'!$A:$A,'STORE STK &amp; SALES MGT'!$P$5,'IN STORE SALES RECORD'!$H:$H)*100,3),"")</f>
        <v>0</v>
      </c>
      <c r="S63" s="60" cm="1">
        <f t="array" ref="S63">_xlfn.IFS($P$5 ="WEEK 1",'WHS STK MGT &amp; ALLOC.'!$H63-'WHS STK MGT &amp; ALLOC.'!$K63,$P$5 ="WEEK 2",'WHS STK MGT &amp; ALLOC.'!H63-('WHS STK MGT &amp; ALLOC.'!$K63+'WHS STK MGT &amp; ALLOC.'!$M63),$P$5 ="WEEK 3",'WHS STK MGT &amp; ALLOC.'!$H63-'WHS STK MGT &amp; ALLOC.'!$K63-'WHS STK MGT &amp; ALLOC.'!$M63-'WHS STK MGT &amp; ALLOC.'!$O63,$P$5 = "WEEK 4",'WHS STK MGT &amp; ALLOC.'!H63-'WHS STK MGT &amp; ALLOC.'!$K63-'WHS STK MGT &amp; ALLOC.'!$M63-'WHS STK MGT &amp; ALLOC.'!$O63-'WHS STK MGT &amp; ALLOC.'!$Q63,$P$5 = "WEEK 5",'WHS STK MGT &amp; ALLOC.'!H63-'WHS STK MGT &amp; ALLOC.'!$K63-'WHS STK MGT &amp; ALLOC.'!$M63-'WHS STK MGT &amp; ALLOC.'!$O63-'WHS STK MGT &amp; ALLOC.'!$Q63-'WHS STK MGT &amp; ALLOC.'!$S63)</f>
        <v>190</v>
      </c>
      <c r="T63" s="99">
        <f>SUMIFS('IN STORE SALES RECORD'!$E:$E,'IN STORE SALES RECORD'!$C:$C,'STORE STK &amp; SALES MGT'!$U$5,'STORE STK &amp; SALES MGT'!$A:$A,'STORE STK &amp; SALES MGT'!$A63)</f>
        <v>0</v>
      </c>
      <c r="U63" s="60">
        <f>SUMIFS('IN STORE SALES RECORD'!$H:$H,'IN STORE SALES RECORD'!$D:$D,'STORE STK &amp; SALES MGT'!$A63,'IN STORE SALES RECORD'!$C:$C,'STORE STK &amp; SALES MGT'!$U$5)</f>
        <v>1120</v>
      </c>
      <c r="V63" s="99">
        <f>IFERROR(ROUND(SUMIFS('IN STORE SALES RECORD'!$H:$H,'IN STORE SALES RECORD'!$C:$C,'STORE STK &amp; SALES MGT'!$U$5,'STORE STK &amp; SALES MGT'!$A:$A,'STORE STK &amp; SALES MGT'!$A63)/SUMIF('IN STORE SALES RECORD'!$C:$C,'STORE STK &amp; SALES MGT'!$U$5,'IN STORE SALES RECORD'!$H:$H)*100,3),"")</f>
        <v>0</v>
      </c>
    </row>
    <row r="64" spans="1:51" s="77" customFormat="1" ht="30">
      <c r="A64" s="25" t="s">
        <v>244</v>
      </c>
      <c r="B64" s="78" t="str">
        <f>IFERROR(INDEX('REFERENCING &amp; DATABASE'!$E$7:$E$131,MATCH($A64,'REFERENCING &amp; DATABASE'!$D$7:$D$131,0)),"")</f>
        <v>Felt Fedora</v>
      </c>
      <c r="C64" s="25" t="str">
        <f>IFERROR(INDEX('REFERENCING &amp; DATABASE'!$B$7:$B$131,MATCH($A64,'REFERENCING &amp; DATABASE'!$D$7:$D$131,0)),"")</f>
        <v>ACCESSORIES</v>
      </c>
      <c r="D64" s="25" t="str">
        <f>IFERROR(INDEX('REFERENCING &amp; DATABASE'!$C$7:$C$131,MATCH($A64,'REFERENCING &amp; DATABASE'!$D$7:$D$131,0)),"")</f>
        <v>HATS</v>
      </c>
      <c r="E64" s="26" t="str">
        <f>IFERROR(INDEX('REFERENCING &amp; DATABASE'!$F$7:$F$131,MATCH($A64,'REFERENCING &amp; DATABASE'!$D$7:$D$131,0)),"")</f>
        <v>: A sophisticated and stylish fedora for a classic look.</v>
      </c>
      <c r="F64" s="28" t="str">
        <f>IFERROR(INDEX('REFERENCING &amp; DATABASE'!$G$7:$G$131,MATCH($A64,'REFERENCING &amp; DATABASE'!$D$7:$D$131,0)),"")</f>
        <v>Black,Brown</v>
      </c>
      <c r="G64" s="39">
        <f>IFERROR(INDEX('REFERENCING &amp; DATABASE'!$H$7:$H$131,MATCH($A64,'REFERENCING &amp; DATABASE'!$D$7:$D$131,0)),"")</f>
        <v>6</v>
      </c>
      <c r="H64" s="28">
        <f>IFERROR(INDEX('WHS STK MGT &amp; ALLOC.'!$I:$I,MATCH($A64,'WHS STK MGT &amp; ALLOC.'!$A:$A,0)),"")</f>
        <v>220</v>
      </c>
      <c r="I64" s="60">
        <f>SUM('WHS STK MGT &amp; ALLOC.'!$K55,'WHS STK MGT &amp; ALLOC.'!$M55,'WHS STK MGT &amp; ALLOC.'!$O55,'WHS STK MGT &amp; ALLOC.'!$Q55,'WHS STK MGT &amp; ALLOC.'!$S55,'WHS STK MGT &amp; ALLOC.'!$U55,'WHS STK MGT &amp; ALLOC.'!$W55,'WHS STK MGT &amp; ALLOC.'!$Y55)</f>
        <v>10</v>
      </c>
      <c r="J64" s="60">
        <f>SUMIF('IN STORE SALES RECORD'!$D:$D,'STORE STK &amp; SALES MGT'!$A64,'IN STORE SALES RECORD'!$E:$E)</f>
        <v>0</v>
      </c>
      <c r="K64" s="60">
        <f>SUMIF('IN STORE SALES RECORD'!$D:$D,'STORE STK &amp; SALES MGT'!$A64,'IN STORE SALES RECORD'!$H:$H)</f>
        <v>0</v>
      </c>
      <c r="L64" s="60">
        <f t="shared" si="6"/>
        <v>0</v>
      </c>
      <c r="M64" s="60">
        <f t="shared" si="7"/>
        <v>0</v>
      </c>
      <c r="N64" s="60" cm="1">
        <f t="array" ref="N64">_xlfn.IFS($P$5 = "WEEK 1",'WHS STK MGT &amp; ALLOC.'!$K64,$P$5 = "WEEK 2",'WHS STK MGT &amp; ALLOC.'!$M64,$P$5 = "WEEK 3",'WHS STK MGT &amp; ALLOC.'!$O64,$P$5 = "WEEK 4",'WHS STK MGT &amp; ALLOC.'!Q64,$P$5 ="WEEK 5",'WHS STK MGT &amp; ALLOC.'!$S64)</f>
        <v>10</v>
      </c>
      <c r="O64" s="60" cm="1">
        <f t="array" ref="O64">_xlfn.SWITCH($P$5,
  "WEEK 1", 'WHS STK MGT &amp; ALLOC.'!$H64,
  "WEEK 2", 'WHS STK MGT &amp; ALLOC.'!$H64 - 'WHS STK MGT &amp; ALLOC.'!$K64,
  "WEEK 3", 'WHS STK MGT &amp; ALLOC.'!$H64 - ('WHS STK MGT &amp; ALLOC.'!$K64 + 'WHS STK MGT &amp; ALLOC.'!$M64),
  "WEEK 4", 'WHS STK MGT &amp; ALLOC.'!$H64 - ('WHS STK MGT &amp; ALLOC.'!$K64 + 'WHS STK MGT &amp; ALLOC.'!$M64 + 'WHS STK MGT &amp; ALLOC.'!$O64),
  "WEEK 5", 'WHS STK MGT &amp; ALLOC.'!$H64 - ('WHS STK MGT &amp; ALLOC.'!$K64 + 'WHS STK MGT &amp; ALLOC.'!$M64 + 'WHS STK MGT &amp; ALLOC.'!$O64 + 'WHS STK MGT &amp; ALLOC.'!$Q64),
  "WEEK 6", 'WHS STK MGT &amp; ALLOC.'!$H64 - ('WHS STK MGT &amp; ALLOC.'!$K64 + 'WHS STK MGT &amp; ALLOC.'!$M64 + 'WHS STK MGT &amp; ALLOC.'!$O64 + 'WHS STK MGT &amp; ALLOC.'!$Q64 + 'WHS STK MGT &amp; ALLOC.'!$S64),
  "WEEK 7", 'WHS STK MGT &amp; ALLOC.'!$H52 - ('WHS STK MGT &amp; ALLOC.'!$K52 + 'WHS STK MGT &amp; ALLOC.'!$M52 + 'WHS STK MGT &amp; ALLOC.'!$O52 + 'WHS STK MGT &amp; ALLOC.'!$Q52 + 'WHS STK MGT &amp; ALLOC.'!$S52 + 'WHS STK MGT &amp; ALLOC.'!$U52),
  "Other Weeks", 0
)</f>
        <v>230</v>
      </c>
      <c r="P64" s="60">
        <f>SUMIFS('IN STORE SALES RECORD'!$E:$E,'IN STORE SALES RECORD'!$D:$D,'STORE STK &amp; SALES MGT'!$A64,'IN STORE SALES RECORD'!$A:$A,'STORE STK &amp; SALES MGT'!$P$5)</f>
        <v>0</v>
      </c>
      <c r="Q64" s="60">
        <f>SUMIFS('IN STORE SALES RECORD'!$H:$H,'IN STORE SALES RECORD'!$D:$D,'STORE STK &amp; SALES MGT'!$A64,'IN STORE SALES RECORD'!$A:$A,'STORE STK &amp; SALES MGT'!$P$5)</f>
        <v>0</v>
      </c>
      <c r="R64" s="60">
        <f>IFERROR(ROUND(Q64/SUMIF('IN STORE SALES RECORD'!$A:$A,'STORE STK &amp; SALES MGT'!$P$5,'IN STORE SALES RECORD'!$H:$H)*100,3),"")</f>
        <v>0</v>
      </c>
      <c r="S64" s="60" cm="1">
        <f t="array" ref="S64">_xlfn.IFS($P$5 ="WEEK 1",'WHS STK MGT &amp; ALLOC.'!$H64-'WHS STK MGT &amp; ALLOC.'!$K64,$P$5 ="WEEK 2",'WHS STK MGT &amp; ALLOC.'!H64-('WHS STK MGT &amp; ALLOC.'!$K64+'WHS STK MGT &amp; ALLOC.'!$M64),$P$5 ="WEEK 3",'WHS STK MGT &amp; ALLOC.'!$H64-'WHS STK MGT &amp; ALLOC.'!$K64-'WHS STK MGT &amp; ALLOC.'!$M64-'WHS STK MGT &amp; ALLOC.'!$O64,$P$5 = "WEEK 4",'WHS STK MGT &amp; ALLOC.'!H64-'WHS STK MGT &amp; ALLOC.'!$K64-'WHS STK MGT &amp; ALLOC.'!$M64-'WHS STK MGT &amp; ALLOC.'!$O64-'WHS STK MGT &amp; ALLOC.'!$Q64,$P$5 = "WEEK 5",'WHS STK MGT &amp; ALLOC.'!H64-'WHS STK MGT &amp; ALLOC.'!$K64-'WHS STK MGT &amp; ALLOC.'!$M64-'WHS STK MGT &amp; ALLOC.'!$O64-'WHS STK MGT &amp; ALLOC.'!$Q64-'WHS STK MGT &amp; ALLOC.'!$S64)</f>
        <v>220</v>
      </c>
      <c r="T64" s="99">
        <f>SUMIFS('IN STORE SALES RECORD'!$E:$E,'IN STORE SALES RECORD'!$C:$C,'STORE STK &amp; SALES MGT'!$U$5,'STORE STK &amp; SALES MGT'!$A:$A,'STORE STK &amp; SALES MGT'!$A64)</f>
        <v>0</v>
      </c>
      <c r="U64" s="60">
        <f>SUMIFS('IN STORE SALES RECORD'!$H:$H,'IN STORE SALES RECORD'!$D:$D,'STORE STK &amp; SALES MGT'!$A64,'IN STORE SALES RECORD'!$C:$C,'STORE STK &amp; SALES MGT'!$U$5)</f>
        <v>0</v>
      </c>
      <c r="V64" s="99">
        <f>IFERROR(ROUND(SUMIFS('IN STORE SALES RECORD'!$H:$H,'IN STORE SALES RECORD'!$C:$C,'STORE STK &amp; SALES MGT'!$U$5,'STORE STK &amp; SALES MGT'!$A:$A,'STORE STK &amp; SALES MGT'!$A64)/SUMIF('IN STORE SALES RECORD'!$C:$C,'STORE STK &amp; SALES MGT'!$U$5,'IN STORE SALES RECORD'!$H:$H)*100,3),"")</f>
        <v>0</v>
      </c>
    </row>
  </sheetData>
  <mergeCells count="2">
    <mergeCell ref="A1:XFD3"/>
    <mergeCell ref="A4:M5"/>
  </mergeCells>
  <phoneticPr fontId="17" type="noConversion"/>
  <conditionalFormatting sqref="C10">
    <cfRule type="cellIs" dxfId="1" priority="3" operator="lessThan">
      <formula>40</formula>
    </cfRule>
  </conditionalFormatting>
  <conditionalFormatting sqref="H7:H1048576">
    <cfRule type="cellIs" dxfId="0" priority="1" operator="lessThan">
      <formula>40</formula>
    </cfRule>
  </conditionalFormatting>
  <dataValidations count="1">
    <dataValidation type="whole" allowBlank="1" showInputMessage="1" showErrorMessage="1" sqref="U5" xr:uid="{53E5111C-E6CA-4434-9CEE-C684CA2B757D}">
      <formula1>1</formula1>
      <formula2>12</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B41B6EA-7064-4BAC-A2F6-CBFFC47F6D0C}">
          <x14:formula1>
            <xm:f>'IN STORE SALES RECORD'!$A6:$A97</xm:f>
          </x14:formula1>
          <xm:sqref>P5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46"/>
  <sheetViews>
    <sheetView zoomScale="79" workbookViewId="0">
      <selection activeCell="E10" sqref="E10"/>
    </sheetView>
  </sheetViews>
  <sheetFormatPr defaultColWidth="8.85546875" defaultRowHeight="15"/>
  <cols>
    <col min="1" max="1" width="8.85546875" style="5"/>
    <col min="2" max="2" width="25.140625" style="5" bestFit="1" customWidth="1"/>
    <col min="3" max="3" width="18.42578125" style="5" bestFit="1" customWidth="1"/>
    <col min="4" max="4" width="22.5703125" style="112" customWidth="1"/>
    <col min="5" max="5" width="15.28515625" style="5" customWidth="1"/>
    <col min="6" max="6" width="21.7109375" style="6" customWidth="1"/>
    <col min="7" max="7" width="22.140625" style="5" customWidth="1"/>
    <col min="8" max="8" width="28" style="5" customWidth="1"/>
    <col min="9" max="9" width="16.5703125" style="5" customWidth="1"/>
    <col min="10" max="16384" width="8.85546875" style="5"/>
  </cols>
  <sheetData>
    <row r="1" spans="1:9" s="1" customFormat="1" ht="15" customHeight="1">
      <c r="A1" s="126" t="s">
        <v>59</v>
      </c>
      <c r="B1" s="126"/>
      <c r="C1" s="126"/>
      <c r="D1" s="126"/>
      <c r="E1" s="126"/>
      <c r="F1" s="126"/>
      <c r="G1" s="126"/>
    </row>
    <row r="2" spans="1:9" s="1" customFormat="1" ht="15" customHeight="1">
      <c r="A2" s="126"/>
      <c r="B2" s="126"/>
      <c r="C2" s="126"/>
      <c r="D2" s="126"/>
      <c r="E2" s="126"/>
      <c r="F2" s="126"/>
      <c r="G2" s="126"/>
    </row>
    <row r="3" spans="1:9" s="1" customFormat="1" ht="15" customHeight="1">
      <c r="A3" s="126"/>
      <c r="B3" s="126"/>
      <c r="C3" s="126"/>
      <c r="D3" s="126"/>
      <c r="E3" s="126"/>
      <c r="F3" s="126"/>
      <c r="G3" s="126"/>
    </row>
    <row r="4" spans="1:9" s="2" customFormat="1">
      <c r="A4" s="126"/>
      <c r="B4" s="126"/>
      <c r="C4" s="126"/>
      <c r="D4" s="126"/>
      <c r="E4" s="126"/>
      <c r="F4" s="126"/>
      <c r="G4" s="126"/>
    </row>
    <row r="5" spans="1:9" s="3" customFormat="1" ht="15.75">
      <c r="A5" s="7" t="s">
        <v>60</v>
      </c>
      <c r="B5" s="7" t="s">
        <v>61</v>
      </c>
      <c r="C5" s="7" t="s">
        <v>79</v>
      </c>
      <c r="D5" s="7" t="s">
        <v>62</v>
      </c>
      <c r="E5" s="7" t="s">
        <v>63</v>
      </c>
      <c r="F5" s="8" t="s">
        <v>6</v>
      </c>
      <c r="G5" s="7" t="s">
        <v>64</v>
      </c>
      <c r="H5" s="7" t="s">
        <v>65</v>
      </c>
      <c r="I5" s="7"/>
    </row>
    <row r="6" spans="1:9" s="4" customFormat="1">
      <c r="A6" s="9" t="s">
        <v>66</v>
      </c>
      <c r="B6" s="10">
        <v>45292</v>
      </c>
      <c r="C6" s="10" t="str">
        <f>TEXT(B6,"M")</f>
        <v>1</v>
      </c>
      <c r="D6" s="11" t="s">
        <v>99</v>
      </c>
      <c r="E6" s="9">
        <v>40</v>
      </c>
      <c r="F6" s="12" t="str">
        <f>IFERROR(VLOOKUP(D6,'REFERENCING &amp; DATABASE'!$D$2:$K$131,2,FALSE),"")</f>
        <v>Cozy Comfort Tee</v>
      </c>
      <c r="G6" s="9">
        <f>IFERROR(VLOOKUP(D6,'REFERENCING &amp; DATABASE'!$D$2:$K$131,8,FALSE),"")</f>
        <v>35</v>
      </c>
      <c r="H6" s="9">
        <f>IFERROR(IF(AND(E6&lt;&gt;"",ISNUMBER(E6),G6&lt;&gt;""),E6*G6,""),"")</f>
        <v>1400</v>
      </c>
    </row>
    <row r="7" spans="1:9" s="4" customFormat="1">
      <c r="A7" s="9" t="s">
        <v>66</v>
      </c>
      <c r="B7" s="10">
        <v>45293</v>
      </c>
      <c r="C7" s="10" t="str">
        <f t="shared" ref="C7:C42" si="0">TEXT(B7,"M")</f>
        <v>1</v>
      </c>
      <c r="D7" s="66" t="s">
        <v>232</v>
      </c>
      <c r="E7" s="9">
        <v>80</v>
      </c>
      <c r="F7" s="12" t="str">
        <f>IFERROR(VLOOKUP(D7,'REFERENCING &amp; DATABASE'!$D$2:$K$131,2,FALSE),"")</f>
        <v>Sleek Crossbody Bag</v>
      </c>
      <c r="G7" s="9">
        <f>IFERROR(VLOOKUP(D7,'REFERENCING &amp; DATABASE'!$D$2:$K$131,8,FALSE),"")</f>
        <v>35</v>
      </c>
      <c r="H7" s="9">
        <f>IFERROR(IF(AND(E7&lt;&gt;"",ISNUMBER(E7),G7&lt;&gt;""),E7*G7,""),"")</f>
        <v>2800</v>
      </c>
    </row>
    <row r="8" spans="1:9" s="4" customFormat="1" ht="30">
      <c r="A8" s="9" t="s">
        <v>66</v>
      </c>
      <c r="B8" s="10">
        <v>45294</v>
      </c>
      <c r="C8" s="10" t="str">
        <f t="shared" si="0"/>
        <v>1</v>
      </c>
      <c r="D8" s="66" t="s">
        <v>240</v>
      </c>
      <c r="E8" s="9">
        <v>75</v>
      </c>
      <c r="F8" s="12" t="str">
        <f>IFERROR(VLOOKUP(D8,'REFERENCING &amp; DATABASE'!$D$2:$K$131,2,FALSE),"")</f>
        <v>Cozy Cable-Knit Beanie</v>
      </c>
      <c r="G8" s="9">
        <f>IFERROR(VLOOKUP(D8,'REFERENCING &amp; DATABASE'!$D$2:$K$131,8,FALSE),"")</f>
        <v>25</v>
      </c>
      <c r="H8" s="9">
        <f t="shared" ref="H8:H39" si="1">IFERROR(IF(AND(E8&lt;&gt;"",ISNUMBER(E8),G8&lt;&gt;""),E8*G8,""),"")</f>
        <v>1875</v>
      </c>
    </row>
    <row r="9" spans="1:9" s="4" customFormat="1" ht="30">
      <c r="A9" s="9" t="s">
        <v>66</v>
      </c>
      <c r="B9" s="10">
        <v>45295</v>
      </c>
      <c r="C9" s="10" t="str">
        <f t="shared" si="0"/>
        <v>1</v>
      </c>
      <c r="D9" s="66" t="s">
        <v>113</v>
      </c>
      <c r="E9" s="9">
        <v>230</v>
      </c>
      <c r="F9" s="12" t="str">
        <f>IFERROR(VLOOKUP(D9,'REFERENCING &amp; DATABASE'!$D$2:$K$131,2,FALSE),"")</f>
        <v>Classic Button-Down Shirt</v>
      </c>
      <c r="G9" s="9">
        <f>IFERROR(VLOOKUP(D9,'REFERENCING &amp; DATABASE'!$D$2:$K$131,8,FALSE),"")</f>
        <v>40</v>
      </c>
      <c r="H9" s="9">
        <f t="shared" si="1"/>
        <v>9200</v>
      </c>
    </row>
    <row r="10" spans="1:9" s="4" customFormat="1">
      <c r="A10" s="9" t="s">
        <v>66</v>
      </c>
      <c r="B10" s="10">
        <v>45296</v>
      </c>
      <c r="C10" s="10" t="str">
        <f t="shared" si="0"/>
        <v>1</v>
      </c>
      <c r="D10" s="11"/>
      <c r="E10" s="9"/>
      <c r="F10" s="12" t="str">
        <f>IFERROR(VLOOKUP(D10,'REFERENCING &amp; DATABASE'!$D$2:$K$131,2,FALSE),"")</f>
        <v/>
      </c>
      <c r="G10" s="9" t="str">
        <f>IFERROR(VLOOKUP(D10,'REFERENCING &amp; DATABASE'!$D$2:$K$131,8,FALSE),"")</f>
        <v/>
      </c>
      <c r="H10" s="9" t="str">
        <f t="shared" si="1"/>
        <v/>
      </c>
    </row>
    <row r="11" spans="1:9" s="4" customFormat="1">
      <c r="A11" s="9" t="s">
        <v>66</v>
      </c>
      <c r="B11" s="10">
        <v>45297</v>
      </c>
      <c r="C11" s="10" t="str">
        <f t="shared" si="0"/>
        <v>1</v>
      </c>
      <c r="D11" s="66" t="s">
        <v>253</v>
      </c>
      <c r="E11" s="9">
        <v>90</v>
      </c>
      <c r="F11" s="12" t="str">
        <f>IFERROR(VLOOKUP(D11,'REFERENCING &amp; DATABASE'!$D$2:$K$131,2,FALSE),"")</f>
        <v>High-Waisted Jeans</v>
      </c>
      <c r="G11" s="9">
        <f>IFERROR(VLOOKUP(D11,'REFERENCING &amp; DATABASE'!$D$2:$K$131,8,FALSE),"")</f>
        <v>53</v>
      </c>
      <c r="H11" s="9">
        <f t="shared" si="1"/>
        <v>4770</v>
      </c>
    </row>
    <row r="12" spans="1:9" s="4" customFormat="1">
      <c r="A12" s="9" t="s">
        <v>66</v>
      </c>
      <c r="B12" s="10">
        <v>45298</v>
      </c>
      <c r="C12" s="10" t="str">
        <f t="shared" si="0"/>
        <v>1</v>
      </c>
      <c r="D12" s="11"/>
      <c r="E12" s="9"/>
      <c r="F12" s="12" t="str">
        <f>IFERROR(VLOOKUP(D12,'REFERENCING &amp; DATABASE'!$D$2:$K$131,2,FALSE),"")</f>
        <v/>
      </c>
      <c r="G12" s="9" t="str">
        <f>IFERROR(VLOOKUP(D12,'REFERENCING &amp; DATABASE'!$D$2:$K$131,8,FALSE),"")</f>
        <v/>
      </c>
      <c r="H12" s="9" t="str">
        <f t="shared" si="1"/>
        <v/>
      </c>
    </row>
    <row r="13" spans="1:9" s="4" customFormat="1">
      <c r="A13" s="9" t="s">
        <v>67</v>
      </c>
      <c r="B13" s="10">
        <v>45299</v>
      </c>
      <c r="C13" s="10" t="str">
        <f t="shared" si="0"/>
        <v>1</v>
      </c>
      <c r="D13" s="69" t="s">
        <v>251</v>
      </c>
      <c r="E13" s="9">
        <v>55</v>
      </c>
      <c r="F13" s="12" t="str">
        <f>IFERROR(VLOOKUP(D13,'REFERENCING &amp; DATABASE'!$D$2:$K$131,2,FALSE),"")</f>
        <v>Skinny Fit Jeans</v>
      </c>
      <c r="G13" s="9">
        <f>IFERROR(VLOOKUP(D13,'REFERENCING &amp; DATABASE'!$D$2:$K$131,8,FALSE),"")</f>
        <v>45</v>
      </c>
      <c r="H13" s="9">
        <f t="shared" si="1"/>
        <v>2475</v>
      </c>
    </row>
    <row r="14" spans="1:9" s="4" customFormat="1">
      <c r="A14" s="9" t="s">
        <v>67</v>
      </c>
      <c r="B14" s="10">
        <v>45300</v>
      </c>
      <c r="C14" s="10" t="str">
        <f t="shared" si="0"/>
        <v>1</v>
      </c>
      <c r="D14" s="11"/>
      <c r="E14" s="9"/>
      <c r="F14" s="12" t="str">
        <f>IFERROR(VLOOKUP(D14,'REFERENCING &amp; DATABASE'!$D$2:$K$131,2,FALSE),"")</f>
        <v/>
      </c>
      <c r="G14" s="9" t="str">
        <f>IFERROR(VLOOKUP(D14,'REFERENCING &amp; DATABASE'!$D$2:$K$131,8,FALSE),"")</f>
        <v/>
      </c>
      <c r="H14" s="9"/>
    </row>
    <row r="15" spans="1:9" s="4" customFormat="1">
      <c r="A15" s="9" t="s">
        <v>67</v>
      </c>
      <c r="B15" s="10">
        <v>45301</v>
      </c>
      <c r="C15" s="10" t="str">
        <f t="shared" si="0"/>
        <v>1</v>
      </c>
      <c r="D15" s="11"/>
      <c r="E15" s="9"/>
      <c r="F15" s="12" t="str">
        <f>IFERROR(VLOOKUP(D15,'REFERENCING &amp; DATABASE'!$D$2:$K$131,2,FALSE),"")</f>
        <v/>
      </c>
      <c r="G15" s="9" t="str">
        <f>IFERROR(VLOOKUP(D15,'REFERENCING &amp; DATABASE'!$D$2:$K$131,8,FALSE),"")</f>
        <v/>
      </c>
      <c r="H15" s="9" t="str">
        <f t="shared" si="1"/>
        <v/>
      </c>
    </row>
    <row r="16" spans="1:9" s="4" customFormat="1" ht="30">
      <c r="A16" s="9" t="s">
        <v>67</v>
      </c>
      <c r="B16" s="10">
        <v>45302</v>
      </c>
      <c r="C16" s="10" t="str">
        <f t="shared" si="0"/>
        <v>1</v>
      </c>
      <c r="D16" s="66" t="s">
        <v>115</v>
      </c>
      <c r="E16" s="9">
        <v>90</v>
      </c>
      <c r="F16" s="12" t="str">
        <f>IFERROR(VLOOKUP(D16,'REFERENCING &amp; DATABASE'!$D$2:$K$131,2,FALSE),"")</f>
        <v>Cozy Cable-Knit Sweater</v>
      </c>
      <c r="G16" s="9">
        <f>IFERROR(VLOOKUP(D16,'REFERENCING &amp; DATABASE'!$D$2:$K$131,8,FALSE),"")</f>
        <v>70</v>
      </c>
      <c r="H16" s="9">
        <f t="shared" si="1"/>
        <v>6300</v>
      </c>
    </row>
    <row r="17" spans="1:8" s="4" customFormat="1">
      <c r="A17" s="9" t="s">
        <v>67</v>
      </c>
      <c r="B17" s="10">
        <v>45303</v>
      </c>
      <c r="C17" s="10" t="str">
        <f t="shared" si="0"/>
        <v>1</v>
      </c>
      <c r="D17" s="69"/>
      <c r="E17" s="9">
        <v>34</v>
      </c>
      <c r="F17" s="12" t="str">
        <f>IFERROR(VLOOKUP(D17,'REFERENCING &amp; DATABASE'!$D$2:$K$131,2,FALSE),"")</f>
        <v/>
      </c>
      <c r="G17" s="9" t="str">
        <f>IFERROR(VLOOKUP(D17,'REFERENCING &amp; DATABASE'!$D$2:$K$131,8,FALSE),"")</f>
        <v/>
      </c>
      <c r="H17" s="9" t="str">
        <f t="shared" si="1"/>
        <v/>
      </c>
    </row>
    <row r="18" spans="1:8" s="4" customFormat="1">
      <c r="A18" s="9" t="s">
        <v>67</v>
      </c>
      <c r="B18" s="10">
        <v>45304</v>
      </c>
      <c r="C18" s="10" t="str">
        <f t="shared" si="0"/>
        <v>1</v>
      </c>
      <c r="D18" s="11"/>
      <c r="E18" s="9"/>
      <c r="F18" s="12" t="str">
        <f>IFERROR(VLOOKUP(D18,'REFERENCING &amp; DATABASE'!$D$2:$K$131,2,FALSE),"")</f>
        <v/>
      </c>
      <c r="G18" s="9" t="str">
        <f>IFERROR(VLOOKUP(D18,'REFERENCING &amp; DATABASE'!$D$2:$K$131,8,FALSE),"")</f>
        <v/>
      </c>
      <c r="H18" s="9" t="str">
        <f t="shared" si="1"/>
        <v/>
      </c>
    </row>
    <row r="19" spans="1:8" s="4" customFormat="1">
      <c r="A19" s="9" t="s">
        <v>67</v>
      </c>
      <c r="B19" s="10">
        <v>45305</v>
      </c>
      <c r="C19" s="10" t="str">
        <f t="shared" si="0"/>
        <v>1</v>
      </c>
      <c r="D19" s="11"/>
      <c r="E19" s="9"/>
      <c r="F19" s="12" t="str">
        <f>IFERROR(VLOOKUP(D19,'REFERENCING &amp; DATABASE'!$D$2:$K$131,2,FALSE),"")</f>
        <v/>
      </c>
      <c r="G19" s="9" t="str">
        <f>IFERROR(VLOOKUP(D19,'REFERENCING &amp; DATABASE'!$D$2:$K$131,8,FALSE),"")</f>
        <v/>
      </c>
      <c r="H19" s="9" t="str">
        <f t="shared" si="1"/>
        <v/>
      </c>
    </row>
    <row r="20" spans="1:8" s="4" customFormat="1">
      <c r="A20" s="9" t="s">
        <v>68</v>
      </c>
      <c r="B20" s="10">
        <v>45306</v>
      </c>
      <c r="C20" s="10" t="str">
        <f t="shared" si="0"/>
        <v>1</v>
      </c>
      <c r="D20" s="66" t="s">
        <v>243</v>
      </c>
      <c r="E20" s="9">
        <v>32</v>
      </c>
      <c r="F20" s="12" t="str">
        <f>IFERROR(VLOOKUP(D20,'REFERENCING &amp; DATABASE'!$D$2:$K$131,2,FALSE),"")</f>
        <v>Wide-Brim Sun Hat</v>
      </c>
      <c r="G20" s="9">
        <f>IFERROR(VLOOKUP(D20,'REFERENCING &amp; DATABASE'!$D$2:$K$131,8,FALSE),"")</f>
        <v>35</v>
      </c>
      <c r="H20" s="9">
        <f t="shared" si="1"/>
        <v>1120</v>
      </c>
    </row>
    <row r="21" spans="1:8" s="4" customFormat="1" ht="30">
      <c r="A21" s="9" t="s">
        <v>68</v>
      </c>
      <c r="B21" s="10">
        <v>45307</v>
      </c>
      <c r="C21" s="10" t="str">
        <f t="shared" si="0"/>
        <v>1</v>
      </c>
      <c r="D21" s="11" t="s">
        <v>229</v>
      </c>
      <c r="E21" s="9">
        <v>543</v>
      </c>
      <c r="F21" s="12" t="str">
        <f>IFERROR(VLOOKUP(D21,'REFERENCING &amp; DATABASE'!$D$2:$K$131,2,FALSE),"")</f>
        <v>Soft Modal Sleep Shorts</v>
      </c>
      <c r="G21" s="9">
        <f>IFERROR(VLOOKUP(D21,'REFERENCING &amp; DATABASE'!$D$2:$K$131,8,FALSE),"")</f>
        <v>20</v>
      </c>
      <c r="H21" s="9">
        <f t="shared" si="1"/>
        <v>10860</v>
      </c>
    </row>
    <row r="22" spans="1:8" s="4" customFormat="1">
      <c r="A22" s="9" t="s">
        <v>68</v>
      </c>
      <c r="B22" s="10">
        <v>45308</v>
      </c>
      <c r="C22" s="10" t="str">
        <f t="shared" si="0"/>
        <v>1</v>
      </c>
      <c r="D22" s="11"/>
      <c r="E22" s="9"/>
      <c r="F22" s="12" t="str">
        <f>IFERROR(VLOOKUP(D22,'REFERENCING &amp; DATABASE'!$D$2:$K$131,2,FALSE),"")</f>
        <v/>
      </c>
      <c r="G22" s="9" t="str">
        <f>IFERROR(VLOOKUP(D22,'REFERENCING &amp; DATABASE'!$D$2:$K$131,8,FALSE),"")</f>
        <v/>
      </c>
      <c r="H22" s="9" t="str">
        <f t="shared" si="1"/>
        <v/>
      </c>
    </row>
    <row r="23" spans="1:8" s="4" customFormat="1">
      <c r="A23" s="9" t="s">
        <v>68</v>
      </c>
      <c r="B23" s="10">
        <v>45309</v>
      </c>
      <c r="C23" s="10" t="str">
        <f t="shared" si="0"/>
        <v>1</v>
      </c>
      <c r="D23" s="11"/>
      <c r="E23" s="9"/>
      <c r="F23" s="12" t="str">
        <f>IFERROR(VLOOKUP(D23,'REFERENCING &amp; DATABASE'!$D$2:$K$131,2,FALSE),"")</f>
        <v/>
      </c>
      <c r="G23" s="9" t="str">
        <f>IFERROR(VLOOKUP(D23,'REFERENCING &amp; DATABASE'!$D$2:$K$131,8,FALSE),"")</f>
        <v/>
      </c>
      <c r="H23" s="9" t="str">
        <f t="shared" si="1"/>
        <v/>
      </c>
    </row>
    <row r="24" spans="1:8" s="4" customFormat="1">
      <c r="A24" s="9" t="s">
        <v>68</v>
      </c>
      <c r="B24" s="10">
        <v>45310</v>
      </c>
      <c r="C24" s="10" t="str">
        <f t="shared" si="0"/>
        <v>1</v>
      </c>
      <c r="D24" s="11"/>
      <c r="E24" s="9"/>
      <c r="F24" s="12" t="str">
        <f>IFERROR(VLOOKUP(D24,'REFERENCING &amp; DATABASE'!$D$2:$K$131,2,FALSE),"")</f>
        <v/>
      </c>
      <c r="G24" s="9" t="str">
        <f>IFERROR(VLOOKUP(D24,'REFERENCING &amp; DATABASE'!$D$2:$K$131,8,FALSE),"")</f>
        <v/>
      </c>
      <c r="H24" s="9" t="str">
        <f t="shared" si="1"/>
        <v/>
      </c>
    </row>
    <row r="25" spans="1:8" s="4" customFormat="1">
      <c r="A25" s="9" t="s">
        <v>68</v>
      </c>
      <c r="B25" s="10">
        <v>45311</v>
      </c>
      <c r="C25" s="10" t="str">
        <f t="shared" si="0"/>
        <v>1</v>
      </c>
      <c r="D25" s="11"/>
      <c r="E25" s="9"/>
      <c r="F25" s="12" t="str">
        <f>IFERROR(VLOOKUP(D25,'REFERENCING &amp; DATABASE'!$D$2:$K$131,2,FALSE),"")</f>
        <v/>
      </c>
      <c r="G25" s="9" t="str">
        <f>IFERROR(VLOOKUP(D25,'REFERENCING &amp; DATABASE'!$D$2:$K$131,8,FALSE),"")</f>
        <v/>
      </c>
      <c r="H25" s="9" t="str">
        <f t="shared" si="1"/>
        <v/>
      </c>
    </row>
    <row r="26" spans="1:8" s="4" customFormat="1">
      <c r="A26" s="9" t="s">
        <v>68</v>
      </c>
      <c r="B26" s="10">
        <v>45312</v>
      </c>
      <c r="C26" s="10" t="str">
        <f t="shared" si="0"/>
        <v>1</v>
      </c>
      <c r="D26" s="11"/>
      <c r="E26" s="9"/>
      <c r="F26" s="12" t="str">
        <f>IFERROR(VLOOKUP(D26,'REFERENCING &amp; DATABASE'!$D$2:$K$131,2,FALSE),"")</f>
        <v/>
      </c>
      <c r="G26" s="9" t="str">
        <f>IFERROR(VLOOKUP(D26,'REFERENCING &amp; DATABASE'!$D$2:$K$131,8,FALSE),"")</f>
        <v/>
      </c>
      <c r="H26" s="9" t="str">
        <f t="shared" si="1"/>
        <v/>
      </c>
    </row>
    <row r="27" spans="1:8" s="4" customFormat="1">
      <c r="A27" s="9" t="s">
        <v>69</v>
      </c>
      <c r="B27" s="10">
        <v>45313</v>
      </c>
      <c r="C27" s="10" t="str">
        <f t="shared" si="0"/>
        <v>1</v>
      </c>
      <c r="D27" s="11"/>
      <c r="E27" s="9"/>
      <c r="F27" s="12" t="str">
        <f>IFERROR(VLOOKUP(D27,'REFERENCING &amp; DATABASE'!$D$2:$K$131,2,FALSE),"")</f>
        <v/>
      </c>
      <c r="G27" s="9" t="str">
        <f>IFERROR(VLOOKUP(D27,'REFERENCING &amp; DATABASE'!$D$2:$K$131,8,FALSE),"")</f>
        <v/>
      </c>
      <c r="H27" s="9" t="str">
        <f t="shared" si="1"/>
        <v/>
      </c>
    </row>
    <row r="28" spans="1:8" s="4" customFormat="1">
      <c r="A28" s="9" t="s">
        <v>69</v>
      </c>
      <c r="B28" s="10">
        <v>45314</v>
      </c>
      <c r="C28" s="10" t="str">
        <f t="shared" si="0"/>
        <v>1</v>
      </c>
      <c r="D28" s="11"/>
      <c r="E28" s="9"/>
      <c r="F28" s="12" t="str">
        <f>IFERROR(VLOOKUP(D28,'REFERENCING &amp; DATABASE'!$D$2:$K$131,2,FALSE),"")</f>
        <v/>
      </c>
      <c r="G28" s="9" t="str">
        <f>IFERROR(VLOOKUP(D28,'REFERENCING &amp; DATABASE'!$D$2:$K$131,8,FALSE),"")</f>
        <v/>
      </c>
      <c r="H28" s="9" t="str">
        <f t="shared" si="1"/>
        <v/>
      </c>
    </row>
    <row r="29" spans="1:8" s="4" customFormat="1">
      <c r="A29" s="9" t="s">
        <v>69</v>
      </c>
      <c r="B29" s="10">
        <v>45315</v>
      </c>
      <c r="C29" s="10" t="str">
        <f t="shared" si="0"/>
        <v>1</v>
      </c>
      <c r="D29" s="11"/>
      <c r="E29" s="9"/>
      <c r="F29" s="12" t="str">
        <f>IFERROR(VLOOKUP(D29,'REFERENCING &amp; DATABASE'!$D$2:$K$131,2,FALSE),"")</f>
        <v/>
      </c>
      <c r="G29" s="9" t="str">
        <f>IFERROR(VLOOKUP(D29,'REFERENCING &amp; DATABASE'!$D$2:$K$131,8,FALSE),"")</f>
        <v/>
      </c>
      <c r="H29" s="9" t="str">
        <f t="shared" si="1"/>
        <v/>
      </c>
    </row>
    <row r="30" spans="1:8" s="4" customFormat="1">
      <c r="A30" s="9" t="s">
        <v>69</v>
      </c>
      <c r="B30" s="10">
        <v>45316</v>
      </c>
      <c r="C30" s="10" t="str">
        <f t="shared" si="0"/>
        <v>1</v>
      </c>
      <c r="D30" s="11"/>
      <c r="E30" s="9"/>
      <c r="F30" s="12" t="str">
        <f>IFERROR(VLOOKUP(D30,'REFERENCING &amp; DATABASE'!$D$2:$K$131,2,FALSE),"")</f>
        <v/>
      </c>
      <c r="G30" s="9" t="str">
        <f>IFERROR(VLOOKUP(D30,'REFERENCING &amp; DATABASE'!$D$2:$K$131,8,FALSE),"")</f>
        <v/>
      </c>
      <c r="H30" s="9" t="str">
        <f t="shared" si="1"/>
        <v/>
      </c>
    </row>
    <row r="31" spans="1:8" s="4" customFormat="1">
      <c r="A31" s="9" t="s">
        <v>69</v>
      </c>
      <c r="B31" s="10">
        <v>45317</v>
      </c>
      <c r="C31" s="10" t="str">
        <f t="shared" si="0"/>
        <v>1</v>
      </c>
      <c r="D31" s="11"/>
      <c r="E31" s="9"/>
      <c r="F31" s="12" t="str">
        <f>IFERROR(VLOOKUP(D31,'REFERENCING &amp; DATABASE'!$D$2:$K$131,2,FALSE),"")</f>
        <v/>
      </c>
      <c r="G31" s="9" t="str">
        <f>IFERROR(VLOOKUP(D31,'REFERENCING &amp; DATABASE'!$D$2:$K$131,8,FALSE),"")</f>
        <v/>
      </c>
      <c r="H31" s="9" t="str">
        <f t="shared" si="1"/>
        <v/>
      </c>
    </row>
    <row r="32" spans="1:8" s="4" customFormat="1">
      <c r="A32" s="9" t="s">
        <v>69</v>
      </c>
      <c r="B32" s="10">
        <v>45318</v>
      </c>
      <c r="C32" s="10" t="str">
        <f t="shared" si="0"/>
        <v>1</v>
      </c>
      <c r="D32" s="11"/>
      <c r="E32" s="9"/>
      <c r="F32" s="12" t="str">
        <f>IFERROR(VLOOKUP(D32,'REFERENCING &amp; DATABASE'!$D$2:$K$131,2,FALSE),"")</f>
        <v/>
      </c>
      <c r="G32" s="9" t="str">
        <f>IFERROR(VLOOKUP(D32,'REFERENCING &amp; DATABASE'!$D$2:$K$131,8,FALSE),"")</f>
        <v/>
      </c>
      <c r="H32" s="9" t="str">
        <f t="shared" si="1"/>
        <v/>
      </c>
    </row>
    <row r="33" spans="1:8" s="4" customFormat="1">
      <c r="A33" s="9" t="s">
        <v>69</v>
      </c>
      <c r="B33" s="10">
        <v>45319</v>
      </c>
      <c r="C33" s="10" t="str">
        <f t="shared" si="0"/>
        <v>1</v>
      </c>
      <c r="D33" s="11"/>
      <c r="E33" s="9"/>
      <c r="F33" s="12" t="str">
        <f>IFERROR(VLOOKUP(D33,'REFERENCING &amp; DATABASE'!$D$2:$K$131,2,FALSE),"")</f>
        <v/>
      </c>
      <c r="G33" s="9" t="str">
        <f>IFERROR(VLOOKUP(D33,'REFERENCING &amp; DATABASE'!$D$2:$K$131,8,FALSE),"")</f>
        <v/>
      </c>
      <c r="H33" s="9" t="str">
        <f t="shared" si="1"/>
        <v/>
      </c>
    </row>
    <row r="34" spans="1:8" s="4" customFormat="1">
      <c r="A34" s="9" t="s">
        <v>70</v>
      </c>
      <c r="B34" s="10">
        <v>45320</v>
      </c>
      <c r="C34" s="10" t="str">
        <f t="shared" si="0"/>
        <v>1</v>
      </c>
      <c r="D34" s="11"/>
      <c r="E34" s="9"/>
      <c r="F34" s="12" t="str">
        <f>IFERROR(VLOOKUP(D34,'REFERENCING &amp; DATABASE'!$D$2:$K$131,2,FALSE),"")</f>
        <v/>
      </c>
      <c r="G34" s="9" t="str">
        <f>IFERROR(VLOOKUP(D34,'REFERENCING &amp; DATABASE'!$D$2:$K$131,8,FALSE),"")</f>
        <v/>
      </c>
      <c r="H34" s="9" t="str">
        <f t="shared" si="1"/>
        <v/>
      </c>
    </row>
    <row r="35" spans="1:8" s="4" customFormat="1">
      <c r="A35" s="9" t="s">
        <v>70</v>
      </c>
      <c r="B35" s="10">
        <v>45321</v>
      </c>
      <c r="C35" s="10" t="str">
        <f t="shared" si="0"/>
        <v>1</v>
      </c>
      <c r="D35" s="11"/>
      <c r="E35" s="9"/>
      <c r="F35" s="12" t="str">
        <f>IFERROR(VLOOKUP(D35,'REFERENCING &amp; DATABASE'!$D$2:$K$131,2,FALSE),"")</f>
        <v/>
      </c>
      <c r="G35" s="9" t="str">
        <f>IFERROR(VLOOKUP(D35,'REFERENCING &amp; DATABASE'!$D$2:$K$131,8,FALSE),"")</f>
        <v/>
      </c>
      <c r="H35" s="9" t="str">
        <f t="shared" si="1"/>
        <v/>
      </c>
    </row>
    <row r="36" spans="1:8" s="4" customFormat="1">
      <c r="A36" s="9" t="s">
        <v>70</v>
      </c>
      <c r="B36" s="10">
        <v>45322</v>
      </c>
      <c r="C36" s="10" t="str">
        <f t="shared" si="0"/>
        <v>1</v>
      </c>
      <c r="D36" s="11"/>
      <c r="E36" s="9"/>
      <c r="F36" s="12" t="str">
        <f>IFERROR(VLOOKUP(D36,'REFERENCING &amp; DATABASE'!$D$2:$K$131,2,FALSE),"")</f>
        <v/>
      </c>
      <c r="G36" s="9" t="str">
        <f>IFERROR(VLOOKUP(D36,'REFERENCING &amp; DATABASE'!$D$2:$K$131,8,FALSE),"")</f>
        <v/>
      </c>
      <c r="H36" s="9" t="str">
        <f t="shared" si="1"/>
        <v/>
      </c>
    </row>
    <row r="37" spans="1:8" s="4" customFormat="1">
      <c r="A37" s="79" t="s">
        <v>80</v>
      </c>
      <c r="B37" s="10">
        <v>45323</v>
      </c>
      <c r="C37" s="10" t="str">
        <f t="shared" si="0"/>
        <v>2</v>
      </c>
      <c r="D37" s="11"/>
      <c r="E37" s="9"/>
      <c r="F37" s="12" t="str">
        <f>IFERROR(VLOOKUP(D37,'REFERENCING &amp; DATABASE'!$D$2:$K$131,2,FALSE),"")</f>
        <v/>
      </c>
      <c r="G37" s="9" t="str">
        <f>IFERROR(VLOOKUP(D37,'REFERENCING &amp; DATABASE'!$D$2:$K$131,8,FALSE),"")</f>
        <v/>
      </c>
      <c r="H37" s="9" t="str">
        <f t="shared" si="1"/>
        <v/>
      </c>
    </row>
    <row r="38" spans="1:8" s="4" customFormat="1">
      <c r="A38" s="79" t="s">
        <v>80</v>
      </c>
      <c r="B38" s="10">
        <v>45324</v>
      </c>
      <c r="C38" s="10" t="str">
        <f t="shared" si="0"/>
        <v>2</v>
      </c>
      <c r="D38" s="11"/>
      <c r="E38" s="9"/>
      <c r="F38" s="12" t="str">
        <f>IFERROR(VLOOKUP(D38,'REFERENCING &amp; DATABASE'!$D$2:$K$131,2,FALSE),"")</f>
        <v/>
      </c>
      <c r="G38" s="9" t="str">
        <f>IFERROR(VLOOKUP(D38,'REFERENCING &amp; DATABASE'!$D$2:$K$131,8,FALSE),"")</f>
        <v/>
      </c>
      <c r="H38" s="9" t="str">
        <f t="shared" si="1"/>
        <v/>
      </c>
    </row>
    <row r="39" spans="1:8" s="4" customFormat="1" ht="12" customHeight="1">
      <c r="A39" s="79" t="s">
        <v>80</v>
      </c>
      <c r="B39" s="10">
        <v>45325</v>
      </c>
      <c r="C39" s="10" t="str">
        <f t="shared" si="0"/>
        <v>2</v>
      </c>
      <c r="D39" s="11"/>
      <c r="E39" s="9"/>
      <c r="F39" s="12" t="str">
        <f>IFERROR(VLOOKUP(D39,'REFERENCING &amp; DATABASE'!$D$2:$K$131,2,FALSE),"")</f>
        <v/>
      </c>
      <c r="G39" s="9" t="str">
        <f>IFERROR(VLOOKUP(D39,'REFERENCING &amp; DATABASE'!$D$2:$K$131,8,FALSE),"")</f>
        <v/>
      </c>
      <c r="H39" s="9" t="str">
        <f t="shared" si="1"/>
        <v/>
      </c>
    </row>
    <row r="40" spans="1:8" s="4" customFormat="1">
      <c r="A40" s="9" t="s">
        <v>80</v>
      </c>
      <c r="B40" s="10">
        <v>45326</v>
      </c>
      <c r="C40" s="10" t="str">
        <f t="shared" si="0"/>
        <v>2</v>
      </c>
      <c r="D40" s="11"/>
      <c r="F40" s="80"/>
    </row>
    <row r="41" spans="1:8" s="4" customFormat="1">
      <c r="A41" s="9" t="s">
        <v>81</v>
      </c>
      <c r="B41" s="10">
        <v>45327</v>
      </c>
      <c r="C41" s="10" t="str">
        <f t="shared" si="0"/>
        <v>2</v>
      </c>
      <c r="D41" s="11"/>
      <c r="F41" s="80"/>
    </row>
    <row r="42" spans="1:8" s="4" customFormat="1">
      <c r="A42" s="9" t="s">
        <v>82</v>
      </c>
      <c r="B42" s="10">
        <v>45328</v>
      </c>
      <c r="C42" s="10" t="str">
        <f t="shared" si="0"/>
        <v>2</v>
      </c>
      <c r="D42" s="11"/>
      <c r="F42" s="80"/>
    </row>
    <row r="43" spans="1:8" s="4" customFormat="1">
      <c r="D43" s="11"/>
      <c r="F43" s="80"/>
    </row>
    <row r="44" spans="1:8" s="4" customFormat="1">
      <c r="D44" s="11"/>
      <c r="F44" s="80"/>
    </row>
    <row r="45" spans="1:8" s="4" customFormat="1">
      <c r="D45" s="11"/>
      <c r="F45" s="80"/>
    </row>
    <row r="46" spans="1:8" s="4" customFormat="1">
      <c r="D46" s="11"/>
      <c r="F46" s="80"/>
    </row>
    <row r="47" spans="1:8" s="4" customFormat="1">
      <c r="D47" s="11"/>
      <c r="F47" s="80"/>
    </row>
    <row r="48" spans="1:8" s="4" customFormat="1">
      <c r="D48" s="11"/>
      <c r="F48" s="80"/>
    </row>
    <row r="49" spans="4:6" s="4" customFormat="1">
      <c r="D49" s="11"/>
      <c r="F49" s="80"/>
    </row>
    <row r="50" spans="4:6" s="4" customFormat="1">
      <c r="D50" s="11"/>
      <c r="F50" s="80"/>
    </row>
    <row r="51" spans="4:6" s="4" customFormat="1">
      <c r="D51" s="11"/>
      <c r="F51" s="80"/>
    </row>
    <row r="52" spans="4:6" s="4" customFormat="1">
      <c r="D52" s="11"/>
      <c r="F52" s="80"/>
    </row>
    <row r="53" spans="4:6" s="4" customFormat="1">
      <c r="D53" s="11"/>
      <c r="F53" s="80"/>
    </row>
    <row r="54" spans="4:6" s="4" customFormat="1">
      <c r="D54" s="11"/>
      <c r="F54" s="80"/>
    </row>
    <row r="55" spans="4:6" s="4" customFormat="1">
      <c r="D55" s="11"/>
      <c r="F55" s="80"/>
    </row>
    <row r="56" spans="4:6" s="4" customFormat="1">
      <c r="D56" s="11"/>
      <c r="F56" s="80"/>
    </row>
    <row r="57" spans="4:6" s="4" customFormat="1">
      <c r="D57" s="11"/>
      <c r="F57" s="80"/>
    </row>
    <row r="58" spans="4:6" s="4" customFormat="1">
      <c r="D58" s="11"/>
      <c r="F58" s="80"/>
    </row>
    <row r="59" spans="4:6" s="4" customFormat="1">
      <c r="D59" s="11"/>
      <c r="F59" s="80"/>
    </row>
    <row r="60" spans="4:6" s="4" customFormat="1">
      <c r="D60" s="11"/>
      <c r="F60" s="80"/>
    </row>
    <row r="61" spans="4:6" s="4" customFormat="1">
      <c r="D61" s="11"/>
      <c r="F61" s="80"/>
    </row>
    <row r="62" spans="4:6" s="4" customFormat="1">
      <c r="D62" s="11"/>
      <c r="F62" s="80"/>
    </row>
    <row r="63" spans="4:6" s="4" customFormat="1">
      <c r="D63" s="11"/>
      <c r="F63" s="80"/>
    </row>
    <row r="64" spans="4:6" s="4" customFormat="1">
      <c r="D64" s="11"/>
      <c r="F64" s="80"/>
    </row>
    <row r="65" spans="4:6" s="4" customFormat="1">
      <c r="D65" s="11"/>
      <c r="F65" s="80"/>
    </row>
    <row r="66" spans="4:6" s="4" customFormat="1">
      <c r="D66" s="11"/>
      <c r="F66" s="80"/>
    </row>
    <row r="67" spans="4:6" s="4" customFormat="1">
      <c r="D67" s="11"/>
      <c r="F67" s="80"/>
    </row>
    <row r="68" spans="4:6" s="4" customFormat="1">
      <c r="D68" s="11"/>
      <c r="F68" s="80"/>
    </row>
    <row r="69" spans="4:6" s="4" customFormat="1">
      <c r="D69" s="11"/>
      <c r="F69" s="80"/>
    </row>
    <row r="70" spans="4:6" s="4" customFormat="1">
      <c r="D70" s="11"/>
      <c r="F70" s="80"/>
    </row>
    <row r="71" spans="4:6" s="4" customFormat="1">
      <c r="D71" s="11"/>
      <c r="F71" s="80"/>
    </row>
    <row r="72" spans="4:6" s="4" customFormat="1">
      <c r="D72" s="11"/>
      <c r="F72" s="80"/>
    </row>
    <row r="73" spans="4:6" s="4" customFormat="1">
      <c r="D73" s="11"/>
      <c r="F73" s="80"/>
    </row>
    <row r="74" spans="4:6" s="4" customFormat="1">
      <c r="D74" s="11"/>
      <c r="F74" s="80"/>
    </row>
    <row r="75" spans="4:6" s="4" customFormat="1">
      <c r="D75" s="11"/>
      <c r="F75" s="80"/>
    </row>
    <row r="76" spans="4:6" s="4" customFormat="1">
      <c r="D76" s="11"/>
      <c r="F76" s="80"/>
    </row>
    <row r="77" spans="4:6" s="4" customFormat="1">
      <c r="D77" s="11"/>
      <c r="F77" s="80"/>
    </row>
    <row r="78" spans="4:6" s="4" customFormat="1">
      <c r="D78" s="11"/>
      <c r="F78" s="80"/>
    </row>
    <row r="79" spans="4:6" s="4" customFormat="1">
      <c r="D79" s="11"/>
      <c r="F79" s="80"/>
    </row>
    <row r="80" spans="4:6" s="4" customFormat="1">
      <c r="D80" s="11"/>
      <c r="F80" s="80"/>
    </row>
    <row r="81" spans="4:6" s="4" customFormat="1">
      <c r="D81" s="11"/>
      <c r="F81" s="80"/>
    </row>
    <row r="82" spans="4:6" s="4" customFormat="1">
      <c r="D82" s="11"/>
      <c r="F82" s="80"/>
    </row>
    <row r="83" spans="4:6" s="4" customFormat="1">
      <c r="D83" s="11"/>
      <c r="F83" s="80"/>
    </row>
    <row r="84" spans="4:6" s="4" customFormat="1">
      <c r="D84" s="11"/>
      <c r="F84" s="80"/>
    </row>
    <row r="85" spans="4:6" s="4" customFormat="1">
      <c r="D85" s="11"/>
      <c r="F85" s="80"/>
    </row>
    <row r="86" spans="4:6" s="4" customFormat="1">
      <c r="D86" s="11"/>
      <c r="F86" s="80"/>
    </row>
    <row r="87" spans="4:6" s="4" customFormat="1">
      <c r="D87" s="11"/>
      <c r="F87" s="80"/>
    </row>
    <row r="88" spans="4:6" s="4" customFormat="1">
      <c r="D88" s="11"/>
      <c r="F88" s="80"/>
    </row>
    <row r="89" spans="4:6" s="4" customFormat="1">
      <c r="D89" s="11"/>
      <c r="F89" s="80"/>
    </row>
    <row r="90" spans="4:6" s="4" customFormat="1">
      <c r="D90" s="11"/>
      <c r="F90" s="80"/>
    </row>
    <row r="91" spans="4:6" s="4" customFormat="1">
      <c r="D91" s="11"/>
      <c r="F91" s="80"/>
    </row>
    <row r="92" spans="4:6" s="4" customFormat="1">
      <c r="D92" s="11"/>
      <c r="F92" s="80"/>
    </row>
    <row r="93" spans="4:6" s="4" customFormat="1">
      <c r="D93" s="11"/>
      <c r="F93" s="80"/>
    </row>
    <row r="94" spans="4:6" s="4" customFormat="1">
      <c r="D94" s="11"/>
      <c r="F94" s="80"/>
    </row>
    <row r="95" spans="4:6" s="4" customFormat="1">
      <c r="D95" s="11"/>
      <c r="F95" s="80"/>
    </row>
    <row r="96" spans="4:6" s="4" customFormat="1">
      <c r="D96" s="11"/>
      <c r="F96" s="80"/>
    </row>
    <row r="97" spans="4:6" s="4" customFormat="1">
      <c r="D97" s="11"/>
      <c r="F97" s="80"/>
    </row>
    <row r="98" spans="4:6" s="4" customFormat="1">
      <c r="D98" s="11"/>
      <c r="F98" s="80"/>
    </row>
    <row r="99" spans="4:6" s="4" customFormat="1">
      <c r="D99" s="11"/>
      <c r="F99" s="80"/>
    </row>
    <row r="100" spans="4:6" s="4" customFormat="1">
      <c r="D100" s="11"/>
      <c r="F100" s="80"/>
    </row>
    <row r="101" spans="4:6" s="4" customFormat="1">
      <c r="D101" s="11"/>
      <c r="F101" s="80"/>
    </row>
    <row r="102" spans="4:6" s="4" customFormat="1">
      <c r="D102" s="11"/>
      <c r="F102" s="80"/>
    </row>
    <row r="103" spans="4:6" s="4" customFormat="1">
      <c r="D103" s="11"/>
      <c r="F103" s="80"/>
    </row>
    <row r="104" spans="4:6" s="4" customFormat="1">
      <c r="D104" s="11"/>
      <c r="F104" s="80"/>
    </row>
    <row r="105" spans="4:6" s="4" customFormat="1">
      <c r="D105" s="11"/>
      <c r="F105" s="80"/>
    </row>
    <row r="106" spans="4:6" s="4" customFormat="1">
      <c r="D106" s="11"/>
      <c r="F106" s="80"/>
    </row>
    <row r="107" spans="4:6" s="4" customFormat="1">
      <c r="D107" s="11"/>
      <c r="F107" s="80"/>
    </row>
    <row r="108" spans="4:6" s="4" customFormat="1">
      <c r="D108" s="11"/>
      <c r="F108" s="80"/>
    </row>
    <row r="109" spans="4:6" s="4" customFormat="1">
      <c r="D109" s="11"/>
      <c r="F109" s="80"/>
    </row>
    <row r="110" spans="4:6" s="4" customFormat="1">
      <c r="D110" s="11"/>
      <c r="F110" s="80"/>
    </row>
    <row r="111" spans="4:6" s="4" customFormat="1">
      <c r="D111" s="11"/>
      <c r="F111" s="80"/>
    </row>
    <row r="112" spans="4:6" s="4" customFormat="1">
      <c r="D112" s="11"/>
      <c r="F112" s="80"/>
    </row>
    <row r="113" spans="4:6" s="4" customFormat="1">
      <c r="D113" s="11"/>
      <c r="F113" s="80"/>
    </row>
    <row r="114" spans="4:6" s="4" customFormat="1">
      <c r="D114" s="11"/>
      <c r="F114" s="80"/>
    </row>
    <row r="115" spans="4:6" s="4" customFormat="1">
      <c r="D115" s="11"/>
      <c r="F115" s="80"/>
    </row>
    <row r="116" spans="4:6" s="4" customFormat="1">
      <c r="D116" s="11"/>
      <c r="F116" s="80"/>
    </row>
    <row r="117" spans="4:6" s="4" customFormat="1">
      <c r="D117" s="11"/>
      <c r="F117" s="80"/>
    </row>
    <row r="118" spans="4:6" s="4" customFormat="1">
      <c r="D118" s="11"/>
      <c r="F118" s="80"/>
    </row>
    <row r="119" spans="4:6" s="4" customFormat="1">
      <c r="D119" s="11"/>
      <c r="F119" s="80"/>
    </row>
    <row r="120" spans="4:6" s="4" customFormat="1">
      <c r="D120" s="11"/>
      <c r="F120" s="80"/>
    </row>
    <row r="121" spans="4:6" s="4" customFormat="1">
      <c r="D121" s="11"/>
      <c r="F121" s="80"/>
    </row>
    <row r="122" spans="4:6" s="4" customFormat="1">
      <c r="D122" s="11"/>
      <c r="F122" s="80"/>
    </row>
    <row r="123" spans="4:6" s="4" customFormat="1">
      <c r="D123" s="11"/>
      <c r="F123" s="80"/>
    </row>
    <row r="124" spans="4:6" s="4" customFormat="1">
      <c r="D124" s="11"/>
      <c r="F124" s="80"/>
    </row>
    <row r="125" spans="4:6" s="4" customFormat="1">
      <c r="D125" s="11"/>
      <c r="F125" s="80"/>
    </row>
    <row r="126" spans="4:6" s="4" customFormat="1">
      <c r="D126" s="11"/>
      <c r="F126" s="80"/>
    </row>
    <row r="127" spans="4:6" s="4" customFormat="1">
      <c r="D127" s="11"/>
      <c r="F127" s="80"/>
    </row>
    <row r="128" spans="4:6" s="4" customFormat="1">
      <c r="D128" s="11"/>
      <c r="F128" s="80"/>
    </row>
    <row r="129" spans="4:6" s="4" customFormat="1">
      <c r="D129" s="11"/>
      <c r="F129" s="80"/>
    </row>
    <row r="130" spans="4:6" s="4" customFormat="1">
      <c r="D130" s="11"/>
      <c r="F130" s="80"/>
    </row>
    <row r="131" spans="4:6" s="4" customFormat="1">
      <c r="D131" s="11"/>
      <c r="F131" s="80"/>
    </row>
    <row r="132" spans="4:6" s="4" customFormat="1">
      <c r="D132" s="11"/>
      <c r="F132" s="80"/>
    </row>
    <row r="133" spans="4:6" s="4" customFormat="1">
      <c r="D133" s="11"/>
      <c r="F133" s="80"/>
    </row>
    <row r="134" spans="4:6" s="4" customFormat="1">
      <c r="D134" s="11"/>
      <c r="F134" s="80"/>
    </row>
    <row r="135" spans="4:6" s="4" customFormat="1">
      <c r="D135" s="11"/>
      <c r="F135" s="80"/>
    </row>
    <row r="136" spans="4:6" s="4" customFormat="1">
      <c r="D136" s="11"/>
      <c r="F136" s="80"/>
    </row>
    <row r="137" spans="4:6" s="4" customFormat="1">
      <c r="D137" s="11"/>
      <c r="F137" s="80"/>
    </row>
    <row r="138" spans="4:6" s="4" customFormat="1">
      <c r="D138" s="11"/>
      <c r="F138" s="80"/>
    </row>
    <row r="139" spans="4:6" s="4" customFormat="1">
      <c r="D139" s="11"/>
      <c r="F139" s="80"/>
    </row>
    <row r="140" spans="4:6" s="4" customFormat="1">
      <c r="D140" s="11"/>
      <c r="F140" s="80"/>
    </row>
    <row r="141" spans="4:6" s="4" customFormat="1">
      <c r="D141" s="11"/>
      <c r="F141" s="80"/>
    </row>
    <row r="142" spans="4:6" s="4" customFormat="1">
      <c r="D142" s="11"/>
      <c r="F142" s="80"/>
    </row>
    <row r="143" spans="4:6" s="4" customFormat="1">
      <c r="D143" s="11"/>
      <c r="F143" s="80"/>
    </row>
    <row r="144" spans="4:6" s="4" customFormat="1">
      <c r="D144" s="11"/>
      <c r="F144" s="80"/>
    </row>
    <row r="145" spans="4:6" s="4" customFormat="1">
      <c r="D145" s="11"/>
      <c r="F145" s="80"/>
    </row>
    <row r="146" spans="4:6" s="4" customFormat="1">
      <c r="D146" s="11"/>
      <c r="F146" s="80"/>
    </row>
    <row r="147" spans="4:6" s="4" customFormat="1">
      <c r="D147" s="11"/>
      <c r="F147" s="80"/>
    </row>
    <row r="148" spans="4:6" s="4" customFormat="1">
      <c r="D148" s="11"/>
      <c r="F148" s="80"/>
    </row>
    <row r="149" spans="4:6" s="4" customFormat="1">
      <c r="D149" s="11"/>
      <c r="F149" s="80"/>
    </row>
    <row r="150" spans="4:6" s="4" customFormat="1">
      <c r="D150" s="11"/>
      <c r="F150" s="80"/>
    </row>
    <row r="151" spans="4:6" s="4" customFormat="1">
      <c r="D151" s="11"/>
      <c r="F151" s="80"/>
    </row>
    <row r="152" spans="4:6" s="4" customFormat="1">
      <c r="D152" s="11"/>
      <c r="F152" s="80"/>
    </row>
    <row r="153" spans="4:6" s="4" customFormat="1">
      <c r="D153" s="11"/>
      <c r="F153" s="80"/>
    </row>
    <row r="154" spans="4:6" s="4" customFormat="1">
      <c r="D154" s="11"/>
      <c r="F154" s="80"/>
    </row>
    <row r="155" spans="4:6" s="4" customFormat="1">
      <c r="D155" s="11"/>
      <c r="F155" s="80"/>
    </row>
    <row r="156" spans="4:6" s="4" customFormat="1">
      <c r="D156" s="11"/>
      <c r="F156" s="80"/>
    </row>
    <row r="157" spans="4:6" s="4" customFormat="1">
      <c r="D157" s="11"/>
      <c r="F157" s="80"/>
    </row>
    <row r="158" spans="4:6" s="4" customFormat="1">
      <c r="D158" s="11"/>
      <c r="F158" s="80"/>
    </row>
    <row r="159" spans="4:6" s="4" customFormat="1">
      <c r="D159" s="11"/>
      <c r="F159" s="80"/>
    </row>
    <row r="160" spans="4:6" s="4" customFormat="1">
      <c r="D160" s="11"/>
      <c r="F160" s="80"/>
    </row>
    <row r="161" spans="4:6" s="4" customFormat="1">
      <c r="D161" s="11"/>
      <c r="F161" s="80"/>
    </row>
    <row r="162" spans="4:6" s="4" customFormat="1">
      <c r="D162" s="11"/>
      <c r="F162" s="80"/>
    </row>
    <row r="163" spans="4:6" s="4" customFormat="1">
      <c r="D163" s="11"/>
      <c r="F163" s="80"/>
    </row>
    <row r="164" spans="4:6" s="4" customFormat="1">
      <c r="D164" s="11"/>
      <c r="F164" s="80"/>
    </row>
    <row r="165" spans="4:6" s="4" customFormat="1">
      <c r="D165" s="11"/>
      <c r="F165" s="80"/>
    </row>
    <row r="166" spans="4:6" s="4" customFormat="1">
      <c r="D166" s="11"/>
      <c r="F166" s="80"/>
    </row>
    <row r="167" spans="4:6" s="4" customFormat="1">
      <c r="D167" s="11"/>
      <c r="F167" s="80"/>
    </row>
    <row r="168" spans="4:6" s="4" customFormat="1">
      <c r="D168" s="11"/>
      <c r="F168" s="80"/>
    </row>
    <row r="169" spans="4:6" s="4" customFormat="1">
      <c r="D169" s="11"/>
      <c r="F169" s="80"/>
    </row>
    <row r="170" spans="4:6" s="4" customFormat="1">
      <c r="D170" s="11"/>
      <c r="F170" s="80"/>
    </row>
    <row r="171" spans="4:6" s="4" customFormat="1">
      <c r="D171" s="11"/>
      <c r="F171" s="80"/>
    </row>
    <row r="172" spans="4:6" s="4" customFormat="1">
      <c r="D172" s="11"/>
      <c r="F172" s="80"/>
    </row>
    <row r="173" spans="4:6" s="4" customFormat="1">
      <c r="D173" s="11"/>
      <c r="F173" s="80"/>
    </row>
    <row r="174" spans="4:6" s="4" customFormat="1">
      <c r="D174" s="11"/>
      <c r="F174" s="80"/>
    </row>
    <row r="175" spans="4:6" s="4" customFormat="1">
      <c r="D175" s="11"/>
      <c r="F175" s="80"/>
    </row>
    <row r="176" spans="4:6" s="4" customFormat="1">
      <c r="D176" s="11"/>
      <c r="F176" s="80"/>
    </row>
    <row r="177" spans="4:6" s="4" customFormat="1">
      <c r="D177" s="11"/>
      <c r="F177" s="80"/>
    </row>
    <row r="178" spans="4:6" s="4" customFormat="1">
      <c r="D178" s="11"/>
      <c r="F178" s="80"/>
    </row>
    <row r="179" spans="4:6" s="4" customFormat="1">
      <c r="D179" s="11"/>
      <c r="F179" s="80"/>
    </row>
    <row r="180" spans="4:6" s="4" customFormat="1">
      <c r="D180" s="11"/>
      <c r="F180" s="80"/>
    </row>
    <row r="181" spans="4:6" s="4" customFormat="1">
      <c r="D181" s="11"/>
      <c r="F181" s="80"/>
    </row>
    <row r="182" spans="4:6" s="4" customFormat="1">
      <c r="D182" s="11"/>
      <c r="F182" s="80"/>
    </row>
    <row r="183" spans="4:6" s="4" customFormat="1">
      <c r="D183" s="11"/>
      <c r="F183" s="80"/>
    </row>
    <row r="184" spans="4:6" s="4" customFormat="1">
      <c r="D184" s="11"/>
      <c r="F184" s="80"/>
    </row>
    <row r="185" spans="4:6" s="4" customFormat="1">
      <c r="D185" s="11"/>
      <c r="F185" s="80"/>
    </row>
    <row r="186" spans="4:6" s="4" customFormat="1">
      <c r="D186" s="11"/>
      <c r="F186" s="80"/>
    </row>
    <row r="187" spans="4:6" s="4" customFormat="1">
      <c r="D187" s="11"/>
      <c r="F187" s="80"/>
    </row>
    <row r="188" spans="4:6" s="4" customFormat="1">
      <c r="D188" s="11"/>
      <c r="F188" s="80"/>
    </row>
    <row r="189" spans="4:6" s="4" customFormat="1">
      <c r="D189" s="11"/>
      <c r="F189" s="80"/>
    </row>
    <row r="190" spans="4:6" s="4" customFormat="1">
      <c r="D190" s="11"/>
      <c r="F190" s="80"/>
    </row>
    <row r="191" spans="4:6" s="4" customFormat="1">
      <c r="D191" s="11"/>
      <c r="F191" s="80"/>
    </row>
    <row r="192" spans="4:6" s="4" customFormat="1">
      <c r="D192" s="11"/>
      <c r="F192" s="80"/>
    </row>
    <row r="193" spans="4:6" s="4" customFormat="1">
      <c r="D193" s="11"/>
      <c r="F193" s="80"/>
    </row>
    <row r="194" spans="4:6" s="4" customFormat="1">
      <c r="D194" s="11"/>
      <c r="F194" s="80"/>
    </row>
    <row r="195" spans="4:6" s="4" customFormat="1">
      <c r="D195" s="11"/>
      <c r="F195" s="80"/>
    </row>
    <row r="196" spans="4:6" s="4" customFormat="1">
      <c r="D196" s="11"/>
      <c r="F196" s="80"/>
    </row>
    <row r="197" spans="4:6" s="4" customFormat="1">
      <c r="D197" s="11"/>
      <c r="F197" s="80"/>
    </row>
    <row r="198" spans="4:6" s="4" customFormat="1">
      <c r="D198" s="11"/>
      <c r="F198" s="80"/>
    </row>
    <row r="199" spans="4:6" s="4" customFormat="1">
      <c r="D199" s="11"/>
      <c r="F199" s="80"/>
    </row>
    <row r="200" spans="4:6" s="4" customFormat="1">
      <c r="D200" s="11"/>
      <c r="F200" s="80"/>
    </row>
    <row r="201" spans="4:6" s="4" customFormat="1">
      <c r="D201" s="11"/>
      <c r="F201" s="80"/>
    </row>
    <row r="202" spans="4:6" s="4" customFormat="1">
      <c r="D202" s="11"/>
      <c r="F202" s="80"/>
    </row>
    <row r="203" spans="4:6" s="4" customFormat="1">
      <c r="D203" s="11"/>
      <c r="F203" s="80"/>
    </row>
    <row r="204" spans="4:6" s="4" customFormat="1">
      <c r="D204" s="11"/>
      <c r="F204" s="80"/>
    </row>
    <row r="205" spans="4:6" s="4" customFormat="1">
      <c r="D205" s="11"/>
      <c r="F205" s="80"/>
    </row>
    <row r="206" spans="4:6" s="4" customFormat="1">
      <c r="D206" s="11"/>
      <c r="F206" s="80"/>
    </row>
    <row r="207" spans="4:6" s="4" customFormat="1">
      <c r="D207" s="11"/>
      <c r="F207" s="80"/>
    </row>
    <row r="208" spans="4:6" s="4" customFormat="1">
      <c r="D208" s="11"/>
      <c r="F208" s="80"/>
    </row>
    <row r="209" spans="4:6" s="4" customFormat="1">
      <c r="D209" s="11"/>
      <c r="F209" s="80"/>
    </row>
    <row r="210" spans="4:6" s="4" customFormat="1">
      <c r="D210" s="11"/>
      <c r="F210" s="80"/>
    </row>
    <row r="211" spans="4:6" s="4" customFormat="1">
      <c r="D211" s="11"/>
      <c r="F211" s="80"/>
    </row>
    <row r="212" spans="4:6" s="4" customFormat="1">
      <c r="D212" s="11"/>
      <c r="F212" s="80"/>
    </row>
    <row r="213" spans="4:6" s="4" customFormat="1">
      <c r="D213" s="11"/>
      <c r="F213" s="80"/>
    </row>
    <row r="214" spans="4:6" s="4" customFormat="1">
      <c r="D214" s="11"/>
      <c r="F214" s="80"/>
    </row>
    <row r="215" spans="4:6" s="4" customFormat="1">
      <c r="D215" s="11"/>
      <c r="F215" s="80"/>
    </row>
    <row r="216" spans="4:6" s="4" customFormat="1">
      <c r="D216" s="11"/>
      <c r="F216" s="80"/>
    </row>
    <row r="217" spans="4:6" s="4" customFormat="1">
      <c r="D217" s="11"/>
      <c r="F217" s="80"/>
    </row>
    <row r="218" spans="4:6" s="4" customFormat="1">
      <c r="D218" s="11"/>
      <c r="F218" s="80"/>
    </row>
    <row r="219" spans="4:6" s="4" customFormat="1">
      <c r="D219" s="11"/>
      <c r="F219" s="80"/>
    </row>
    <row r="220" spans="4:6" s="4" customFormat="1">
      <c r="D220" s="11"/>
      <c r="F220" s="80"/>
    </row>
    <row r="221" spans="4:6" s="4" customFormat="1">
      <c r="D221" s="11"/>
      <c r="F221" s="80"/>
    </row>
    <row r="222" spans="4:6" s="4" customFormat="1">
      <c r="D222" s="11"/>
      <c r="F222" s="80"/>
    </row>
    <row r="223" spans="4:6" s="4" customFormat="1">
      <c r="D223" s="11"/>
      <c r="F223" s="80"/>
    </row>
    <row r="224" spans="4:6" s="4" customFormat="1">
      <c r="D224" s="11"/>
      <c r="F224" s="80"/>
    </row>
    <row r="225" spans="4:6" s="4" customFormat="1">
      <c r="D225" s="11"/>
      <c r="F225" s="80"/>
    </row>
    <row r="226" spans="4:6" s="4" customFormat="1">
      <c r="D226" s="11"/>
      <c r="F226" s="80"/>
    </row>
    <row r="227" spans="4:6" s="4" customFormat="1">
      <c r="D227" s="11"/>
      <c r="F227" s="80"/>
    </row>
    <row r="228" spans="4:6" s="4" customFormat="1">
      <c r="D228" s="11"/>
      <c r="F228" s="80"/>
    </row>
    <row r="229" spans="4:6" s="4" customFormat="1">
      <c r="D229" s="11"/>
      <c r="F229" s="80"/>
    </row>
    <row r="230" spans="4:6" s="4" customFormat="1">
      <c r="D230" s="11"/>
      <c r="F230" s="80"/>
    </row>
    <row r="231" spans="4:6" s="4" customFormat="1">
      <c r="D231" s="11"/>
      <c r="F231" s="80"/>
    </row>
    <row r="232" spans="4:6" s="4" customFormat="1">
      <c r="D232" s="11"/>
      <c r="F232" s="80"/>
    </row>
    <row r="233" spans="4:6" s="4" customFormat="1">
      <c r="D233" s="11"/>
      <c r="F233" s="80"/>
    </row>
    <row r="234" spans="4:6" s="4" customFormat="1">
      <c r="D234" s="11"/>
      <c r="F234" s="80"/>
    </row>
    <row r="235" spans="4:6" s="4" customFormat="1">
      <c r="D235" s="11"/>
      <c r="F235" s="80"/>
    </row>
    <row r="236" spans="4:6" s="4" customFormat="1">
      <c r="D236" s="11"/>
      <c r="F236" s="80"/>
    </row>
    <row r="237" spans="4:6" s="4" customFormat="1">
      <c r="D237" s="11"/>
      <c r="F237" s="80"/>
    </row>
    <row r="238" spans="4:6" s="4" customFormat="1">
      <c r="D238" s="11"/>
      <c r="F238" s="80"/>
    </row>
    <row r="239" spans="4:6" s="4" customFormat="1">
      <c r="D239" s="11"/>
      <c r="F239" s="80"/>
    </row>
    <row r="240" spans="4:6" s="4" customFormat="1">
      <c r="D240" s="11"/>
      <c r="F240" s="80"/>
    </row>
    <row r="241" spans="4:6" s="4" customFormat="1">
      <c r="D241" s="11"/>
      <c r="F241" s="80"/>
    </row>
    <row r="242" spans="4:6" s="4" customFormat="1">
      <c r="D242" s="11"/>
      <c r="F242" s="80"/>
    </row>
    <row r="243" spans="4:6" s="4" customFormat="1">
      <c r="D243" s="11"/>
      <c r="F243" s="80"/>
    </row>
    <row r="244" spans="4:6" s="4" customFormat="1">
      <c r="D244" s="11"/>
      <c r="F244" s="80"/>
    </row>
    <row r="245" spans="4:6" s="4" customFormat="1">
      <c r="D245" s="11"/>
      <c r="F245" s="80"/>
    </row>
    <row r="246" spans="4:6" s="4" customFormat="1">
      <c r="D246" s="11"/>
      <c r="F246" s="80"/>
    </row>
  </sheetData>
  <mergeCells count="1">
    <mergeCell ref="A1:G4"/>
  </mergeCells>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2:AA153"/>
  <sheetViews>
    <sheetView topLeftCell="A102" zoomScale="77" workbookViewId="0">
      <selection activeCell="K128" sqref="K128"/>
    </sheetView>
  </sheetViews>
  <sheetFormatPr defaultColWidth="9" defaultRowHeight="15"/>
  <cols>
    <col min="1" max="13" width="9" style="67"/>
    <col min="14" max="14" width="8.42578125" style="67" customWidth="1"/>
    <col min="15" max="15" width="9" style="67" hidden="1" customWidth="1"/>
    <col min="16" max="16" width="0.42578125" style="67" hidden="1" customWidth="1"/>
    <col min="17" max="17" width="5.5703125" style="67" hidden="1" customWidth="1"/>
    <col min="18" max="18" width="5.7109375" style="67" hidden="1" customWidth="1"/>
    <col min="19" max="19" width="9" style="67" hidden="1" customWidth="1"/>
    <col min="20" max="16384" width="9" style="67"/>
  </cols>
  <sheetData>
    <row r="12" spans="1:1">
      <c r="A12" s="119"/>
    </row>
    <row r="23" spans="1:19" ht="6.75" customHeight="1"/>
    <row r="24" spans="1:19" ht="38.25" customHeight="1">
      <c r="A24" s="129" t="s">
        <v>267</v>
      </c>
      <c r="B24" s="129"/>
      <c r="C24" s="129"/>
      <c r="D24" s="129"/>
      <c r="E24" s="129"/>
      <c r="F24" s="129"/>
      <c r="G24" s="129"/>
      <c r="H24" s="129"/>
      <c r="I24" s="129"/>
      <c r="J24" s="129"/>
      <c r="K24" s="129"/>
      <c r="L24" s="129"/>
      <c r="M24" s="129"/>
      <c r="N24" s="129"/>
      <c r="O24" s="129"/>
      <c r="P24" s="129"/>
      <c r="Q24" s="129"/>
      <c r="R24" s="129"/>
      <c r="S24" s="129"/>
    </row>
    <row r="49" spans="1:15" ht="39" customHeight="1">
      <c r="A49" s="130" t="str">
        <f>UPPER("For the Referencing &amp; Database tab it contains information such as name and description  on all products available. It enables the user with information on the purchase of each product.")</f>
        <v>FOR THE REFERENCING &amp; DATABASE TAB IT CONTAINS INFORMATION SUCH AS NAME AND DESCRIPTION  ON ALL PRODUCTS AVAILABLE. IT ENABLES THE USER WITH INFORMATION ON THE PURCHASE OF EACH PRODUCT.</v>
      </c>
      <c r="B49" s="130"/>
      <c r="C49" s="130"/>
      <c r="D49" s="130"/>
      <c r="E49" s="130"/>
      <c r="F49" s="130"/>
      <c r="G49" s="130"/>
      <c r="H49" s="130"/>
      <c r="I49" s="130"/>
      <c r="J49" s="130"/>
      <c r="K49" s="130"/>
      <c r="L49" s="130"/>
      <c r="M49" s="130"/>
      <c r="N49" s="130"/>
      <c r="O49" s="130"/>
    </row>
    <row r="74" spans="1:21">
      <c r="A74" s="130" t="s">
        <v>268</v>
      </c>
      <c r="B74" s="130"/>
      <c r="C74" s="130"/>
      <c r="D74" s="130"/>
      <c r="E74" s="130"/>
      <c r="F74" s="130"/>
      <c r="G74" s="130"/>
      <c r="H74" s="130"/>
      <c r="I74" s="130"/>
      <c r="J74" s="130"/>
      <c r="K74" s="130"/>
      <c r="L74" s="130"/>
      <c r="M74" s="130"/>
      <c r="N74" s="130"/>
      <c r="O74" s="130"/>
      <c r="P74" s="130"/>
      <c r="Q74" s="130"/>
      <c r="R74" s="130"/>
      <c r="S74" s="130"/>
      <c r="T74" s="130"/>
      <c r="U74" s="130"/>
    </row>
    <row r="75" spans="1:21" ht="38.25" customHeight="1">
      <c r="A75" s="130"/>
      <c r="B75" s="130"/>
      <c r="C75" s="130"/>
      <c r="D75" s="130"/>
      <c r="E75" s="130"/>
      <c r="F75" s="130"/>
      <c r="G75" s="130"/>
      <c r="H75" s="130"/>
      <c r="I75" s="130"/>
      <c r="J75" s="130"/>
      <c r="K75" s="130"/>
      <c r="L75" s="130"/>
      <c r="M75" s="130"/>
      <c r="N75" s="130"/>
      <c r="O75" s="130"/>
      <c r="P75" s="130"/>
      <c r="Q75" s="130"/>
      <c r="R75" s="130"/>
      <c r="S75" s="130"/>
      <c r="T75" s="130"/>
      <c r="U75" s="130"/>
    </row>
    <row r="100" spans="1:13" s="120" customFormat="1" ht="33.75" customHeight="1">
      <c r="A100" s="129" t="s">
        <v>76</v>
      </c>
      <c r="B100" s="129"/>
      <c r="C100" s="129"/>
      <c r="D100" s="129"/>
      <c r="E100" s="129"/>
      <c r="F100" s="129"/>
      <c r="G100" s="129"/>
      <c r="H100" s="129"/>
      <c r="I100" s="129"/>
      <c r="J100" s="129"/>
      <c r="K100" s="129"/>
      <c r="L100" s="129"/>
      <c r="M100" s="129"/>
    </row>
    <row r="122" spans="1:27">
      <c r="A122" s="129" t="s">
        <v>269</v>
      </c>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c r="AA122" s="131"/>
    </row>
    <row r="123" spans="1:27">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c r="AA123" s="131"/>
    </row>
    <row r="151" spans="1:25">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row>
    <row r="152" spans="1:25">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row>
    <row r="153" spans="1:25">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row>
  </sheetData>
  <mergeCells count="6">
    <mergeCell ref="A24:S24"/>
    <mergeCell ref="A74:U75"/>
    <mergeCell ref="A151:Y153"/>
    <mergeCell ref="A49:O49"/>
    <mergeCell ref="A100:M100"/>
    <mergeCell ref="A122:AA1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 ENQUIRY</vt:lpstr>
      <vt:lpstr>REFERENCING &amp; DATABASE</vt:lpstr>
      <vt:lpstr>WHS STK MGT &amp; ALLOC.</vt:lpstr>
      <vt:lpstr>STORE STK &amp; SALES MGT</vt:lpstr>
      <vt:lpstr>IN STORE SALES RECORD</vt:lpstr>
      <vt:lpstr>USER MANUAL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Favour Amadi</dc:creator>
  <cp:lastModifiedBy>Jesse Odafe-Ighele</cp:lastModifiedBy>
  <dcterms:created xsi:type="dcterms:W3CDTF">2024-01-16T20:45:00Z</dcterms:created>
  <dcterms:modified xsi:type="dcterms:W3CDTF">2024-04-12T15:05:55Z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E29F13B33D824F98BF1B0DFB427DFB09</vt:lpwstr>
  </property>
  <property fmtid="{D5CDD505-2E9C-101B-9397-08002B2CF9AE}" pid="3" name="KSOProductBuildVer">
    <vt:lpwstr>1033-11.2.0.11225</vt:lpwstr>
  </property>
</Properties>
</file>