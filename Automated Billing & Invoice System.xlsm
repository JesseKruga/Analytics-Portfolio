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SSE\Documents\"/>
    </mc:Choice>
  </mc:AlternateContent>
  <xr:revisionPtr revIDLastSave="0" documentId="13_ncr:1_{238A6FC7-D851-48C6-AFA0-E85037EDE159}" xr6:coauthVersionLast="47" xr6:coauthVersionMax="47" xr10:uidLastSave="{00000000-0000-0000-0000-000000000000}"/>
  <bookViews>
    <workbookView xWindow="-120" yWindow="-120" windowWidth="20730" windowHeight="11760" xr2:uid="{84EBF00B-D5B4-4BCC-8449-6F413FF05546}"/>
  </bookViews>
  <sheets>
    <sheet name="Invoice" sheetId="1" r:id="rId1"/>
    <sheet name="Customers" sheetId="2" r:id="rId2"/>
    <sheet name="Products" sheetId="5" r:id="rId3"/>
    <sheet name="Record Of Invoice" sheetId="3" r:id="rId4"/>
    <sheet name="Analytics" sheetId="4" state="hidden" r:id="rId5"/>
    <sheet name="Guide" sheetId="6" state="hidden" r:id="rId6"/>
  </sheets>
  <definedNames>
    <definedName name="_xleta.TODAY" hidden="1" xlm="1">#NAME?</definedName>
    <definedName name="Customer_Name">Customer_List[Customers]</definedName>
    <definedName name="_xlnm.Print_Area" localSheetId="0">Invoice!$A$1:$J$45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C5" i="1"/>
  <c r="F4" i="2"/>
  <c r="F3" i="2"/>
  <c r="I35" i="1"/>
  <c r="I36" i="1" l="1"/>
  <c r="I37" i="1" s="1"/>
</calcChain>
</file>

<file path=xl/sharedStrings.xml><?xml version="1.0" encoding="utf-8"?>
<sst xmlns="http://schemas.openxmlformats.org/spreadsheetml/2006/main" count="51" uniqueCount="48">
  <si>
    <t>Invoice</t>
  </si>
  <si>
    <t>Invoice No.</t>
  </si>
  <si>
    <t>PO. No.</t>
  </si>
  <si>
    <t>Date</t>
  </si>
  <si>
    <t>Terms(Days)</t>
  </si>
  <si>
    <t>Invoice To:</t>
  </si>
  <si>
    <t xml:space="preserve">Description </t>
  </si>
  <si>
    <t>Qty</t>
  </si>
  <si>
    <t xml:space="preserve">Price </t>
  </si>
  <si>
    <t xml:space="preserve">VAT </t>
  </si>
  <si>
    <t>Total(excl. VAT)</t>
  </si>
  <si>
    <t>Customer Message</t>
  </si>
  <si>
    <t>Subtotal</t>
  </si>
  <si>
    <t>VAT</t>
  </si>
  <si>
    <t>Total</t>
  </si>
  <si>
    <t>Company Details</t>
  </si>
  <si>
    <t>Payment Details</t>
  </si>
  <si>
    <t>Company no.</t>
  </si>
  <si>
    <t>VAT no.</t>
  </si>
  <si>
    <t>Tel. no.</t>
  </si>
  <si>
    <t>Email</t>
  </si>
  <si>
    <t>Acc. No.</t>
  </si>
  <si>
    <t>Bank</t>
  </si>
  <si>
    <t>Swift Code</t>
  </si>
  <si>
    <t>Other</t>
  </si>
  <si>
    <t>Customers</t>
  </si>
  <si>
    <t>Address 1</t>
  </si>
  <si>
    <t>Address 2</t>
  </si>
  <si>
    <t>Address 3</t>
  </si>
  <si>
    <t>Address 4</t>
  </si>
  <si>
    <t>Jendol</t>
  </si>
  <si>
    <t>Prime Mart</t>
  </si>
  <si>
    <t>Delight</t>
  </si>
  <si>
    <t>jendol_email@gmail.com</t>
  </si>
  <si>
    <t>Invoice No</t>
  </si>
  <si>
    <t>Company</t>
  </si>
  <si>
    <t xml:space="preserve">Amount </t>
  </si>
  <si>
    <t>Date Issue</t>
  </si>
  <si>
    <t>Due Date</t>
  </si>
  <si>
    <t>Paid</t>
  </si>
  <si>
    <t xml:space="preserve">Product Name </t>
  </si>
  <si>
    <t>Price</t>
  </si>
  <si>
    <t>Magazine</t>
  </si>
  <si>
    <t>S/N</t>
  </si>
  <si>
    <t>No</t>
  </si>
  <si>
    <t>Jeans</t>
  </si>
  <si>
    <t>Jorts</t>
  </si>
  <si>
    <t>Company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</si>
</sst>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lgerian"/>
      <family val="5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20"/>
      <color rgb="FF000000"/>
      <name val="ADLaM Display"/>
    </font>
    <font>
      <b/>
      <i/>
      <sz val="24"/>
      <color rgb="FF000000"/>
      <name val="ADLaM Display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/>
    <xf numFmtId="0" fontId="2" fillId="2" borderId="2" xfId="0" applyFont="1" applyFill="1" applyBorder="1"/>
    <xf numFmtId="0" fontId="2" fillId="2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5" fillId="0" borderId="0" xfId="0" applyFont="1"/>
    <xf numFmtId="0" fontId="0" fillId="3" borderId="0" xfId="0" applyFill="1"/>
    <xf numFmtId="0" fontId="6" fillId="0" borderId="0" xfId="0" applyFont="1"/>
    <xf numFmtId="44" fontId="0" fillId="0" borderId="0" xfId="1" applyFont="1"/>
    <xf numFmtId="44" fontId="0" fillId="0" borderId="20" xfId="1" applyFont="1" applyBorder="1"/>
    <xf numFmtId="0" fontId="3" fillId="2" borderId="21" xfId="0" applyFont="1" applyFill="1" applyBorder="1"/>
    <xf numFmtId="0" fontId="3" fillId="0" borderId="22" xfId="0" applyFont="1" applyBorder="1"/>
    <xf numFmtId="0" fontId="3" fillId="2" borderId="22" xfId="0" applyFont="1" applyFill="1" applyBorder="1"/>
    <xf numFmtId="0" fontId="3" fillId="2" borderId="23" xfId="0" applyFont="1" applyFill="1" applyBorder="1"/>
    <xf numFmtId="0" fontId="3" fillId="0" borderId="24" xfId="0" applyFont="1" applyBorder="1"/>
    <xf numFmtId="0" fontId="3" fillId="0" borderId="25" xfId="0" applyFont="1" applyBorder="1"/>
    <xf numFmtId="0" fontId="3" fillId="0" borderId="27" xfId="0" applyFont="1" applyBorder="1"/>
    <xf numFmtId="0" fontId="3" fillId="0" borderId="28" xfId="0" applyFont="1" applyBorder="1"/>
    <xf numFmtId="0" fontId="4" fillId="0" borderId="1" xfId="0" applyFont="1" applyBorder="1"/>
    <xf numFmtId="0" fontId="8" fillId="0" borderId="0" xfId="2"/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7" fontId="0" fillId="0" borderId="0" xfId="0" applyNumberFormat="1"/>
    <xf numFmtId="14" fontId="0" fillId="0" borderId="0" xfId="0" applyNumberFormat="1"/>
    <xf numFmtId="44" fontId="3" fillId="0" borderId="25" xfId="1" applyFont="1" applyBorder="1"/>
    <xf numFmtId="44" fontId="3" fillId="0" borderId="26" xfId="1" applyFont="1" applyBorder="1"/>
    <xf numFmtId="44" fontId="3" fillId="0" borderId="29" xfId="1" applyFont="1" applyBorder="1"/>
    <xf numFmtId="0" fontId="3" fillId="0" borderId="0" xfId="0" applyFont="1"/>
    <xf numFmtId="0" fontId="3" fillId="2" borderId="30" xfId="0" applyFont="1" applyFill="1" applyBorder="1"/>
    <xf numFmtId="0" fontId="3" fillId="2" borderId="31" xfId="0" applyFont="1" applyFill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4" fontId="0" fillId="0" borderId="3" xfId="0" applyNumberFormat="1" applyBorder="1" applyAlignment="1">
      <alignment horizontal="left" vertical="center"/>
    </xf>
    <xf numFmtId="14" fontId="0" fillId="0" borderId="4" xfId="0" applyNumberFormat="1" applyBorder="1" applyAlignment="1">
      <alignment horizontal="left" vertic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1025" name="Image1" descr="INSERT LOGO HER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6</xdr:row>
          <xdr:rowOff>112835</xdr:rowOff>
        </xdr:from>
        <xdr:to>
          <xdr:col>15</xdr:col>
          <xdr:colOff>495300</xdr:colOff>
          <xdr:row>28</xdr:row>
          <xdr:rowOff>169985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B6013F54-E8EF-7FBB-FE0B-AED71CEC2344}"/>
                </a:ext>
              </a:extLst>
            </xdr:cNvPr>
            <xdr:cNvGrpSpPr/>
          </xdr:nvGrpSpPr>
          <xdr:grpSpPr>
            <a:xfrm>
              <a:off x="8668483" y="1402373"/>
              <a:ext cx="2699971" cy="4174881"/>
              <a:chOff x="8053021" y="1270488"/>
              <a:chExt cx="2699971" cy="4174881"/>
            </a:xfrm>
          </xdr:grpSpPr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8062546" y="2416419"/>
                <a:ext cx="2671396" cy="790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54864" tIns="45720" rIns="54864" bIns="45720" anchor="ctr" upright="1"/>
              <a:lstStyle/>
              <a:p>
                <a:pPr algn="ctr" rtl="0">
                  <a:defRPr sz="1000"/>
                </a:pPr>
                <a:r>
                  <a:rPr lang="en-US" sz="2000" b="1" i="1" u="none" strike="noStrike" baseline="0">
                    <a:solidFill>
                      <a:srgbClr val="000000"/>
                    </a:solidFill>
                    <a:latin typeface="ADLaM Display"/>
                    <a:ea typeface="ADLaM Display"/>
                    <a:cs typeface="ADLaM Display"/>
                  </a:rPr>
                  <a:t>Save as Excel</a:t>
                </a:r>
              </a:p>
            </xdr:txBody>
          </xdr:sp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8091121" y="3540369"/>
                <a:ext cx="2661871" cy="800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54864" tIns="45720" rIns="54864" bIns="45720" anchor="ctr" upright="1"/>
              <a:lstStyle/>
              <a:p>
                <a:pPr algn="ctr" rtl="0">
                  <a:defRPr sz="1000"/>
                </a:pPr>
                <a:r>
                  <a:rPr lang="en-US" sz="2000" b="1" i="1" u="none" strike="noStrike" baseline="0">
                    <a:solidFill>
                      <a:srgbClr val="000000"/>
                    </a:solidFill>
                    <a:latin typeface="ADLaM Display"/>
                    <a:ea typeface="ADLaM Display"/>
                    <a:cs typeface="ADLaM Display"/>
                  </a:rPr>
                  <a:t>Save as Pdf</a:t>
                </a:r>
              </a:p>
            </xdr:txBody>
          </xdr:sp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8062546" y="4645269"/>
                <a:ext cx="2680921" cy="800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54864" tIns="45720" rIns="54864" bIns="45720" anchor="ctr" upright="1"/>
              <a:lstStyle/>
              <a:p>
                <a:pPr algn="ctr" rtl="0">
                  <a:defRPr sz="1000"/>
                </a:pPr>
                <a:r>
                  <a:rPr lang="en-US" sz="2000" b="1" i="1" u="none" strike="noStrike" baseline="0">
                    <a:solidFill>
                      <a:srgbClr val="000000"/>
                    </a:solidFill>
                    <a:latin typeface="ADLaM Display"/>
                    <a:ea typeface="ADLaM Display"/>
                    <a:cs typeface="ADLaM Display"/>
                  </a:rPr>
                  <a:t>New Page</a:t>
                </a:r>
              </a:p>
            </xdr:txBody>
          </xdr:sp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8053021" y="1270488"/>
                <a:ext cx="2671396" cy="7935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54864" tIns="45720" rIns="54864" bIns="45720" anchor="ctr" upright="1"/>
              <a:lstStyle/>
              <a:p>
                <a:pPr algn="ctr" rtl="0">
                  <a:defRPr sz="1000"/>
                </a:pPr>
                <a:r>
                  <a:rPr lang="en-US" sz="2000" b="1" i="1" u="none" strike="noStrike" baseline="0">
                    <a:solidFill>
                      <a:srgbClr val="000000"/>
                    </a:solidFill>
                    <a:latin typeface="ADLaM Display"/>
                    <a:ea typeface="ADLaM Display"/>
                    <a:cs typeface="ADLaM Display"/>
                  </a:rPr>
                  <a:t>Record of Invoices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8</xdr:col>
      <xdr:colOff>28015</xdr:colOff>
      <xdr:row>2</xdr:row>
      <xdr:rowOff>14009</xdr:rowOff>
    </xdr:from>
    <xdr:to>
      <xdr:col>9</xdr:col>
      <xdr:colOff>0</xdr:colOff>
      <xdr:row>6</xdr:row>
      <xdr:rowOff>14009</xdr:rowOff>
    </xdr:to>
    <xdr:sp macro="[0]!InsertLogo" textlink="">
      <xdr:nvSpPr>
        <xdr:cNvPr id="4" name="Logo">
          <a:extLst>
            <a:ext uri="{FF2B5EF4-FFF2-40B4-BE49-F238E27FC236}">
              <a16:creationId xmlns:a16="http://schemas.microsoft.com/office/drawing/2014/main" id="{FBAF5576-ACBD-C679-0E64-0387FDEDC7F4}"/>
            </a:ext>
          </a:extLst>
        </xdr:cNvPr>
        <xdr:cNvSpPr/>
      </xdr:nvSpPr>
      <xdr:spPr>
        <a:xfrm>
          <a:off x="6429375" y="546288"/>
          <a:ext cx="1204632" cy="78441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kern="1200"/>
            <a:t>Insert Logo</a:t>
          </a:r>
          <a:r>
            <a:rPr lang="en-US" sz="1800" kern="1200" baseline="0"/>
            <a:t> here</a:t>
          </a:r>
          <a:endParaRPr lang="en-US" sz="18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</xdr:row>
          <xdr:rowOff>28575</xdr:rowOff>
        </xdr:from>
        <xdr:to>
          <xdr:col>16</xdr:col>
          <xdr:colOff>361950</xdr:colOff>
          <xdr:row>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New Customer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616F08-4F49-4EAC-9622-A82188A12125}" name="Customer_List" displayName="Customer_List" ref="A1:F9" totalsRowShown="0">
  <autoFilter ref="A1:F9" xr:uid="{1B616F08-4F49-4EAC-9622-A82188A12125}"/>
  <tableColumns count="6">
    <tableColumn id="1" xr3:uid="{C3C5EA10-0705-4FFF-B785-255F9E8E619F}" name="Customers"/>
    <tableColumn id="2" xr3:uid="{95B0BFFD-5F6F-4419-A748-C6912D4DF1F3}" name="Address 1"/>
    <tableColumn id="3" xr3:uid="{18EBC70E-D4AA-4164-A4E6-A8DD4D2DBBBC}" name="Address 2"/>
    <tableColumn id="4" xr3:uid="{D5097AEF-E6F7-4D3E-B729-E0ECAAEA0291}" name="Address 3"/>
    <tableColumn id="5" xr3:uid="{AC312333-4492-4CB3-AC2D-CDB350CA783A}" name="Address 4"/>
    <tableColumn id="6" xr3:uid="{18011005-4C26-4563-A167-C76FEE12A5FB}" name="Emai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7009E8-133F-48D9-B11F-8B786260D825}" name="Table2" displayName="Table2" ref="A1:B1048576" totalsRowShown="0">
  <autoFilter ref="A1:B1048576" xr:uid="{057009E8-133F-48D9-B11F-8B786260D825}"/>
  <tableColumns count="2">
    <tableColumn id="1" xr3:uid="{86E1330E-B21A-4F3E-AD87-BD1B605691BE}" name="Product Name "/>
    <tableColumn id="2" xr3:uid="{9EA4702D-B328-44CF-9FBE-08C9A13F1FF7}" name="Price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endol_emai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E975D-13F5-47F0-845C-58123FE6B312}">
  <sheetPr codeName="Sheet1">
    <pageSetUpPr fitToPage="1"/>
  </sheetPr>
  <dimension ref="B1:J44"/>
  <sheetViews>
    <sheetView tabSelected="1" zoomScale="65" zoomScaleNormal="130" workbookViewId="0">
      <selection activeCell="B1" sqref="B1:D1"/>
    </sheetView>
  </sheetViews>
  <sheetFormatPr defaultRowHeight="15" x14ac:dyDescent="0.25"/>
  <cols>
    <col min="2" max="2" width="15.5703125" customWidth="1"/>
    <col min="3" max="3" width="22.85546875" customWidth="1"/>
    <col min="7" max="7" width="12" customWidth="1"/>
    <col min="8" max="8" width="8.5703125" customWidth="1"/>
    <col min="9" max="9" width="18.5703125" customWidth="1"/>
    <col min="10" max="10" width="2.140625" customWidth="1"/>
  </cols>
  <sheetData>
    <row r="1" spans="2:10" ht="26.25" customHeight="1" x14ac:dyDescent="0.45">
      <c r="B1" s="44" t="s">
        <v>47</v>
      </c>
      <c r="C1" s="45"/>
      <c r="D1" s="45"/>
      <c r="E1" s="32"/>
      <c r="F1" s="32"/>
      <c r="G1" s="1"/>
      <c r="H1" s="1"/>
      <c r="I1" s="44" t="s">
        <v>0</v>
      </c>
      <c r="J1" s="44"/>
    </row>
    <row r="3" spans="2:10" x14ac:dyDescent="0.25">
      <c r="B3" s="2" t="s">
        <v>1</v>
      </c>
      <c r="C3" s="46">
        <v>1004</v>
      </c>
      <c r="D3" s="47"/>
      <c r="F3" s="4"/>
      <c r="G3" s="5"/>
      <c r="H3" s="5"/>
    </row>
    <row r="4" spans="2:10" x14ac:dyDescent="0.25">
      <c r="B4" s="2" t="s">
        <v>2</v>
      </c>
      <c r="C4" s="34"/>
      <c r="D4" s="35"/>
      <c r="F4" s="7"/>
      <c r="I4" s="8"/>
    </row>
    <row r="5" spans="2:10" x14ac:dyDescent="0.25">
      <c r="B5" s="2" t="s">
        <v>3</v>
      </c>
      <c r="C5" s="48">
        <f ca="1">TODAY()</f>
        <v>45875</v>
      </c>
      <c r="D5" s="49"/>
      <c r="F5" s="7"/>
      <c r="I5" s="8"/>
    </row>
    <row r="6" spans="2:10" x14ac:dyDescent="0.25">
      <c r="B6" s="2" t="s">
        <v>4</v>
      </c>
      <c r="C6" s="34"/>
      <c r="D6" s="35"/>
      <c r="F6" s="9"/>
      <c r="G6" s="1"/>
      <c r="H6" s="1"/>
      <c r="I6" s="10"/>
    </row>
    <row r="7" spans="2:10" ht="9" customHeight="1" x14ac:dyDescent="0.25"/>
    <row r="8" spans="2:10" x14ac:dyDescent="0.25">
      <c r="B8" s="3" t="s">
        <v>5</v>
      </c>
    </row>
    <row r="9" spans="2:10" x14ac:dyDescent="0.25">
      <c r="B9" s="4"/>
      <c r="C9" s="5"/>
      <c r="D9" s="6"/>
    </row>
    <row r="10" spans="2:10" x14ac:dyDescent="0.25">
      <c r="B10" s="7" t="str">
        <f>IFERROR(VLOOKUP($B$9,Customer_List[#All],2),"")</f>
        <v/>
      </c>
      <c r="D10" s="8"/>
    </row>
    <row r="11" spans="2:10" x14ac:dyDescent="0.25">
      <c r="B11" s="7" t="str">
        <f>IFERROR(IF(VLOOKUP($B$9,Customer_List[#All],3)=0," ",VLOOKUP($B$9,Customer_List[#All],3))," ")</f>
        <v xml:space="preserve"> </v>
      </c>
      <c r="D11" s="8"/>
    </row>
    <row r="12" spans="2:10" x14ac:dyDescent="0.25">
      <c r="B12" s="7" t="str">
        <f>IFERROR(IF(VLOOKUP($B$9,Customer_List[#All],4)=0," ",VLOOKUP($B$9,Customer_List[#All],4))," ")</f>
        <v xml:space="preserve"> </v>
      </c>
      <c r="D12" s="8"/>
    </row>
    <row r="13" spans="2:10" x14ac:dyDescent="0.25">
      <c r="B13" s="7" t="str">
        <f>IFERROR(IF(VLOOKUP($B$9,Customer_List[#All],5)=0," ",VLOOKUP($B$9,Customer_List[#All],5))," ")</f>
        <v xml:space="preserve"> </v>
      </c>
      <c r="D13" s="8"/>
    </row>
    <row r="14" spans="2:10" x14ac:dyDescent="0.25">
      <c r="B14" s="9"/>
      <c r="C14" s="1"/>
      <c r="D14" s="10"/>
    </row>
    <row r="16" spans="2:10" x14ac:dyDescent="0.25">
      <c r="B16" s="26" t="s">
        <v>43</v>
      </c>
      <c r="C16" s="26" t="s">
        <v>6</v>
      </c>
      <c r="D16" s="25"/>
      <c r="E16" s="25"/>
      <c r="F16" s="26" t="s">
        <v>7</v>
      </c>
      <c r="G16" s="26" t="s">
        <v>8</v>
      </c>
      <c r="H16" s="26" t="s">
        <v>9</v>
      </c>
      <c r="I16" s="27" t="s">
        <v>10</v>
      </c>
    </row>
    <row r="17" spans="2:9" x14ac:dyDescent="0.25">
      <c r="B17" s="28"/>
      <c r="C17" s="29"/>
      <c r="D17" s="29"/>
      <c r="E17" s="29"/>
      <c r="F17" s="29"/>
      <c r="G17" s="38"/>
      <c r="I17" s="38"/>
    </row>
    <row r="18" spans="2:9" x14ac:dyDescent="0.25">
      <c r="B18" s="28"/>
      <c r="C18" s="29"/>
      <c r="D18" s="29"/>
      <c r="E18" s="29"/>
      <c r="F18" s="29"/>
      <c r="G18" s="38"/>
      <c r="H18" s="29"/>
      <c r="I18" s="39"/>
    </row>
    <row r="19" spans="2:9" x14ac:dyDescent="0.25">
      <c r="B19" s="28"/>
      <c r="C19" s="29"/>
      <c r="D19" s="29"/>
      <c r="E19" s="29"/>
      <c r="F19" s="29"/>
      <c r="G19" s="38"/>
      <c r="H19" s="29"/>
      <c r="I19" s="39"/>
    </row>
    <row r="20" spans="2:9" x14ac:dyDescent="0.25">
      <c r="B20" s="28"/>
      <c r="C20" s="29"/>
      <c r="D20" s="29"/>
      <c r="E20" s="29"/>
      <c r="F20" s="29"/>
      <c r="G20" s="38"/>
      <c r="H20" s="29"/>
      <c r="I20" s="39"/>
    </row>
    <row r="21" spans="2:9" x14ac:dyDescent="0.25">
      <c r="B21" s="28"/>
      <c r="C21" s="29"/>
      <c r="D21" s="29"/>
      <c r="E21" s="29"/>
      <c r="F21" s="29"/>
      <c r="G21" s="38"/>
      <c r="H21" s="29"/>
      <c r="I21" s="39"/>
    </row>
    <row r="22" spans="2:9" x14ac:dyDescent="0.25">
      <c r="B22" s="28"/>
      <c r="C22" s="29"/>
      <c r="D22" s="29"/>
      <c r="E22" s="29"/>
      <c r="F22" s="29"/>
      <c r="G22" s="38"/>
      <c r="H22" s="29"/>
      <c r="I22" s="39"/>
    </row>
    <row r="23" spans="2:9" x14ac:dyDescent="0.25">
      <c r="B23" s="28"/>
      <c r="C23" s="29"/>
      <c r="D23" s="29"/>
      <c r="E23" s="29"/>
      <c r="F23" s="29"/>
      <c r="G23" s="38"/>
      <c r="H23" s="29"/>
      <c r="I23" s="39"/>
    </row>
    <row r="24" spans="2:9" x14ac:dyDescent="0.25">
      <c r="B24" s="28"/>
      <c r="C24" s="29"/>
      <c r="D24" s="29"/>
      <c r="E24" s="29"/>
      <c r="F24" s="29"/>
      <c r="G24" s="38"/>
      <c r="H24" s="29"/>
      <c r="I24" s="39"/>
    </row>
    <row r="25" spans="2:9" x14ac:dyDescent="0.25">
      <c r="B25" s="28"/>
      <c r="C25" s="29"/>
      <c r="D25" s="29"/>
      <c r="E25" s="29"/>
      <c r="F25" s="29"/>
      <c r="G25" s="38"/>
      <c r="H25" s="29"/>
      <c r="I25" s="39"/>
    </row>
    <row r="26" spans="2:9" x14ac:dyDescent="0.25">
      <c r="B26" s="28"/>
      <c r="C26" s="29"/>
      <c r="D26" s="29"/>
      <c r="E26" s="29"/>
      <c r="F26" s="29"/>
      <c r="G26" s="38"/>
      <c r="H26" s="29"/>
      <c r="I26" s="39"/>
    </row>
    <row r="27" spans="2:9" x14ac:dyDescent="0.25">
      <c r="B27" s="28"/>
      <c r="C27" s="29"/>
      <c r="D27" s="29"/>
      <c r="E27" s="29"/>
      <c r="F27" s="29"/>
      <c r="G27" s="38"/>
      <c r="H27" s="29"/>
      <c r="I27" s="39"/>
    </row>
    <row r="28" spans="2:9" x14ac:dyDescent="0.25">
      <c r="B28" s="28"/>
      <c r="C28" s="29"/>
      <c r="D28" s="29"/>
      <c r="E28" s="29"/>
      <c r="F28" s="29"/>
      <c r="G28" s="38"/>
      <c r="H28" s="29"/>
      <c r="I28" s="39"/>
    </row>
    <row r="29" spans="2:9" x14ac:dyDescent="0.25">
      <c r="B29" s="28"/>
      <c r="C29" s="29"/>
      <c r="D29" s="29"/>
      <c r="E29" s="29"/>
      <c r="F29" s="29"/>
      <c r="G29" s="38"/>
      <c r="H29" s="29"/>
      <c r="I29" s="39"/>
    </row>
    <row r="30" spans="2:9" x14ac:dyDescent="0.25">
      <c r="B30" s="28"/>
      <c r="C30" s="29"/>
      <c r="D30" s="29"/>
      <c r="E30" s="29"/>
      <c r="F30" s="29"/>
      <c r="G30" s="38"/>
      <c r="H30" s="29"/>
      <c r="I30" s="39"/>
    </row>
    <row r="31" spans="2:9" x14ac:dyDescent="0.25">
      <c r="B31" s="28"/>
      <c r="C31" s="29"/>
      <c r="D31" s="29"/>
      <c r="E31" s="29"/>
      <c r="F31" s="29"/>
      <c r="G31" s="38"/>
      <c r="H31" s="29"/>
      <c r="I31" s="39"/>
    </row>
    <row r="32" spans="2:9" x14ac:dyDescent="0.25">
      <c r="B32" s="30"/>
      <c r="C32" s="31"/>
      <c r="D32" s="31"/>
      <c r="E32" s="31"/>
      <c r="F32" s="31"/>
      <c r="G32" s="38"/>
      <c r="H32" s="31"/>
      <c r="I32" s="40"/>
    </row>
    <row r="33" spans="2:9" ht="7.5" customHeight="1" x14ac:dyDescent="0.25"/>
    <row r="34" spans="2:9" ht="15.75" thickBot="1" x14ac:dyDescent="0.3">
      <c r="B34" s="19" t="s">
        <v>11</v>
      </c>
      <c r="G34" s="20"/>
      <c r="H34" s="20"/>
      <c r="I34" s="20"/>
    </row>
    <row r="35" spans="2:9" x14ac:dyDescent="0.25">
      <c r="B35" s="11"/>
      <c r="C35" s="12"/>
      <c r="D35" s="13"/>
      <c r="G35" s="21" t="s">
        <v>12</v>
      </c>
      <c r="I35" s="22">
        <f>SUM(I17:I32)</f>
        <v>0</v>
      </c>
    </row>
    <row r="36" spans="2:9" x14ac:dyDescent="0.25">
      <c r="B36" s="14"/>
      <c r="D36" s="15"/>
      <c r="G36" t="s">
        <v>13</v>
      </c>
      <c r="I36" s="22">
        <f>SUM(H17:H33)</f>
        <v>0</v>
      </c>
    </row>
    <row r="37" spans="2:9" ht="15.75" thickBot="1" x14ac:dyDescent="0.3">
      <c r="B37" s="14"/>
      <c r="D37" s="15"/>
      <c r="G37" t="s">
        <v>14</v>
      </c>
      <c r="I37" s="23">
        <f>SUM(I35:I36)</f>
        <v>0</v>
      </c>
    </row>
    <row r="38" spans="2:9" x14ac:dyDescent="0.25">
      <c r="B38" s="16"/>
      <c r="C38" s="17"/>
      <c r="D38" s="18"/>
    </row>
    <row r="40" spans="2:9" x14ac:dyDescent="0.25">
      <c r="B40" s="42" t="s">
        <v>15</v>
      </c>
      <c r="C40" s="43"/>
      <c r="D40" s="24"/>
      <c r="E40" s="24"/>
      <c r="F40" s="24"/>
      <c r="G40" s="24" t="s">
        <v>16</v>
      </c>
      <c r="H40" s="24"/>
      <c r="I40" s="24"/>
    </row>
    <row r="41" spans="2:9" x14ac:dyDescent="0.25">
      <c r="B41" t="s">
        <v>17</v>
      </c>
      <c r="G41" t="s">
        <v>21</v>
      </c>
    </row>
    <row r="42" spans="2:9" x14ac:dyDescent="0.25">
      <c r="B42" t="s">
        <v>18</v>
      </c>
      <c r="G42" t="s">
        <v>22</v>
      </c>
    </row>
    <row r="43" spans="2:9" x14ac:dyDescent="0.25">
      <c r="B43" t="s">
        <v>19</v>
      </c>
      <c r="G43" t="s">
        <v>23</v>
      </c>
    </row>
    <row r="44" spans="2:9" x14ac:dyDescent="0.25">
      <c r="B44" t="s">
        <v>20</v>
      </c>
      <c r="G44" t="s">
        <v>24</v>
      </c>
    </row>
  </sheetData>
  <mergeCells count="5">
    <mergeCell ref="B40:C40"/>
    <mergeCell ref="B1:D1"/>
    <mergeCell ref="I1:J1"/>
    <mergeCell ref="C3:D3"/>
    <mergeCell ref="C5:D5"/>
  </mergeCells>
  <dataValidations count="4">
    <dataValidation type="list" allowBlank="1" showInputMessage="1" showErrorMessage="1" sqref="B9" xr:uid="{321E9A2E-46AE-48A4-A372-70D9EFE6035E}">
      <formula1>Customer_Name</formula1>
    </dataValidation>
    <dataValidation type="list" allowBlank="1" showInputMessage="1" showErrorMessage="1" sqref="C6:D6" xr:uid="{BFCCC923-BC26-48CB-A312-A9176D2E6D09}">
      <formula1>"15,30,45,60"</formula1>
    </dataValidation>
    <dataValidation type="custom" allowBlank="1" showInputMessage="1" showErrorMessage="1" sqref="G18:G32" xr:uid="{9A9A3BED-A32F-4D6C-8EF2-CC466A5D31D7}">
      <formula1>"VLOOKUP(C17,Table2[#All],2)"</formula1>
    </dataValidation>
    <dataValidation type="custom" errorStyle="warning" allowBlank="1" showInputMessage="1" showErrorMessage="1" errorTitle="Update Price in Product Tab" error="This price value isnt the same as the one in the product tab " sqref="G17" xr:uid="{977830B8-8EB6-439D-AADF-48CF5D594544}">
      <formula1>"VLOOKUP(C17,Table2[#All],2)"</formula1>
    </dataValidation>
  </dataValidations>
  <pageMargins left="0.7" right="0.7" top="0.75" bottom="0.75" header="0.3" footer="0.3"/>
  <pageSetup scale="7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autoPict="0" altText="INSERT LOGO HERE" r:id="rId5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1" r:id="rId6" name="Button 7">
          <controlPr defaultSize="0" print="0" autoFill="0" autoPict="0" macro="[0]!SaveAsExcel">
            <anchor moveWithCells="1" sizeWithCells="1">
              <from>
                <xdr:col>11</xdr:col>
                <xdr:colOff>266700</xdr:colOff>
                <xdr:row>12</xdr:row>
                <xdr:rowOff>190500</xdr:rowOff>
              </from>
              <to>
                <xdr:col>15</xdr:col>
                <xdr:colOff>476250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" name="Button 8">
          <controlPr defaultSize="0" print="0" autoFill="0" autoPict="0" macro="[0]!SaveAsPDF">
            <anchor moveWithCells="1" sizeWithCells="1">
              <from>
                <xdr:col>11</xdr:col>
                <xdr:colOff>295275</xdr:colOff>
                <xdr:row>18</xdr:row>
                <xdr:rowOff>171450</xdr:rowOff>
              </from>
              <to>
                <xdr:col>15</xdr:col>
                <xdr:colOff>495300</xdr:colOff>
                <xdr:row>23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" name="Button 12">
          <controlPr defaultSize="0" print="0" autoFill="0" autoPict="0" macro="[0]!NewInvoiceNumber">
            <anchor moveWithCells="1" sizeWithCells="1">
              <from>
                <xdr:col>11</xdr:col>
                <xdr:colOff>266700</xdr:colOff>
                <xdr:row>24</xdr:row>
                <xdr:rowOff>133350</xdr:rowOff>
              </from>
              <to>
                <xdr:col>15</xdr:col>
                <xdr:colOff>485775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9" name="Button 13">
          <controlPr defaultSize="0" print="0" autoFill="0" autoPict="0" macro="[0]!RecordOfInvoices">
            <anchor moveWithCells="1" sizeWithCells="1">
              <from>
                <xdr:col>11</xdr:col>
                <xdr:colOff>257175</xdr:colOff>
                <xdr:row>6</xdr:row>
                <xdr:rowOff>114300</xdr:rowOff>
              </from>
              <to>
                <xdr:col>15</xdr:col>
                <xdr:colOff>466725</xdr:colOff>
                <xdr:row>11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0" name="Button 15">
          <controlPr defaultSize="0" print="0" autoFill="0" autoPict="0" macro="[0]!NewCustomer">
            <anchor moveWithCells="1" sizeWithCells="1">
              <from>
                <xdr:col>10</xdr:col>
                <xdr:colOff>285750</xdr:colOff>
                <xdr:row>1</xdr:row>
                <xdr:rowOff>28575</xdr:rowOff>
              </from>
              <to>
                <xdr:col>16</xdr:col>
                <xdr:colOff>361950</xdr:colOff>
                <xdr:row>5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0F8210-3C5B-4EC6-BB5B-6E7B8B10DF85}">
          <x14:formula1>
            <xm:f>Products!$A$2:$A$1048576</xm:f>
          </x14:formula1>
          <xm:sqref>C17:C32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4E291-5720-4947-85EB-FF0A3017B533}">
  <sheetPr codeName="Sheet2"/>
  <dimension ref="A1:F4"/>
  <sheetViews>
    <sheetView workbookViewId="0">
      <selection activeCell="F2" sqref="F2"/>
    </sheetView>
  </sheetViews>
  <sheetFormatPr defaultRowHeight="15" x14ac:dyDescent="0.25"/>
  <cols>
    <col min="1" max="1" width="20" customWidth="1"/>
    <col min="2" max="2" width="19.85546875" customWidth="1"/>
    <col min="3" max="3" width="15.5703125" customWidth="1"/>
    <col min="4" max="5" width="11.85546875" customWidth="1"/>
    <col min="6" max="6" width="28.7109375" bestFit="1" customWidth="1"/>
  </cols>
  <sheetData>
    <row r="1" spans="1:6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20</v>
      </c>
    </row>
    <row r="2" spans="1:6" x14ac:dyDescent="0.25">
      <c r="A2" t="s">
        <v>30</v>
      </c>
      <c r="B2">
        <v>105</v>
      </c>
      <c r="F2" s="33" t="s">
        <v>33</v>
      </c>
    </row>
    <row r="3" spans="1:6" x14ac:dyDescent="0.25">
      <c r="A3" t="s">
        <v>31</v>
      </c>
      <c r="B3">
        <v>106</v>
      </c>
      <c r="F3" t="str">
        <f>_xlfn.CONCAT(LOWER(TRIM(Customer_List[[#This Row],[Customers]]))," ","_","email@gmail.com")</f>
        <v>prime mart _email@gmail.com</v>
      </c>
    </row>
    <row r="4" spans="1:6" x14ac:dyDescent="0.25">
      <c r="A4" t="s">
        <v>32</v>
      </c>
      <c r="B4">
        <v>107</v>
      </c>
      <c r="F4" t="str">
        <f>_xlfn.CONCAT(LOWER(TRIM(Customer_List[[#This Row],[Customers]]))," ","_","email@gmail.com")</f>
        <v>delight _email@gmail.com</v>
      </c>
    </row>
  </sheetData>
  <phoneticPr fontId="7" type="noConversion"/>
  <hyperlinks>
    <hyperlink ref="F2" r:id="rId1" xr:uid="{1AC583EF-52D3-4832-BD48-6A7D0DF7982A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46C5E-ABDA-4E6E-A66A-EDCA8B48B0F2}">
  <sheetPr codeName="Sheet5"/>
  <dimension ref="A1:B4"/>
  <sheetViews>
    <sheetView workbookViewId="0">
      <selection activeCell="B4" sqref="B4"/>
    </sheetView>
  </sheetViews>
  <sheetFormatPr defaultRowHeight="15" x14ac:dyDescent="0.25"/>
  <cols>
    <col min="1" max="1" width="16.28515625" customWidth="1"/>
    <col min="2" max="2" width="9.140625" style="22"/>
  </cols>
  <sheetData>
    <row r="1" spans="1:2" x14ac:dyDescent="0.25">
      <c r="A1" t="s">
        <v>40</v>
      </c>
      <c r="B1" s="22" t="s">
        <v>41</v>
      </c>
    </row>
    <row r="2" spans="1:2" x14ac:dyDescent="0.25">
      <c r="A2" t="s">
        <v>42</v>
      </c>
      <c r="B2" s="22">
        <v>10</v>
      </c>
    </row>
    <row r="3" spans="1:2" x14ac:dyDescent="0.25">
      <c r="A3" t="s">
        <v>45</v>
      </c>
      <c r="B3" s="22">
        <v>14</v>
      </c>
    </row>
    <row r="4" spans="1:2" x14ac:dyDescent="0.25">
      <c r="A4" t="s">
        <v>46</v>
      </c>
      <c r="B4" s="22">
        <v>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3715-03C8-4BDE-8FFA-E477737B7142}">
  <sheetPr codeName="Sheet3"/>
  <dimension ref="A1:F6"/>
  <sheetViews>
    <sheetView workbookViewId="0">
      <selection activeCell="F2" sqref="F2"/>
    </sheetView>
  </sheetViews>
  <sheetFormatPr defaultRowHeight="15" x14ac:dyDescent="0.25"/>
  <cols>
    <col min="1" max="5" width="14.140625" customWidth="1"/>
    <col min="6" max="6" width="14.140625" style="41" customWidth="1"/>
  </cols>
  <sheetData>
    <row r="1" spans="1: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  <row r="2" spans="1:6" x14ac:dyDescent="0.25">
      <c r="A2">
        <v>10001</v>
      </c>
      <c r="B2" t="s">
        <v>30</v>
      </c>
      <c r="C2" s="36">
        <v>0</v>
      </c>
      <c r="D2" s="37">
        <v>45660</v>
      </c>
      <c r="E2" s="37">
        <v>45690</v>
      </c>
      <c r="F2" s="41" t="s">
        <v>44</v>
      </c>
    </row>
    <row r="3" spans="1:6" x14ac:dyDescent="0.25">
      <c r="A3">
        <v>10003</v>
      </c>
      <c r="C3" s="36">
        <v>0</v>
      </c>
      <c r="D3" s="37">
        <v>45661</v>
      </c>
      <c r="E3" s="37">
        <v>45661</v>
      </c>
    </row>
    <row r="4" spans="1:6" x14ac:dyDescent="0.25">
      <c r="A4">
        <v>1001</v>
      </c>
      <c r="B4" t="s">
        <v>31</v>
      </c>
      <c r="C4" s="36">
        <v>2</v>
      </c>
      <c r="D4" s="37">
        <v>45676</v>
      </c>
      <c r="E4" s="37">
        <v>45676</v>
      </c>
    </row>
    <row r="5" spans="1:6" x14ac:dyDescent="0.25">
      <c r="A5">
        <v>1003</v>
      </c>
      <c r="C5" s="36">
        <v>2.2000000000000002</v>
      </c>
      <c r="D5" s="37">
        <v>45684</v>
      </c>
      <c r="E5" s="37">
        <v>45684</v>
      </c>
    </row>
    <row r="6" spans="1:6" x14ac:dyDescent="0.25">
      <c r="A6">
        <v>1004</v>
      </c>
      <c r="C6" s="36">
        <v>0</v>
      </c>
      <c r="D6" s="37">
        <v>45751</v>
      </c>
      <c r="E6" s="37">
        <v>45751</v>
      </c>
    </row>
  </sheetData>
  <dataValidations count="1">
    <dataValidation type="list" allowBlank="1" showInputMessage="1" showErrorMessage="1" sqref="F2:F1048576" xr:uid="{5A8C0013-0B6E-40F3-98F4-F1B586AD9563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8CC49-D2D3-4BC0-AC19-C66AE9F622F4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56DC3-EF00-4B91-8339-2D330A7C5B7A}">
  <sheetPr codeName="Sheet6"/>
  <dimension ref="A1"/>
  <sheetViews>
    <sheetView showGridLines="0" workbookViewId="0">
      <selection activeCell="F5" sqref="F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Invoice</vt:lpstr>
      <vt:lpstr>Customers</vt:lpstr>
      <vt:lpstr>Products</vt:lpstr>
      <vt:lpstr>Record Of Invoice</vt:lpstr>
      <vt:lpstr>Analytics</vt:lpstr>
      <vt:lpstr>Guide</vt:lpstr>
      <vt:lpstr>Customer_Name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Odafe-Ighele</dc:creator>
  <cp:lastModifiedBy>Jesse Odafe-Ighele</cp:lastModifiedBy>
  <cp:lastPrinted>2025-04-04T19:37:22Z</cp:lastPrinted>
  <dcterms:created xsi:type="dcterms:W3CDTF">2024-12-24T09:21:31Z</dcterms:created>
  <dcterms:modified xsi:type="dcterms:W3CDTF">2025-08-06T08:41:59Z</dcterms:modified>
</cp:coreProperties>
</file>