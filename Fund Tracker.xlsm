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richPivotRecords1.xml" ContentType="application/vnd.openxmlformats-officedocument.spreadsheetml.richPivot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JESSE\Documents\"/>
    </mc:Choice>
  </mc:AlternateContent>
  <xr:revisionPtr revIDLastSave="0" documentId="13_ncr:1_{31D36F23-A4B8-45DD-904F-CDEDEBC13E91}" xr6:coauthVersionLast="47" xr6:coauthVersionMax="47" xr10:uidLastSave="{00000000-0000-0000-0000-000000000000}"/>
  <bookViews>
    <workbookView xWindow="-120" yWindow="-120" windowWidth="20730" windowHeight="11760" firstSheet="1" activeTab="1" xr2:uid="{741F8DC3-BEB4-4944-8A3D-130EC3C42F15}"/>
  </bookViews>
  <sheets>
    <sheet name="Query1" sheetId="8" state="hidden" r:id="rId1"/>
    <sheet name="Manual" sheetId="9" r:id="rId2"/>
    <sheet name="Entries" sheetId="1" r:id="rId3"/>
    <sheet name="Calculations" sheetId="2" r:id="rId4"/>
    <sheet name="Dashboard" sheetId="4" r:id="rId5"/>
    <sheet name="Rough but Essential" sheetId="6" state="hidden" r:id="rId6"/>
  </sheets>
  <definedNames>
    <definedName name="_xleta.IFERROR" hidden="1" xlm="1">#NAME?</definedName>
    <definedName name="_xleta.VALUE" hidden="1" xlm="1">#NAME?</definedName>
    <definedName name="_xlpm.type" hidden="1" xlm="1">#NAME?</definedName>
    <definedName name="ExternalData_1" localSheetId="2" hidden="1">Entries!$J$8</definedName>
    <definedName name="ExternalData_1" localSheetId="0" hidden="1">Query1!$A$1:$A$2</definedName>
    <definedName name="ExternalData_2" localSheetId="2" hidden="1">Entries!$I$7:$I$8</definedName>
    <definedName name="NSEList">#REF!</definedName>
  </definedNames>
  <calcPr calcId="191029"/>
  <pivotCaches>
    <pivotCache cacheId="16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 l="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C3" i="2"/>
  <c r="C4" i="2"/>
  <c r="C5"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7" i="2"/>
  <c r="J6" i="4" l="1"/>
  <c r="N3" i="6"/>
  <c r="G24"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N4" i="6"/>
  <c r="G25" i="4"/>
  <c r="J33" i="4"/>
  <c r="L23" i="4" a="1"/>
  <c r="L23" i="4" s="1"/>
  <c r="L25" i="4" a="1"/>
  <c r="L25" i="4" s="1"/>
  <c r="L26" i="4" a="1"/>
  <c r="L26" i="4" s="1"/>
  <c r="L27" i="4" a="1"/>
  <c r="L27" i="4" s="1"/>
  <c r="L28" i="4" a="1"/>
  <c r="L28" i="4" s="1"/>
  <c r="L29" i="4" a="1"/>
  <c r="L29" i="4" s="1"/>
  <c r="L30" i="4" a="1"/>
  <c r="L30" i="4" s="1"/>
  <c r="L32" i="4" a="1"/>
  <c r="L32" i="4" s="1"/>
  <c r="L31" i="4" a="1"/>
  <c r="L31" i="4" s="1"/>
  <c r="L33" i="4" a="1"/>
  <c r="L33" i="4" s="1"/>
  <c r="L34" i="4" a="1"/>
  <c r="L34" i="4" s="1"/>
  <c r="L35" i="4" a="1"/>
  <c r="L35" i="4" s="1"/>
  <c r="L36" i="4" a="1"/>
  <c r="L36" i="4" s="1"/>
  <c r="L37" i="4" a="1"/>
  <c r="L37" i="4" s="1"/>
  <c r="L38" i="4" a="1"/>
  <c r="L38" i="4" s="1"/>
  <c r="L39" i="4" a="1"/>
  <c r="L39" i="4" s="1"/>
  <c r="L40" i="4" a="1"/>
  <c r="L40" i="4" s="1"/>
  <c r="L41" i="4" a="1"/>
  <c r="L41" i="4" s="1"/>
  <c r="L42" i="4" a="1"/>
  <c r="L42" i="4" s="1"/>
  <c r="L43" i="4" a="1"/>
  <c r="L43" i="4" s="1"/>
  <c r="L44" i="4" a="1"/>
  <c r="L44" i="4" s="1"/>
  <c r="L45" i="4" a="1"/>
  <c r="L45" i="4" s="1"/>
  <c r="L46" i="4" a="1"/>
  <c r="L46" i="4" s="1"/>
  <c r="L47" i="4" a="1"/>
  <c r="L47" i="4"/>
  <c r="L48" i="4" a="1"/>
  <c r="L48" i="4"/>
  <c r="L49" i="4" a="1"/>
  <c r="L49" i="4" s="1"/>
  <c r="L50" i="4" a="1"/>
  <c r="L50" i="4" s="1"/>
  <c r="L51" i="4" a="1"/>
  <c r="L51" i="4" s="1"/>
  <c r="L52" i="4" a="1"/>
  <c r="L52" i="4" s="1"/>
  <c r="L53" i="4" a="1"/>
  <c r="L53" i="4" s="1"/>
  <c r="L54" i="4" a="1"/>
  <c r="L54" i="4" s="1"/>
  <c r="L55" i="4" a="1"/>
  <c r="L55" i="4" s="1"/>
  <c r="L56" i="4" a="1"/>
  <c r="L56" i="4" s="1"/>
  <c r="L57" i="4" a="1"/>
  <c r="L57" i="4" s="1"/>
  <c r="L58" i="4" a="1"/>
  <c r="L58" i="4" s="1"/>
  <c r="L59" i="4" a="1"/>
  <c r="L59" i="4" s="1"/>
  <c r="L60" i="4" a="1"/>
  <c r="L60" i="4" s="1"/>
  <c r="L61" i="4" a="1"/>
  <c r="L61" i="4" s="1"/>
  <c r="L62" i="4" a="1"/>
  <c r="L62" i="4" s="1"/>
  <c r="L63" i="4" a="1"/>
  <c r="L63" i="4"/>
  <c r="L64" i="4" a="1"/>
  <c r="L64" i="4" s="1"/>
  <c r="L65" i="4" a="1"/>
  <c r="L65" i="4" s="1"/>
  <c r="L66" i="4" a="1"/>
  <c r="L66" i="4" s="1"/>
  <c r="L67" i="4" a="1"/>
  <c r="L67" i="4" s="1"/>
  <c r="L68" i="4" a="1"/>
  <c r="L68" i="4" s="1"/>
  <c r="L69" i="4" a="1"/>
  <c r="L69" i="4" s="1"/>
  <c r="L70" i="4" a="1"/>
  <c r="L70" i="4" s="1"/>
  <c r="L71" i="4" a="1"/>
  <c r="L71" i="4" s="1"/>
  <c r="L72" i="4" a="1"/>
  <c r="L72" i="4" s="1"/>
  <c r="L73" i="4" a="1"/>
  <c r="L73" i="4" s="1"/>
  <c r="L74" i="4" a="1"/>
  <c r="L74" i="4" s="1"/>
  <c r="L75" i="4" a="1"/>
  <c r="L75" i="4" s="1"/>
  <c r="L76" i="4" a="1"/>
  <c r="L76" i="4" s="1"/>
  <c r="L77" i="4" a="1"/>
  <c r="L77" i="4" s="1"/>
  <c r="L78" i="4" a="1"/>
  <c r="L78" i="4" s="1"/>
  <c r="L79" i="4" a="1"/>
  <c r="L79" i="4" s="1"/>
  <c r="L80" i="4" a="1"/>
  <c r="L80" i="4" s="1"/>
  <c r="L81" i="4" a="1"/>
  <c r="L81" i="4" s="1"/>
  <c r="L82" i="4" a="1"/>
  <c r="L82" i="4" s="1"/>
  <c r="L83" i="4" a="1"/>
  <c r="L83" i="4" s="1"/>
  <c r="L84" i="4" a="1"/>
  <c r="L84" i="4" s="1"/>
  <c r="L85" i="4" a="1"/>
  <c r="L85" i="4" s="1"/>
  <c r="L86" i="4" a="1"/>
  <c r="L86" i="4" s="1"/>
  <c r="L87" i="4" a="1"/>
  <c r="L87" i="4" s="1"/>
  <c r="L88" i="4" a="1"/>
  <c r="L88" i="4" s="1"/>
  <c r="L89" i="4" a="1"/>
  <c r="L89" i="4" s="1"/>
  <c r="L90" i="4" a="1"/>
  <c r="L90" i="4" s="1"/>
  <c r="L91" i="4" a="1"/>
  <c r="L91" i="4" s="1"/>
  <c r="L92" i="4" a="1"/>
  <c r="L92" i="4" s="1"/>
  <c r="L93" i="4" a="1"/>
  <c r="L93" i="4" s="1"/>
  <c r="L94" i="4" a="1"/>
  <c r="L94" i="4" s="1"/>
  <c r="L95" i="4" a="1"/>
  <c r="L95" i="4" s="1"/>
  <c r="L96" i="4" a="1"/>
  <c r="L96" i="4" s="1"/>
  <c r="L97" i="4" a="1"/>
  <c r="L97" i="4" s="1"/>
  <c r="L98" i="4" a="1"/>
  <c r="L98" i="4" s="1"/>
  <c r="L99" i="4" a="1"/>
  <c r="L99" i="4" s="1"/>
  <c r="L100" i="4" a="1"/>
  <c r="L100" i="4"/>
  <c r="L101" i="4" a="1"/>
  <c r="L101" i="4" s="1"/>
  <c r="L102" i="4" a="1"/>
  <c r="L102" i="4" s="1"/>
  <c r="L103" i="4" a="1"/>
  <c r="L103" i="4" s="1"/>
  <c r="L104" i="4" a="1"/>
  <c r="L104" i="4" s="1"/>
  <c r="L105" i="4" a="1"/>
  <c r="L105" i="4" s="1"/>
  <c r="L106" i="4" a="1"/>
  <c r="L106" i="4" s="1"/>
  <c r="L107" i="4" a="1"/>
  <c r="L107" i="4" s="1"/>
  <c r="L108" i="4" a="1"/>
  <c r="L108" i="4" s="1"/>
  <c r="L109" i="4" a="1"/>
  <c r="L109" i="4" s="1"/>
  <c r="L110" i="4" a="1"/>
  <c r="L110" i="4" s="1"/>
  <c r="L111" i="4" a="1"/>
  <c r="L111" i="4" s="1"/>
  <c r="L112" i="4" a="1"/>
  <c r="L112" i="4" s="1"/>
  <c r="L113" i="4" a="1"/>
  <c r="L113" i="4" s="1"/>
  <c r="L114" i="4" a="1"/>
  <c r="L114" i="4" s="1"/>
  <c r="L115" i="4" a="1"/>
  <c r="L115" i="4" s="1"/>
  <c r="L116" i="4" a="1"/>
  <c r="L116" i="4" s="1"/>
  <c r="L117" i="4" a="1"/>
  <c r="L117" i="4" s="1"/>
  <c r="L118" i="4" a="1"/>
  <c r="L118" i="4" s="1"/>
  <c r="L119" i="4" a="1"/>
  <c r="L119" i="4" s="1"/>
  <c r="L120" i="4" a="1"/>
  <c r="L120" i="4" s="1"/>
  <c r="L121" i="4" a="1"/>
  <c r="L121" i="4" s="1"/>
  <c r="L122" i="4" a="1"/>
  <c r="L122" i="4" s="1"/>
  <c r="L123" i="4" a="1"/>
  <c r="L123" i="4" s="1"/>
  <c r="L124" i="4" a="1"/>
  <c r="L124" i="4" s="1"/>
  <c r="L125" i="4" a="1"/>
  <c r="L125" i="4" s="1"/>
  <c r="L126" i="4" a="1"/>
  <c r="L126" i="4" s="1"/>
  <c r="L127" i="4" a="1"/>
  <c r="L127" i="4" s="1"/>
  <c r="L128" i="4" a="1"/>
  <c r="L128" i="4" s="1"/>
  <c r="L129" i="4" a="1"/>
  <c r="L129" i="4" s="1"/>
  <c r="L130" i="4" a="1"/>
  <c r="L130" i="4" s="1"/>
  <c r="L131" i="4" a="1"/>
  <c r="L131" i="4" s="1"/>
  <c r="L132" i="4" a="1"/>
  <c r="L132" i="4" s="1"/>
  <c r="L133" i="4" a="1"/>
  <c r="L133" i="4" s="1"/>
  <c r="L134" i="4" a="1"/>
  <c r="L134" i="4" s="1"/>
  <c r="L135" i="4" a="1"/>
  <c r="L135" i="4" s="1"/>
  <c r="L136" i="4" a="1"/>
  <c r="L136" i="4" s="1"/>
  <c r="L137" i="4" a="1"/>
  <c r="L137" i="4" s="1"/>
  <c r="L138" i="4" a="1"/>
  <c r="L138" i="4" s="1"/>
  <c r="L139" i="4" a="1"/>
  <c r="L139" i="4" s="1"/>
  <c r="L140" i="4" a="1"/>
  <c r="L140" i="4" s="1"/>
  <c r="L141" i="4" a="1"/>
  <c r="L141" i="4" s="1"/>
  <c r="L142" i="4" a="1"/>
  <c r="L142" i="4" s="1"/>
  <c r="L143" i="4" a="1"/>
  <c r="L143" i="4" s="1"/>
  <c r="L144" i="4" a="1"/>
  <c r="L144" i="4" s="1"/>
  <c r="L145" i="4" a="1"/>
  <c r="L145" i="4" s="1"/>
  <c r="L146" i="4" a="1"/>
  <c r="L146" i="4" s="1"/>
  <c r="L147" i="4" a="1"/>
  <c r="L147" i="4" s="1"/>
  <c r="L148" i="4" a="1"/>
  <c r="L148" i="4" s="1"/>
  <c r="L149" i="4" a="1"/>
  <c r="L149" i="4" s="1"/>
  <c r="L150" i="4" a="1"/>
  <c r="L150" i="4" s="1"/>
  <c r="L151" i="4" a="1"/>
  <c r="L151" i="4" s="1"/>
  <c r="L152" i="4" a="1"/>
  <c r="L152" i="4" s="1"/>
  <c r="L153" i="4" a="1"/>
  <c r="L153" i="4" s="1"/>
  <c r="L154" i="4" a="1"/>
  <c r="L154" i="4" s="1"/>
  <c r="L155" i="4" a="1"/>
  <c r="L155" i="4" s="1"/>
  <c r="L156" i="4" a="1"/>
  <c r="L156" i="4" s="1"/>
  <c r="L157" i="4" a="1"/>
  <c r="L157" i="4" s="1"/>
  <c r="L158" i="4" a="1"/>
  <c r="L158" i="4" s="1"/>
  <c r="L159" i="4" a="1"/>
  <c r="L159" i="4"/>
  <c r="L160" i="4" a="1"/>
  <c r="L160" i="4" s="1"/>
  <c r="L161" i="4" a="1"/>
  <c r="L161" i="4" s="1"/>
  <c r="L162" i="4" a="1"/>
  <c r="L162" i="4" s="1"/>
  <c r="L163" i="4" a="1"/>
  <c r="L163" i="4" s="1"/>
  <c r="L164" i="4" a="1"/>
  <c r="L164" i="4" s="1"/>
  <c r="L165" i="4" a="1"/>
  <c r="L165" i="4" s="1"/>
  <c r="L166" i="4" a="1"/>
  <c r="L166" i="4" s="1"/>
  <c r="L167" i="4" a="1"/>
  <c r="L167" i="4" s="1"/>
  <c r="L168" i="4" a="1"/>
  <c r="L168" i="4" s="1"/>
  <c r="L169" i="4" a="1"/>
  <c r="L169" i="4" s="1"/>
  <c r="L170" i="4" a="1"/>
  <c r="L170" i="4" s="1"/>
  <c r="L171" i="4" a="1"/>
  <c r="L171" i="4" s="1"/>
  <c r="L172" i="4" a="1"/>
  <c r="L172" i="4" s="1"/>
  <c r="L173" i="4" a="1"/>
  <c r="L173" i="4" s="1"/>
  <c r="L174" i="4" a="1"/>
  <c r="L174" i="4" s="1"/>
  <c r="L175" i="4" a="1"/>
  <c r="L175" i="4" s="1"/>
  <c r="L176" i="4" a="1"/>
  <c r="L176" i="4" s="1"/>
  <c r="L177" i="4" a="1"/>
  <c r="L177" i="4" s="1"/>
  <c r="L178" i="4" a="1"/>
  <c r="L178" i="4" s="1"/>
  <c r="L179" i="4" a="1"/>
  <c r="L179" i="4" s="1"/>
  <c r="L180" i="4" a="1"/>
  <c r="L180" i="4" s="1"/>
  <c r="L181" i="4" a="1"/>
  <c r="L181" i="4" s="1"/>
  <c r="L182" i="4" a="1"/>
  <c r="L182" i="4" s="1"/>
  <c r="L183" i="4" a="1"/>
  <c r="L183" i="4" s="1"/>
  <c r="L184" i="4" a="1"/>
  <c r="L184" i="4" s="1"/>
  <c r="L185" i="4" a="1"/>
  <c r="L185" i="4" s="1"/>
  <c r="L186" i="4" a="1"/>
  <c r="L186" i="4" s="1"/>
  <c r="L187" i="4" a="1"/>
  <c r="L187" i="4" s="1"/>
  <c r="L188" i="4" a="1"/>
  <c r="L188" i="4" s="1"/>
  <c r="L189" i="4" a="1"/>
  <c r="L189" i="4" s="1"/>
  <c r="L190" i="4" a="1"/>
  <c r="L190" i="4" s="1"/>
  <c r="L191" i="4" a="1"/>
  <c r="L191" i="4" s="1"/>
  <c r="L192" i="4" a="1"/>
  <c r="L192" i="4" s="1"/>
  <c r="L193" i="4" a="1"/>
  <c r="L193" i="4" s="1"/>
  <c r="L194" i="4" a="1"/>
  <c r="L194" i="4" s="1"/>
  <c r="L195" i="4" a="1"/>
  <c r="L195" i="4" s="1"/>
  <c r="L196" i="4" a="1"/>
  <c r="L196" i="4" s="1"/>
  <c r="L197" i="4" a="1"/>
  <c r="L197" i="4" s="1"/>
  <c r="L198" i="4" a="1"/>
  <c r="L198" i="4" s="1"/>
  <c r="L199" i="4" a="1"/>
  <c r="L199" i="4" s="1"/>
  <c r="L200" i="4" a="1"/>
  <c r="L200" i="4" s="1"/>
  <c r="L201" i="4" a="1"/>
  <c r="L201" i="4" s="1"/>
  <c r="L202" i="4" a="1"/>
  <c r="L202" i="4" s="1"/>
  <c r="L203" i="4" a="1"/>
  <c r="L203" i="4" s="1"/>
  <c r="L204" i="4" a="1"/>
  <c r="L204" i="4" s="1"/>
  <c r="L205" i="4" a="1"/>
  <c r="L205" i="4" s="1"/>
  <c r="L206" i="4" a="1"/>
  <c r="L206" i="4" s="1"/>
  <c r="L207" i="4" a="1"/>
  <c r="L207" i="4" s="1"/>
  <c r="L208" i="4" a="1"/>
  <c r="L208" i="4" s="1"/>
  <c r="L209" i="4" a="1"/>
  <c r="L209" i="4" s="1"/>
  <c r="L210" i="4" a="1"/>
  <c r="L210" i="4" s="1"/>
  <c r="L211" i="4" a="1"/>
  <c r="L211" i="4" s="1"/>
  <c r="L212" i="4" a="1"/>
  <c r="L212" i="4" s="1"/>
  <c r="L213" i="4" a="1"/>
  <c r="L213" i="4" s="1"/>
  <c r="L214" i="4" a="1"/>
  <c r="L214" i="4" s="1"/>
  <c r="L215" i="4" a="1"/>
  <c r="L215" i="4" s="1"/>
  <c r="L216" i="4" a="1"/>
  <c r="L216" i="4" s="1"/>
  <c r="L217" i="4" a="1"/>
  <c r="L217" i="4" s="1"/>
  <c r="L218" i="4" a="1"/>
  <c r="L218" i="4" s="1"/>
  <c r="L219" i="4" a="1"/>
  <c r="L219" i="4" s="1"/>
  <c r="L220" i="4" a="1"/>
  <c r="L220" i="4" s="1"/>
  <c r="L221" i="4" a="1"/>
  <c r="L221" i="4" s="1"/>
  <c r="L222" i="4" a="1"/>
  <c r="L222" i="4" s="1"/>
  <c r="L223" i="4" a="1"/>
  <c r="L223" i="4" s="1"/>
  <c r="L224" i="4" a="1"/>
  <c r="L224" i="4"/>
  <c r="L225" i="4" a="1"/>
  <c r="L225" i="4" s="1"/>
  <c r="L226" i="4" a="1"/>
  <c r="L226" i="4" s="1"/>
  <c r="L227" i="4" a="1"/>
  <c r="L227" i="4" s="1"/>
  <c r="L228" i="4" a="1"/>
  <c r="L228" i="4" s="1"/>
  <c r="L229" i="4" a="1"/>
  <c r="L229" i="4" s="1"/>
  <c r="L230" i="4" a="1"/>
  <c r="L230" i="4" s="1"/>
  <c r="L231" i="4" a="1"/>
  <c r="L231" i="4" s="1"/>
  <c r="L232" i="4" a="1"/>
  <c r="L232" i="4" s="1"/>
  <c r="L233" i="4" a="1"/>
  <c r="L233" i="4" s="1"/>
  <c r="L234" i="4" a="1"/>
  <c r="L234" i="4" s="1"/>
  <c r="L235" i="4" a="1"/>
  <c r="L235" i="4" s="1"/>
  <c r="L236" i="4" a="1"/>
  <c r="L236" i="4" s="1"/>
  <c r="L237" i="4" a="1"/>
  <c r="L237" i="4" s="1"/>
  <c r="L238" i="4" a="1"/>
  <c r="L238" i="4" s="1"/>
  <c r="L239" i="4" a="1"/>
  <c r="L239" i="4" s="1"/>
  <c r="L240" i="4" a="1"/>
  <c r="L240" i="4" s="1"/>
  <c r="L241" i="4" a="1"/>
  <c r="L241" i="4" s="1"/>
  <c r="L242" i="4" a="1"/>
  <c r="L242" i="4" s="1"/>
  <c r="L243" i="4" a="1"/>
  <c r="L243" i="4" s="1"/>
  <c r="L244" i="4" a="1"/>
  <c r="L244" i="4" s="1"/>
  <c r="L245" i="4" a="1"/>
  <c r="L245" i="4" s="1"/>
  <c r="L246" i="4" a="1"/>
  <c r="L246" i="4" s="1"/>
  <c r="L247" i="4" a="1"/>
  <c r="L247" i="4" s="1"/>
  <c r="L248" i="4" a="1"/>
  <c r="L248" i="4" s="1"/>
  <c r="L249" i="4" a="1"/>
  <c r="L249" i="4" s="1"/>
  <c r="L250" i="4" a="1"/>
  <c r="L250" i="4" s="1"/>
  <c r="L251" i="4" a="1"/>
  <c r="L251" i="4" s="1"/>
  <c r="L252" i="4" a="1"/>
  <c r="L252" i="4" s="1"/>
  <c r="L253" i="4" a="1"/>
  <c r="L253" i="4" s="1"/>
  <c r="L254" i="4" a="1"/>
  <c r="L254" i="4" s="1"/>
  <c r="L255" i="4" a="1"/>
  <c r="L255" i="4" s="1"/>
  <c r="L256" i="4" a="1"/>
  <c r="L256" i="4" s="1"/>
  <c r="L257" i="4" a="1"/>
  <c r="L257" i="4" s="1"/>
  <c r="L258" i="4" a="1"/>
  <c r="L258" i="4" s="1"/>
  <c r="L259" i="4" a="1"/>
  <c r="L259" i="4" s="1"/>
  <c r="L260" i="4" a="1"/>
  <c r="L260" i="4" s="1"/>
  <c r="L261" i="4" a="1"/>
  <c r="L261" i="4" s="1"/>
  <c r="L262" i="4" a="1"/>
  <c r="L262" i="4" s="1"/>
  <c r="L263" i="4" a="1"/>
  <c r="L263" i="4" s="1"/>
  <c r="L264" i="4" a="1"/>
  <c r="L264" i="4" s="1"/>
  <c r="L265" i="4" a="1"/>
  <c r="L265" i="4" s="1"/>
  <c r="L266" i="4" a="1"/>
  <c r="L266" i="4" s="1"/>
  <c r="L267" i="4" a="1"/>
  <c r="L267" i="4" s="1"/>
  <c r="L268" i="4" a="1"/>
  <c r="L268" i="4" s="1"/>
  <c r="L269" i="4" a="1"/>
  <c r="L269" i="4" s="1"/>
  <c r="L270" i="4" a="1"/>
  <c r="L270" i="4" s="1"/>
  <c r="L271" i="4" a="1"/>
  <c r="L271" i="4" s="1"/>
  <c r="L272" i="4" a="1"/>
  <c r="L272" i="4"/>
  <c r="L273" i="4" a="1"/>
  <c r="L273" i="4" s="1"/>
  <c r="L274" i="4" a="1"/>
  <c r="L274" i="4" s="1"/>
  <c r="L275" i="4" a="1"/>
  <c r="L275" i="4" s="1"/>
  <c r="L276" i="4" a="1"/>
  <c r="L276" i="4" s="1"/>
  <c r="L277" i="4" a="1"/>
  <c r="L277" i="4" s="1"/>
  <c r="L278" i="4" a="1"/>
  <c r="L278" i="4" s="1"/>
  <c r="L279" i="4" a="1"/>
  <c r="L279" i="4" s="1"/>
  <c r="L280" i="4" a="1"/>
  <c r="L280" i="4" s="1"/>
  <c r="L281" i="4" a="1"/>
  <c r="L281" i="4" s="1"/>
  <c r="L282" i="4" a="1"/>
  <c r="L282" i="4" s="1"/>
  <c r="L283" i="4" a="1"/>
  <c r="L283" i="4" s="1"/>
  <c r="L284" i="4" a="1"/>
  <c r="L284" i="4" s="1"/>
  <c r="L285" i="4" a="1"/>
  <c r="L285" i="4" s="1"/>
  <c r="L286" i="4" a="1"/>
  <c r="L286" i="4" s="1"/>
  <c r="L287" i="4" a="1"/>
  <c r="L287" i="4" s="1"/>
  <c r="L288" i="4" a="1"/>
  <c r="L288" i="4"/>
  <c r="L289" i="4" a="1"/>
  <c r="L289" i="4" s="1"/>
  <c r="L290" i="4" a="1"/>
  <c r="L290" i="4" s="1"/>
  <c r="L291" i="4" a="1"/>
  <c r="L291" i="4" s="1"/>
  <c r="L292" i="4" a="1"/>
  <c r="L292" i="4" s="1"/>
  <c r="L293" i="4" a="1"/>
  <c r="L293" i="4" s="1"/>
  <c r="L294" i="4" a="1"/>
  <c r="L294" i="4" s="1"/>
  <c r="L295" i="4" a="1"/>
  <c r="L295" i="4" s="1"/>
  <c r="L296" i="4" a="1"/>
  <c r="L296" i="4" s="1"/>
  <c r="L297" i="4" a="1"/>
  <c r="L297" i="4" s="1"/>
  <c r="L298" i="4" a="1"/>
  <c r="L298" i="4" s="1"/>
  <c r="L299" i="4" a="1"/>
  <c r="L299" i="4" s="1"/>
  <c r="L300" i="4" a="1"/>
  <c r="L300" i="4" s="1"/>
  <c r="L301" i="4" a="1"/>
  <c r="L301" i="4" s="1"/>
  <c r="L302" i="4" a="1"/>
  <c r="L302" i="4" s="1"/>
  <c r="L303" i="4" a="1"/>
  <c r="L303" i="4" s="1"/>
  <c r="L304" i="4" a="1"/>
  <c r="L304" i="4" s="1"/>
  <c r="L305" i="4" a="1"/>
  <c r="L305" i="4" s="1"/>
  <c r="L306" i="4" a="1"/>
  <c r="L306" i="4" s="1"/>
  <c r="L307" i="4" a="1"/>
  <c r="L307" i="4" s="1"/>
  <c r="L308" i="4" a="1"/>
  <c r="L308" i="4" s="1"/>
  <c r="L309" i="4" a="1"/>
  <c r="L309" i="4" s="1"/>
  <c r="L310" i="4" a="1"/>
  <c r="L310" i="4" s="1"/>
  <c r="L311" i="4" a="1"/>
  <c r="L311" i="4" s="1"/>
  <c r="L312" i="4" a="1"/>
  <c r="L312" i="4" s="1"/>
  <c r="L313" i="4" a="1"/>
  <c r="L313" i="4" s="1"/>
  <c r="L314" i="4" a="1"/>
  <c r="L314" i="4" s="1"/>
  <c r="L315" i="4" a="1"/>
  <c r="L315" i="4" s="1"/>
  <c r="L316" i="4" a="1"/>
  <c r="L316" i="4" s="1"/>
  <c r="L317" i="4" a="1"/>
  <c r="L317" i="4" s="1"/>
  <c r="L318" i="4" a="1"/>
  <c r="L318" i="4" s="1"/>
  <c r="L319" i="4" a="1"/>
  <c r="L319" i="4" s="1"/>
  <c r="L320" i="4" a="1"/>
  <c r="L320" i="4"/>
  <c r="L321" i="4" a="1"/>
  <c r="L321" i="4" s="1"/>
  <c r="L322" i="4" a="1"/>
  <c r="L322" i="4" s="1"/>
  <c r="L323" i="4" a="1"/>
  <c r="L323" i="4" s="1"/>
  <c r="L324" i="4" a="1"/>
  <c r="L324" i="4" s="1"/>
  <c r="L325" i="4" a="1"/>
  <c r="L325" i="4" s="1"/>
  <c r="L326" i="4" a="1"/>
  <c r="L326" i="4" s="1"/>
  <c r="L327" i="4" a="1"/>
  <c r="L327" i="4" s="1"/>
  <c r="L328" i="4" a="1"/>
  <c r="L328" i="4" s="1"/>
  <c r="L329" i="4" a="1"/>
  <c r="L329" i="4" s="1"/>
  <c r="L330" i="4" a="1"/>
  <c r="L330" i="4" s="1"/>
  <c r="L331" i="4" a="1"/>
  <c r="L331" i="4" s="1"/>
  <c r="L332" i="4" a="1"/>
  <c r="L332" i="4" s="1"/>
  <c r="L333" i="4" a="1"/>
  <c r="L333" i="4" s="1"/>
  <c r="L334" i="4" a="1"/>
  <c r="L334" i="4" s="1"/>
  <c r="L335" i="4" a="1"/>
  <c r="L335" i="4" s="1"/>
  <c r="L336" i="4" a="1"/>
  <c r="L336" i="4" s="1"/>
  <c r="L337" i="4" a="1"/>
  <c r="L337" i="4" s="1"/>
  <c r="L338" i="4" a="1"/>
  <c r="L338" i="4" s="1"/>
  <c r="L339" i="4" a="1"/>
  <c r="L339" i="4" s="1"/>
  <c r="L340" i="4" a="1"/>
  <c r="L340" i="4" s="1"/>
  <c r="L341" i="4" a="1"/>
  <c r="L341" i="4" s="1"/>
  <c r="L342" i="4" a="1"/>
  <c r="L342" i="4" s="1"/>
  <c r="L343" i="4" a="1"/>
  <c r="L343" i="4" s="1"/>
  <c r="L344" i="4" a="1"/>
  <c r="L344" i="4" s="1"/>
  <c r="L345" i="4" a="1"/>
  <c r="L345" i="4" s="1"/>
  <c r="L346" i="4" a="1"/>
  <c r="L346" i="4" s="1"/>
  <c r="L347" i="4" a="1"/>
  <c r="L347" i="4" s="1"/>
  <c r="L348" i="4" a="1"/>
  <c r="L348" i="4" s="1"/>
  <c r="L349" i="4" a="1"/>
  <c r="L349" i="4" s="1"/>
  <c r="L350" i="4" a="1"/>
  <c r="L350" i="4" s="1"/>
  <c r="L351" i="4" a="1"/>
  <c r="L351" i="4" s="1"/>
  <c r="L352" i="4" a="1"/>
  <c r="L352" i="4" s="1"/>
  <c r="L353" i="4" a="1"/>
  <c r="L353" i="4" s="1"/>
  <c r="L354" i="4" a="1"/>
  <c r="L354" i="4" s="1"/>
  <c r="L355" i="4" a="1"/>
  <c r="L355" i="4" s="1"/>
  <c r="L356" i="4" a="1"/>
  <c r="L356" i="4" s="1"/>
  <c r="L357" i="4" a="1"/>
  <c r="L357" i="4" s="1"/>
  <c r="L358" i="4" a="1"/>
  <c r="L358" i="4" s="1"/>
  <c r="L359" i="4" a="1"/>
  <c r="L359" i="4" s="1"/>
  <c r="L360" i="4" a="1"/>
  <c r="L360" i="4" s="1"/>
  <c r="L361" i="4" a="1"/>
  <c r="L361" i="4" s="1"/>
  <c r="L362" i="4" a="1"/>
  <c r="L362" i="4" s="1"/>
  <c r="L363" i="4" a="1"/>
  <c r="L363" i="4" s="1"/>
  <c r="L364" i="4" a="1"/>
  <c r="L364" i="4" s="1"/>
  <c r="L365" i="4" a="1"/>
  <c r="L365" i="4" s="1"/>
  <c r="L366" i="4" a="1"/>
  <c r="L366" i="4" s="1"/>
  <c r="L367" i="4" a="1"/>
  <c r="L367" i="4" s="1"/>
  <c r="L368" i="4" a="1"/>
  <c r="L368" i="4" s="1"/>
  <c r="L369" i="4" a="1"/>
  <c r="L369" i="4" s="1"/>
  <c r="L370" i="4" a="1"/>
  <c r="L370" i="4" s="1"/>
  <c r="L371" i="4" a="1"/>
  <c r="L371" i="4" s="1"/>
  <c r="L372" i="4" a="1"/>
  <c r="L372" i="4" s="1"/>
  <c r="L373" i="4" a="1"/>
  <c r="L373" i="4" s="1"/>
  <c r="L374" i="4" a="1"/>
  <c r="L374" i="4" s="1"/>
  <c r="L375" i="4" a="1"/>
  <c r="L375" i="4" s="1"/>
  <c r="L376" i="4" a="1"/>
  <c r="L376" i="4" s="1"/>
  <c r="L377" i="4" a="1"/>
  <c r="L377" i="4" s="1"/>
  <c r="L378" i="4" a="1"/>
  <c r="L378" i="4" s="1"/>
  <c r="L379" i="4" a="1"/>
  <c r="L379" i="4" s="1"/>
  <c r="L380" i="4" a="1"/>
  <c r="L380" i="4" s="1"/>
  <c r="L381" i="4" a="1"/>
  <c r="L381" i="4" s="1"/>
  <c r="L382" i="4" a="1"/>
  <c r="L382" i="4" s="1"/>
  <c r="L383" i="4" a="1"/>
  <c r="L383" i="4" s="1"/>
  <c r="L384" i="4" a="1"/>
  <c r="L384" i="4"/>
  <c r="L385" i="4" a="1"/>
  <c r="L385" i="4" s="1"/>
  <c r="L386" i="4" a="1"/>
  <c r="L386" i="4" s="1"/>
  <c r="L387" i="4" a="1"/>
  <c r="L387" i="4" s="1"/>
  <c r="L388" i="4" a="1"/>
  <c r="L388" i="4" s="1"/>
  <c r="L389" i="4" a="1"/>
  <c r="L389" i="4" s="1"/>
  <c r="L390" i="4" a="1"/>
  <c r="L390" i="4" s="1"/>
  <c r="L391" i="4" a="1"/>
  <c r="L391" i="4" s="1"/>
  <c r="L392" i="4" a="1"/>
  <c r="L392" i="4" s="1"/>
  <c r="L393" i="4" a="1"/>
  <c r="L393" i="4" s="1"/>
  <c r="L394" i="4" a="1"/>
  <c r="L394" i="4" s="1"/>
  <c r="L395" i="4" a="1"/>
  <c r="L395" i="4" s="1"/>
  <c r="L396" i="4" a="1"/>
  <c r="L396" i="4" s="1"/>
  <c r="L397" i="4" a="1"/>
  <c r="L397" i="4" s="1"/>
  <c r="L398" i="4" a="1"/>
  <c r="L398" i="4" s="1"/>
  <c r="L399" i="4" a="1"/>
  <c r="L399" i="4" s="1"/>
  <c r="L400" i="4" a="1"/>
  <c r="L400" i="4" s="1"/>
  <c r="L401" i="4" a="1"/>
  <c r="L401" i="4" s="1"/>
  <c r="L402" i="4" a="1"/>
  <c r="L402" i="4" s="1"/>
  <c r="L403" i="4" a="1"/>
  <c r="L403" i="4" s="1"/>
  <c r="L404" i="4" a="1"/>
  <c r="L404" i="4" s="1"/>
  <c r="L405" i="4" a="1"/>
  <c r="L405" i="4" s="1"/>
  <c r="L406" i="4" a="1"/>
  <c r="L406" i="4" s="1"/>
  <c r="L407" i="4" a="1"/>
  <c r="L407" i="4" s="1"/>
  <c r="L408" i="4" a="1"/>
  <c r="L408" i="4" s="1"/>
  <c r="L409" i="4" a="1"/>
  <c r="L409" i="4" s="1"/>
  <c r="L410" i="4" a="1"/>
  <c r="L410" i="4" s="1"/>
  <c r="L411" i="4" a="1"/>
  <c r="L411" i="4" s="1"/>
  <c r="L412" i="4" a="1"/>
  <c r="L412" i="4"/>
  <c r="L413" i="4" a="1"/>
  <c r="L413" i="4" s="1"/>
  <c r="L414" i="4" a="1"/>
  <c r="L414" i="4" s="1"/>
  <c r="L415" i="4" a="1"/>
  <c r="L415" i="4" s="1"/>
  <c r="L416" i="4" a="1"/>
  <c r="L416" i="4" s="1"/>
  <c r="L417" i="4" a="1"/>
  <c r="L417" i="4" s="1"/>
  <c r="L418" i="4" a="1"/>
  <c r="L418" i="4" s="1"/>
  <c r="L419" i="4" a="1"/>
  <c r="L419" i="4"/>
  <c r="L420" i="4" a="1"/>
  <c r="L420" i="4" s="1"/>
  <c r="L421" i="4" a="1"/>
  <c r="L421" i="4" s="1"/>
  <c r="L422" i="4" a="1"/>
  <c r="L422" i="4" s="1"/>
  <c r="L423" i="4" a="1"/>
  <c r="L423" i="4" s="1"/>
  <c r="L424" i="4" a="1"/>
  <c r="L424" i="4" s="1"/>
  <c r="L425" i="4" a="1"/>
  <c r="L425" i="4"/>
  <c r="L426" i="4" a="1"/>
  <c r="L426" i="4" s="1"/>
  <c r="L427" i="4" a="1"/>
  <c r="L427" i="4" s="1"/>
  <c r="L428" i="4" a="1"/>
  <c r="L428" i="4" s="1"/>
  <c r="L429" i="4" a="1"/>
  <c r="L429" i="4" s="1"/>
  <c r="L430" i="4" a="1"/>
  <c r="L430" i="4" s="1"/>
  <c r="L431" i="4" a="1"/>
  <c r="L431" i="4" s="1"/>
  <c r="L432" i="4" a="1"/>
  <c r="L432" i="4" s="1"/>
  <c r="L433" i="4" a="1"/>
  <c r="L433" i="4" s="1"/>
  <c r="L434" i="4" a="1"/>
  <c r="L434" i="4" s="1"/>
  <c r="L435" i="4" a="1"/>
  <c r="L435" i="4" s="1"/>
  <c r="L436" i="4" a="1"/>
  <c r="L436" i="4" s="1"/>
  <c r="L437" i="4" a="1"/>
  <c r="L437" i="4"/>
  <c r="L438" i="4" a="1"/>
  <c r="L438" i="4" s="1"/>
  <c r="L439" i="4" a="1"/>
  <c r="L439" i="4" s="1"/>
  <c r="L440" i="4" a="1"/>
  <c r="L440" i="4" s="1"/>
  <c r="L441" i="4" a="1"/>
  <c r="L441" i="4" s="1"/>
  <c r="L442" i="4" a="1"/>
  <c r="L442" i="4" s="1"/>
  <c r="L443" i="4" a="1"/>
  <c r="L443" i="4" s="1"/>
  <c r="L444" i="4" a="1"/>
  <c r="L444" i="4"/>
  <c r="L445" i="4" a="1"/>
  <c r="L445" i="4" s="1"/>
  <c r="L446" i="4" a="1"/>
  <c r="L446" i="4" s="1"/>
  <c r="L447" i="4" a="1"/>
  <c r="L447" i="4" s="1"/>
  <c r="L448" i="4" a="1"/>
  <c r="L448" i="4"/>
  <c r="L449" i="4" a="1"/>
  <c r="L449" i="4" s="1"/>
  <c r="L450" i="4" a="1"/>
  <c r="L450" i="4" s="1"/>
  <c r="L451" i="4" a="1"/>
  <c r="L451" i="4" s="1"/>
  <c r="L452" i="4" a="1"/>
  <c r="L452" i="4" s="1"/>
  <c r="L453" i="4" a="1"/>
  <c r="L453" i="4" s="1"/>
  <c r="L454" i="4" a="1"/>
  <c r="L454" i="4" s="1"/>
  <c r="L455" i="4" a="1"/>
  <c r="L455" i="4" s="1"/>
  <c r="L456" i="4" a="1"/>
  <c r="L456" i="4" s="1"/>
  <c r="L457" i="4" a="1"/>
  <c r="L457" i="4" s="1"/>
  <c r="L458" i="4" a="1"/>
  <c r="L458" i="4" s="1"/>
  <c r="L459" i="4" a="1"/>
  <c r="L459" i="4" s="1"/>
  <c r="L460" i="4" a="1"/>
  <c r="L460" i="4"/>
  <c r="L461" i="4" a="1"/>
  <c r="L461" i="4" s="1"/>
  <c r="L462" i="4" a="1"/>
  <c r="L462" i="4" s="1"/>
  <c r="L463" i="4" a="1"/>
  <c r="L463" i="4" s="1"/>
  <c r="L464" i="4" a="1"/>
  <c r="L464" i="4" s="1"/>
  <c r="L465" i="4" a="1"/>
  <c r="L465" i="4" s="1"/>
  <c r="L466" i="4" a="1"/>
  <c r="L466" i="4" s="1"/>
  <c r="L467" i="4" a="1"/>
  <c r="L467" i="4"/>
  <c r="L468" i="4" a="1"/>
  <c r="L468" i="4" s="1"/>
  <c r="L469" i="4" a="1"/>
  <c r="L469" i="4"/>
  <c r="L470" i="4" a="1"/>
  <c r="L470" i="4" s="1"/>
  <c r="L471" i="4" a="1"/>
  <c r="L471" i="4" s="1"/>
  <c r="L472" i="4" a="1"/>
  <c r="L472" i="4" s="1"/>
  <c r="L473" i="4" a="1"/>
  <c r="L473" i="4" s="1"/>
  <c r="L474" i="4" a="1"/>
  <c r="L474" i="4" s="1"/>
  <c r="L475" i="4" a="1"/>
  <c r="L475" i="4" s="1"/>
  <c r="L476" i="4" a="1"/>
  <c r="L476" i="4"/>
  <c r="L477" i="4" a="1"/>
  <c r="L477" i="4" s="1"/>
  <c r="L478" i="4" a="1"/>
  <c r="L478" i="4" s="1"/>
  <c r="L479" i="4" a="1"/>
  <c r="L479" i="4" s="1"/>
  <c r="L480" i="4" a="1"/>
  <c r="L480" i="4" s="1"/>
  <c r="L481" i="4" a="1"/>
  <c r="L481" i="4" s="1"/>
  <c r="L482" i="4" a="1"/>
  <c r="L482" i="4" s="1"/>
  <c r="L483" i="4" a="1"/>
  <c r="L483" i="4"/>
  <c r="L484" i="4" a="1"/>
  <c r="L484" i="4" s="1"/>
  <c r="L485" i="4" a="1"/>
  <c r="L485" i="4"/>
  <c r="L486" i="4" a="1"/>
  <c r="L486" i="4" s="1"/>
  <c r="L487" i="4" a="1"/>
  <c r="L487" i="4" s="1"/>
  <c r="L488" i="4" a="1"/>
  <c r="L488" i="4" s="1"/>
  <c r="L489" i="4" a="1"/>
  <c r="L489" i="4"/>
  <c r="L490" i="4" a="1"/>
  <c r="L490" i="4" s="1"/>
  <c r="L491" i="4" a="1"/>
  <c r="L491" i="4" s="1"/>
  <c r="L492" i="4" a="1"/>
  <c r="L492" i="4" s="1"/>
  <c r="L493" i="4" a="1"/>
  <c r="L493" i="4" s="1"/>
  <c r="L494" i="4" a="1"/>
  <c r="L494" i="4" s="1"/>
  <c r="L495" i="4" a="1"/>
  <c r="L495" i="4" s="1"/>
  <c r="L496" i="4" a="1"/>
  <c r="L496" i="4" s="1"/>
  <c r="L497" i="4" a="1"/>
  <c r="L497" i="4" s="1"/>
  <c r="L498" i="4" a="1"/>
  <c r="L498" i="4" s="1"/>
  <c r="L499" i="4" a="1"/>
  <c r="L499" i="4" s="1"/>
  <c r="L500" i="4" a="1"/>
  <c r="L500" i="4" s="1"/>
  <c r="L501" i="4" a="1"/>
  <c r="L501" i="4" s="1"/>
  <c r="L502" i="4" a="1"/>
  <c r="L502" i="4" s="1"/>
  <c r="L503" i="4" a="1"/>
  <c r="L503" i="4" s="1"/>
  <c r="L504" i="4" a="1"/>
  <c r="L504" i="4" s="1"/>
  <c r="L505" i="4" a="1"/>
  <c r="L505" i="4" s="1"/>
  <c r="L506" i="4" a="1"/>
  <c r="L506" i="4" s="1"/>
  <c r="L507" i="4" a="1"/>
  <c r="L507" i="4" s="1"/>
  <c r="L508" i="4" a="1"/>
  <c r="L508" i="4"/>
  <c r="L509" i="4" a="1"/>
  <c r="L509" i="4" s="1"/>
  <c r="L510" i="4" a="1"/>
  <c r="L510" i="4" s="1"/>
  <c r="L511" i="4" a="1"/>
  <c r="L511" i="4" s="1"/>
  <c r="L512" i="4" a="1"/>
  <c r="L512" i="4"/>
  <c r="L513" i="4" a="1"/>
  <c r="L513" i="4" s="1"/>
  <c r="L514" i="4" a="1"/>
  <c r="L514" i="4" s="1"/>
  <c r="L515" i="4" a="1"/>
  <c r="L515" i="4" s="1"/>
  <c r="L516" i="4" a="1"/>
  <c r="L516" i="4" s="1"/>
  <c r="L517" i="4" a="1"/>
  <c r="L517" i="4"/>
  <c r="L518" i="4" a="1"/>
  <c r="L518" i="4" s="1"/>
  <c r="L519" i="4" a="1"/>
  <c r="L519" i="4"/>
  <c r="L520" i="4" a="1"/>
  <c r="L520" i="4" s="1"/>
  <c r="L521" i="4" a="1"/>
  <c r="L521" i="4" s="1"/>
  <c r="L522" i="4" a="1"/>
  <c r="L522" i="4" s="1"/>
  <c r="L523" i="4" a="1"/>
  <c r="L523" i="4" s="1"/>
  <c r="L524" i="4" a="1"/>
  <c r="L524" i="4"/>
  <c r="L525" i="4" a="1"/>
  <c r="L525" i="4" s="1"/>
  <c r="L526" i="4" a="1"/>
  <c r="L526" i="4" s="1"/>
  <c r="L527" i="4" a="1"/>
  <c r="L527" i="4" s="1"/>
  <c r="L528" i="4" a="1"/>
  <c r="L528" i="4" s="1"/>
  <c r="L529" i="4" a="1"/>
  <c r="L529" i="4" s="1"/>
  <c r="L530" i="4" a="1"/>
  <c r="L530" i="4" s="1"/>
  <c r="L531" i="4" a="1"/>
  <c r="L531" i="4"/>
  <c r="L532" i="4" a="1"/>
  <c r="L532" i="4" s="1"/>
  <c r="L533" i="4" a="1"/>
  <c r="L533" i="4"/>
  <c r="L534" i="4" a="1"/>
  <c r="L534" i="4" s="1"/>
  <c r="L535" i="4" a="1"/>
  <c r="L535" i="4"/>
  <c r="L536" i="4" a="1"/>
  <c r="L536" i="4" s="1"/>
  <c r="L537" i="4" a="1"/>
  <c r="L537" i="4"/>
  <c r="L538" i="4" a="1"/>
  <c r="L538" i="4" s="1"/>
  <c r="L539" i="4" a="1"/>
  <c r="L539" i="4" s="1"/>
  <c r="L540" i="4" a="1"/>
  <c r="L540" i="4" s="1"/>
  <c r="L541" i="4" a="1"/>
  <c r="L541" i="4" s="1"/>
  <c r="L542" i="4" a="1"/>
  <c r="L542" i="4" s="1"/>
  <c r="L543" i="4" a="1"/>
  <c r="L543" i="4" s="1"/>
  <c r="L544" i="4" a="1"/>
  <c r="L544" i="4" s="1"/>
  <c r="L545" i="4" a="1"/>
  <c r="L545" i="4" s="1"/>
  <c r="L546" i="4" a="1"/>
  <c r="L546" i="4" s="1"/>
  <c r="L547" i="4" a="1"/>
  <c r="L547" i="4" s="1"/>
  <c r="L548" i="4" a="1"/>
  <c r="L548" i="4" s="1"/>
  <c r="L549" i="4" a="1"/>
  <c r="L549" i="4"/>
  <c r="L550" i="4" a="1"/>
  <c r="L550" i="4" s="1"/>
  <c r="L551" i="4" a="1"/>
  <c r="L551" i="4" s="1"/>
  <c r="L552" i="4" a="1"/>
  <c r="L552" i="4" s="1"/>
  <c r="L553" i="4" a="1"/>
  <c r="L553" i="4" s="1"/>
  <c r="L554" i="4" a="1"/>
  <c r="L554" i="4" s="1"/>
  <c r="L555" i="4" a="1"/>
  <c r="L555" i="4" s="1"/>
  <c r="L556" i="4" a="1"/>
  <c r="L556" i="4"/>
  <c r="L557" i="4" a="1"/>
  <c r="L557" i="4" s="1"/>
  <c r="L558" i="4" a="1"/>
  <c r="L558" i="4" s="1"/>
  <c r="L559" i="4" a="1"/>
  <c r="L559" i="4" s="1"/>
  <c r="L560" i="4" a="1"/>
  <c r="L560" i="4"/>
  <c r="L561" i="4" a="1"/>
  <c r="L561" i="4" s="1"/>
  <c r="L562" i="4" a="1"/>
  <c r="L562" i="4" s="1"/>
  <c r="L563" i="4" a="1"/>
  <c r="L563" i="4" s="1"/>
  <c r="L564" i="4" a="1"/>
  <c r="L564" i="4" s="1"/>
  <c r="L565" i="4" a="1"/>
  <c r="L565" i="4" s="1"/>
  <c r="L566" i="4" a="1"/>
  <c r="L566" i="4" s="1"/>
  <c r="L567" i="4" a="1"/>
  <c r="L567" i="4" s="1"/>
  <c r="L568" i="4" a="1"/>
  <c r="L568" i="4" s="1"/>
  <c r="L569" i="4" a="1"/>
  <c r="L569" i="4"/>
  <c r="L570" i="4" a="1"/>
  <c r="L570" i="4" s="1"/>
  <c r="L571" i="4" a="1"/>
  <c r="L571" i="4" s="1"/>
  <c r="L572" i="4" a="1"/>
  <c r="L572" i="4"/>
  <c r="L573" i="4" a="1"/>
  <c r="L573" i="4" s="1"/>
  <c r="L574" i="4" a="1"/>
  <c r="L574" i="4" s="1"/>
  <c r="L575" i="4" a="1"/>
  <c r="L575" i="4" s="1"/>
  <c r="L576" i="4" a="1"/>
  <c r="L576" i="4" s="1"/>
  <c r="L577" i="4" a="1"/>
  <c r="L577" i="4" s="1"/>
  <c r="L578" i="4" a="1"/>
  <c r="L578" i="4" s="1"/>
  <c r="L579" i="4" a="1"/>
  <c r="L579" i="4" s="1"/>
  <c r="L580" i="4" a="1"/>
  <c r="L580" i="4" s="1"/>
  <c r="L581" i="4" a="1"/>
  <c r="L581" i="4"/>
  <c r="L582" i="4" a="1"/>
  <c r="L582" i="4" s="1"/>
  <c r="L583" i="4" a="1"/>
  <c r="L583" i="4"/>
  <c r="L584" i="4" a="1"/>
  <c r="L584" i="4" s="1"/>
  <c r="L585" i="4" a="1"/>
  <c r="L585" i="4"/>
  <c r="L586" i="4" a="1"/>
  <c r="L586" i="4" s="1"/>
  <c r="L587" i="4" a="1"/>
  <c r="L587" i="4" s="1"/>
  <c r="L588" i="4" a="1"/>
  <c r="L588" i="4" s="1"/>
  <c r="L589" i="4" a="1"/>
  <c r="L589" i="4" s="1"/>
  <c r="L590" i="4" a="1"/>
  <c r="L590" i="4" s="1"/>
  <c r="L591" i="4" a="1"/>
  <c r="L591" i="4" s="1"/>
  <c r="L592" i="4" a="1"/>
  <c r="L592" i="4" s="1"/>
  <c r="L593" i="4" a="1"/>
  <c r="L593" i="4" s="1"/>
  <c r="L594" i="4" a="1"/>
  <c r="L594" i="4" s="1"/>
  <c r="L595" i="4" a="1"/>
  <c r="L595" i="4" s="1"/>
  <c r="L596" i="4" a="1"/>
  <c r="L596" i="4" s="1"/>
  <c r="L597" i="4" a="1"/>
  <c r="L597" i="4" s="1"/>
  <c r="L598" i="4" a="1"/>
  <c r="L598" i="4" s="1"/>
  <c r="L599" i="4" a="1"/>
  <c r="L599" i="4" s="1"/>
  <c r="L600" i="4" a="1"/>
  <c r="L600" i="4" s="1"/>
  <c r="L601" i="4" a="1"/>
  <c r="L601" i="4" s="1"/>
  <c r="L602" i="4" a="1"/>
  <c r="L602" i="4" s="1"/>
  <c r="L603" i="4" a="1"/>
  <c r="L603" i="4" s="1"/>
  <c r="L604" i="4" a="1"/>
  <c r="L604" i="4"/>
  <c r="L605" i="4" a="1"/>
  <c r="L605" i="4" s="1"/>
  <c r="L606" i="4" a="1"/>
  <c r="L606" i="4" s="1"/>
  <c r="L607" i="4" a="1"/>
  <c r="L607" i="4" s="1"/>
  <c r="L608" i="4" a="1"/>
  <c r="L608" i="4" s="1"/>
  <c r="L609" i="4" a="1"/>
  <c r="L609" i="4" s="1"/>
  <c r="L610" i="4" a="1"/>
  <c r="L610" i="4" s="1"/>
  <c r="L611" i="4" a="1"/>
  <c r="L611" i="4"/>
  <c r="L612" i="4" a="1"/>
  <c r="L612" i="4" s="1"/>
  <c r="L613" i="4" a="1"/>
  <c r="L613" i="4"/>
  <c r="L614" i="4" a="1"/>
  <c r="L614" i="4" s="1"/>
  <c r="L615" i="4" a="1"/>
  <c r="L615" i="4" s="1"/>
  <c r="L616" i="4" a="1"/>
  <c r="L616" i="4" s="1"/>
  <c r="L617" i="4" a="1"/>
  <c r="L617" i="4"/>
  <c r="L618" i="4" a="1"/>
  <c r="L618" i="4" s="1"/>
  <c r="L619" i="4" a="1"/>
  <c r="L619" i="4" s="1"/>
  <c r="L620" i="4" a="1"/>
  <c r="L620" i="4" s="1"/>
  <c r="L621" i="4" a="1"/>
  <c r="L621" i="4" s="1"/>
  <c r="L622" i="4" a="1"/>
  <c r="L622" i="4" s="1"/>
  <c r="L623" i="4" a="1"/>
  <c r="L623" i="4" s="1"/>
  <c r="L624" i="4" a="1"/>
  <c r="L624" i="4" s="1"/>
  <c r="L625" i="4" a="1"/>
  <c r="L625" i="4" s="1"/>
  <c r="L626" i="4" a="1"/>
  <c r="L626" i="4" s="1"/>
  <c r="L627" i="4" a="1"/>
  <c r="L627" i="4" s="1"/>
  <c r="L628" i="4" a="1"/>
  <c r="L628" i="4" s="1"/>
  <c r="L629" i="4" a="1"/>
  <c r="L629" i="4" s="1"/>
  <c r="L630" i="4" a="1"/>
  <c r="L630" i="4" s="1"/>
  <c r="L631" i="4" a="1"/>
  <c r="L631" i="4" s="1"/>
  <c r="L632" i="4" a="1"/>
  <c r="L632" i="4" s="1"/>
  <c r="L633" i="4" a="1"/>
  <c r="L633" i="4" s="1"/>
  <c r="L634" i="4" a="1"/>
  <c r="L634" i="4" s="1"/>
  <c r="L635" i="4" a="1"/>
  <c r="L635" i="4" s="1"/>
  <c r="L636" i="4" a="1"/>
  <c r="L636" i="4"/>
  <c r="L637" i="4" a="1"/>
  <c r="L637" i="4" s="1"/>
  <c r="L638" i="4" a="1"/>
  <c r="L638" i="4" s="1"/>
  <c r="L639" i="4" a="1"/>
  <c r="L639" i="4" s="1"/>
  <c r="L640" i="4" a="1"/>
  <c r="L640" i="4"/>
  <c r="L641" i="4" a="1"/>
  <c r="L641" i="4" s="1"/>
  <c r="L642" i="4" a="1"/>
  <c r="L642" i="4" s="1"/>
  <c r="L643" i="4" a="1"/>
  <c r="L643" i="4" s="1"/>
  <c r="L644" i="4" a="1"/>
  <c r="L644" i="4" s="1"/>
  <c r="L645" i="4" a="1"/>
  <c r="L645" i="4"/>
  <c r="L646" i="4" a="1"/>
  <c r="L646" i="4" s="1"/>
  <c r="L647" i="4" a="1"/>
  <c r="L647" i="4" s="1"/>
  <c r="L648" i="4" a="1"/>
  <c r="L648" i="4" s="1"/>
  <c r="L649" i="4" a="1"/>
  <c r="L649" i="4" s="1"/>
  <c r="L650" i="4" a="1"/>
  <c r="L650" i="4" s="1"/>
  <c r="L651" i="4" a="1"/>
  <c r="L651" i="4" s="1"/>
  <c r="L652" i="4" a="1"/>
  <c r="L652" i="4"/>
  <c r="L653" i="4" a="1"/>
  <c r="L653" i="4" s="1"/>
  <c r="L654" i="4" a="1"/>
  <c r="L654" i="4" s="1"/>
  <c r="L655" i="4" a="1"/>
  <c r="L655" i="4" s="1"/>
  <c r="L656" i="4" a="1"/>
  <c r="L656" i="4" s="1"/>
  <c r="L657" i="4" a="1"/>
  <c r="L657" i="4" s="1"/>
  <c r="L658" i="4" a="1"/>
  <c r="L658" i="4" s="1"/>
  <c r="L659" i="4" a="1"/>
  <c r="L659" i="4"/>
  <c r="L660" i="4" a="1"/>
  <c r="L660" i="4" s="1"/>
  <c r="L661" i="4" a="1"/>
  <c r="L661" i="4" s="1"/>
  <c r="L662" i="4" a="1"/>
  <c r="L662" i="4" s="1"/>
  <c r="L663" i="4" a="1"/>
  <c r="L663" i="4"/>
  <c r="L664" i="4" a="1"/>
  <c r="L664" i="4" s="1"/>
  <c r="L665" i="4" a="1"/>
  <c r="L665" i="4"/>
  <c r="L666" i="4" a="1"/>
  <c r="L666" i="4" s="1"/>
  <c r="L667" i="4" a="1"/>
  <c r="L667" i="4" s="1"/>
  <c r="L668" i="4" a="1"/>
  <c r="L668" i="4" s="1"/>
  <c r="L669" i="4" a="1"/>
  <c r="L669" i="4" s="1"/>
  <c r="L670" i="4" a="1"/>
  <c r="L670" i="4" s="1"/>
  <c r="L671" i="4" a="1"/>
  <c r="L671" i="4" s="1"/>
  <c r="L672" i="4" a="1"/>
  <c r="L672" i="4" s="1"/>
  <c r="L673" i="4" a="1"/>
  <c r="L673" i="4" s="1"/>
  <c r="L674" i="4" a="1"/>
  <c r="L674" i="4" s="1"/>
  <c r="L675" i="4" a="1"/>
  <c r="L675" i="4" s="1"/>
  <c r="L676" i="4" a="1"/>
  <c r="L676" i="4" s="1"/>
  <c r="L677" i="4" a="1"/>
  <c r="L677" i="4" s="1"/>
  <c r="L678" i="4" a="1"/>
  <c r="L678" i="4" s="1"/>
  <c r="L679" i="4" a="1"/>
  <c r="L679" i="4" s="1"/>
  <c r="L680" i="4" a="1"/>
  <c r="L680" i="4" s="1"/>
  <c r="L681" i="4" a="1"/>
  <c r="L681" i="4" s="1"/>
  <c r="L682" i="4" a="1"/>
  <c r="L682" i="4" s="1"/>
  <c r="L683" i="4" a="1"/>
  <c r="L683" i="4" s="1"/>
  <c r="L684" i="4" a="1"/>
  <c r="L684" i="4"/>
  <c r="L685" i="4" a="1"/>
  <c r="L685" i="4" s="1"/>
  <c r="L686" i="4" a="1"/>
  <c r="L686" i="4" s="1"/>
  <c r="L687" i="4" a="1"/>
  <c r="L687" i="4" s="1"/>
  <c r="L688" i="4" a="1"/>
  <c r="L688" i="4"/>
  <c r="L689" i="4" a="1"/>
  <c r="L689" i="4" s="1"/>
  <c r="L690" i="4" a="1"/>
  <c r="L690" i="4" s="1"/>
  <c r="L691" i="4" a="1"/>
  <c r="L691" i="4" s="1"/>
  <c r="L692" i="4" a="1"/>
  <c r="L692" i="4" s="1"/>
  <c r="L693" i="4" a="1"/>
  <c r="L693" i="4"/>
  <c r="L694" i="4" a="1"/>
  <c r="L694" i="4" s="1"/>
  <c r="L695" i="4" a="1"/>
  <c r="L695" i="4" s="1"/>
  <c r="L696" i="4" a="1"/>
  <c r="L696" i="4" s="1"/>
  <c r="L697" i="4" a="1"/>
  <c r="L697" i="4"/>
  <c r="L698" i="4" a="1"/>
  <c r="L698" i="4" s="1"/>
  <c r="L699" i="4" a="1"/>
  <c r="L699" i="4" s="1"/>
  <c r="L700" i="4" a="1"/>
  <c r="L700" i="4" s="1"/>
  <c r="L701" i="4" a="1"/>
  <c r="L701" i="4" s="1"/>
  <c r="L702" i="4" a="1"/>
  <c r="L702" i="4" s="1"/>
  <c r="L703" i="4" a="1"/>
  <c r="L703" i="4" s="1"/>
  <c r="L704" i="4" a="1"/>
  <c r="L704" i="4" s="1"/>
  <c r="L705" i="4" a="1"/>
  <c r="L705" i="4" s="1"/>
  <c r="L706" i="4" a="1"/>
  <c r="L706" i="4" s="1"/>
  <c r="L707" i="4" a="1"/>
  <c r="L707" i="4" s="1"/>
  <c r="L708" i="4" a="1"/>
  <c r="L708" i="4" s="1"/>
  <c r="L709" i="4" a="1"/>
  <c r="L709" i="4" s="1"/>
  <c r="L710" i="4" a="1"/>
  <c r="L710" i="4" s="1"/>
  <c r="L711" i="4" a="1"/>
  <c r="L711" i="4" s="1"/>
  <c r="L712" i="4" a="1"/>
  <c r="L712" i="4" s="1"/>
  <c r="L713" i="4" a="1"/>
  <c r="L713" i="4"/>
  <c r="L714" i="4" a="1"/>
  <c r="L714" i="4" s="1"/>
  <c r="L715" i="4" a="1"/>
  <c r="L715" i="4" s="1"/>
  <c r="L716" i="4" a="1"/>
  <c r="L716" i="4" s="1"/>
  <c r="L717" i="4" a="1"/>
  <c r="L717" i="4" s="1"/>
  <c r="L718" i="4" a="1"/>
  <c r="L718" i="4" s="1"/>
  <c r="L719" i="4" a="1"/>
  <c r="L719" i="4" s="1"/>
  <c r="L720" i="4" a="1"/>
  <c r="L720" i="4" s="1"/>
  <c r="L721" i="4" a="1"/>
  <c r="L721" i="4" s="1"/>
  <c r="L722" i="4" a="1"/>
  <c r="L722" i="4" s="1"/>
  <c r="L723" i="4" a="1"/>
  <c r="L723" i="4" s="1"/>
  <c r="L724" i="4" a="1"/>
  <c r="L724" i="4" s="1"/>
  <c r="L725" i="4" a="1"/>
  <c r="L725" i="4" s="1"/>
  <c r="L726" i="4" a="1"/>
  <c r="L726" i="4" s="1"/>
  <c r="L727" i="4" a="1"/>
  <c r="L727" i="4" s="1"/>
  <c r="L728" i="4" a="1"/>
  <c r="L728" i="4" s="1"/>
  <c r="L729" i="4" a="1"/>
  <c r="L729" i="4"/>
  <c r="L730" i="4" a="1"/>
  <c r="L730" i="4" s="1"/>
  <c r="L731" i="4" a="1"/>
  <c r="L731" i="4" s="1"/>
  <c r="L732" i="4" a="1"/>
  <c r="L732" i="4"/>
  <c r="L733" i="4" a="1"/>
  <c r="L733" i="4" s="1"/>
  <c r="L734" i="4" a="1"/>
  <c r="L734" i="4" s="1"/>
  <c r="L735" i="4" a="1"/>
  <c r="L735" i="4" s="1"/>
  <c r="L736" i="4" a="1"/>
  <c r="L736" i="4" s="1"/>
  <c r="L737" i="4" a="1"/>
  <c r="L737" i="4" s="1"/>
  <c r="L738" i="4" a="1"/>
  <c r="L738" i="4" s="1"/>
  <c r="L739" i="4" a="1"/>
  <c r="L739" i="4"/>
  <c r="L740" i="4" a="1"/>
  <c r="L740" i="4" s="1"/>
  <c r="L741" i="4" a="1"/>
  <c r="L741" i="4" s="1"/>
  <c r="L742" i="4" a="1"/>
  <c r="L742" i="4" s="1"/>
  <c r="L743" i="4" a="1"/>
  <c r="L743" i="4" s="1"/>
  <c r="L744" i="4" a="1"/>
  <c r="L744" i="4" s="1"/>
  <c r="L745" i="4" a="1"/>
  <c r="L745" i="4"/>
  <c r="L746" i="4" a="1"/>
  <c r="L746" i="4" s="1"/>
  <c r="L747" i="4" a="1"/>
  <c r="L747" i="4" s="1"/>
  <c r="L748" i="4" a="1"/>
  <c r="L748" i="4"/>
  <c r="L749" i="4" a="1"/>
  <c r="L749" i="4" s="1"/>
  <c r="L750" i="4" a="1"/>
  <c r="L750" i="4" s="1"/>
  <c r="L751" i="4" a="1"/>
  <c r="L751" i="4" s="1"/>
  <c r="L752" i="4" a="1"/>
  <c r="L752" i="4" s="1"/>
  <c r="L753" i="4" a="1"/>
  <c r="L753" i="4" s="1"/>
  <c r="L754" i="4" a="1"/>
  <c r="L754" i="4" s="1"/>
  <c r="L755" i="4" a="1"/>
  <c r="L755" i="4" s="1"/>
  <c r="L756" i="4" a="1"/>
  <c r="L756" i="4" s="1"/>
  <c r="L757" i="4" a="1"/>
  <c r="L757" i="4"/>
  <c r="L758" i="4" a="1"/>
  <c r="L758" i="4" s="1"/>
  <c r="L759" i="4" a="1"/>
  <c r="L759" i="4" s="1"/>
  <c r="L760" i="4" a="1"/>
  <c r="L760" i="4" s="1"/>
  <c r="L761" i="4" a="1"/>
  <c r="L761" i="4" s="1"/>
  <c r="L762" i="4" a="1"/>
  <c r="L762" i="4" s="1"/>
  <c r="L763" i="4" a="1"/>
  <c r="L763" i="4" s="1"/>
  <c r="L764" i="4" a="1"/>
  <c r="L764" i="4"/>
  <c r="L765" i="4" a="1"/>
  <c r="L765" i="4" s="1"/>
  <c r="L766" i="4" a="1"/>
  <c r="L766" i="4" s="1"/>
  <c r="L767" i="4" a="1"/>
  <c r="L767" i="4" s="1"/>
  <c r="L768" i="4" a="1"/>
  <c r="L768" i="4"/>
  <c r="L769" i="4" a="1"/>
  <c r="L769" i="4" s="1"/>
  <c r="L770" i="4" a="1"/>
  <c r="L770" i="4" s="1"/>
  <c r="L771" i="4" a="1"/>
  <c r="L771" i="4" s="1"/>
  <c r="L772" i="4" a="1"/>
  <c r="L772" i="4" s="1"/>
  <c r="L773" i="4" a="1"/>
  <c r="L773" i="4" s="1"/>
  <c r="L774" i="4" a="1"/>
  <c r="L774" i="4" s="1"/>
  <c r="L775" i="4" a="1"/>
  <c r="L775" i="4" s="1"/>
  <c r="L776" i="4" a="1"/>
  <c r="L776" i="4" s="1"/>
  <c r="L777" i="4" a="1"/>
  <c r="L777" i="4" s="1"/>
  <c r="L778" i="4" a="1"/>
  <c r="L778" i="4" s="1"/>
  <c r="L779" i="4" a="1"/>
  <c r="L779" i="4" s="1"/>
  <c r="L780" i="4" a="1"/>
  <c r="L780" i="4"/>
  <c r="L781" i="4" a="1"/>
  <c r="L781" i="4" s="1"/>
  <c r="L782" i="4" a="1"/>
  <c r="L782" i="4" s="1"/>
  <c r="L783" i="4" a="1"/>
  <c r="L783" i="4" s="1"/>
  <c r="L784" i="4" a="1"/>
  <c r="L784" i="4" s="1"/>
  <c r="L785" i="4" a="1"/>
  <c r="L785" i="4" s="1"/>
  <c r="L786" i="4" a="1"/>
  <c r="L786" i="4" s="1"/>
  <c r="L787" i="4" a="1"/>
  <c r="L787" i="4"/>
  <c r="L788" i="4" a="1"/>
  <c r="L788" i="4" s="1"/>
  <c r="L789" i="4" a="1"/>
  <c r="L789" i="4"/>
  <c r="L790" i="4" a="1"/>
  <c r="L790" i="4" s="1"/>
  <c r="L791" i="4" a="1"/>
  <c r="L791" i="4" s="1"/>
  <c r="L792" i="4" a="1"/>
  <c r="L792" i="4" s="1"/>
  <c r="L793" i="4" a="1"/>
  <c r="L793" i="4" s="1"/>
  <c r="L794" i="4" a="1"/>
  <c r="L794" i="4" s="1"/>
  <c r="L795" i="4" a="1"/>
  <c r="L795" i="4" s="1"/>
  <c r="L796" i="4" a="1"/>
  <c r="L796" i="4"/>
  <c r="L797" i="4" a="1"/>
  <c r="L797" i="4" s="1"/>
  <c r="L798" i="4" a="1"/>
  <c r="L798" i="4" s="1"/>
  <c r="L799" i="4" a="1"/>
  <c r="L799" i="4" s="1"/>
  <c r="L800" i="4" a="1"/>
  <c r="L800" i="4" s="1"/>
  <c r="L801" i="4" a="1"/>
  <c r="L801" i="4" s="1"/>
  <c r="L802" i="4" a="1"/>
  <c r="L802" i="4" s="1"/>
  <c r="L803" i="4" a="1"/>
  <c r="L803" i="4"/>
  <c r="L804" i="4" a="1"/>
  <c r="L804" i="4" s="1"/>
  <c r="L805" i="4" a="1"/>
  <c r="L805" i="4"/>
  <c r="L806" i="4" a="1"/>
  <c r="L806" i="4" s="1"/>
  <c r="L807" i="4" a="1"/>
  <c r="L807" i="4" s="1"/>
  <c r="L808" i="4" a="1"/>
  <c r="L808" i="4" s="1"/>
  <c r="L809" i="4" a="1"/>
  <c r="L809" i="4"/>
  <c r="L810" i="4" a="1"/>
  <c r="L810" i="4" s="1"/>
  <c r="L811" i="4" a="1"/>
  <c r="L811" i="4" s="1"/>
  <c r="L812" i="4" a="1"/>
  <c r="L812" i="4" s="1"/>
  <c r="L813" i="4" a="1"/>
  <c r="L813" i="4" s="1"/>
  <c r="L814" i="4" a="1"/>
  <c r="L814" i="4" s="1"/>
  <c r="L815" i="4" a="1"/>
  <c r="L815" i="4" s="1"/>
  <c r="L816" i="4" a="1"/>
  <c r="L816" i="4" s="1"/>
  <c r="L817" i="4" a="1"/>
  <c r="L817" i="4" s="1"/>
  <c r="L818" i="4" a="1"/>
  <c r="L818" i="4" s="1"/>
  <c r="L819" i="4" a="1"/>
  <c r="L819" i="4" s="1"/>
  <c r="L820" i="4" a="1"/>
  <c r="L820" i="4" s="1"/>
  <c r="L821" i="4" a="1"/>
  <c r="L821" i="4" s="1"/>
  <c r="L822" i="4" a="1"/>
  <c r="L822" i="4" s="1"/>
  <c r="L823" i="4" a="1"/>
  <c r="L823" i="4" s="1"/>
  <c r="L824" i="4" a="1"/>
  <c r="L824" i="4" s="1"/>
  <c r="L825" i="4" a="1"/>
  <c r="L825" i="4" s="1"/>
  <c r="L826" i="4" a="1"/>
  <c r="L826" i="4" s="1"/>
  <c r="L827" i="4" a="1"/>
  <c r="L827" i="4" s="1"/>
  <c r="L828" i="4" a="1"/>
  <c r="L828" i="4"/>
  <c r="L829" i="4" a="1"/>
  <c r="L829" i="4" s="1"/>
  <c r="L830" i="4" a="1"/>
  <c r="L830" i="4" s="1"/>
  <c r="L831" i="4" a="1"/>
  <c r="L831" i="4" s="1"/>
  <c r="L832" i="4" a="1"/>
  <c r="L832" i="4"/>
  <c r="L833" i="4" a="1"/>
  <c r="L833" i="4" s="1"/>
  <c r="L834" i="4" a="1"/>
  <c r="L834" i="4" s="1"/>
  <c r="L835" i="4" a="1"/>
  <c r="L835" i="4" s="1"/>
  <c r="L836" i="4" a="1"/>
  <c r="L836" i="4" s="1"/>
  <c r="L837" i="4" a="1"/>
  <c r="L837" i="4"/>
  <c r="L838" i="4" a="1"/>
  <c r="L838" i="4" s="1"/>
  <c r="L839" i="4" a="1"/>
  <c r="L839" i="4"/>
  <c r="L840" i="4" a="1"/>
  <c r="L840" i="4" s="1"/>
  <c r="L841" i="4" a="1"/>
  <c r="L841" i="4" s="1"/>
  <c r="L842" i="4" a="1"/>
  <c r="L842" i="4" s="1"/>
  <c r="L843" i="4" a="1"/>
  <c r="L843" i="4" s="1"/>
  <c r="L844" i="4" a="1"/>
  <c r="L844" i="4"/>
  <c r="L845" i="4" a="1"/>
  <c r="L845" i="4" s="1"/>
  <c r="L846" i="4" a="1"/>
  <c r="L846" i="4" s="1"/>
  <c r="L847" i="4" a="1"/>
  <c r="L847" i="4" s="1"/>
  <c r="L848" i="4" a="1"/>
  <c r="L848" i="4" s="1"/>
  <c r="L849" i="4" a="1"/>
  <c r="L849" i="4" s="1"/>
  <c r="L850" i="4" a="1"/>
  <c r="L850" i="4" s="1"/>
  <c r="L851" i="4" a="1"/>
  <c r="L851" i="4"/>
  <c r="L852" i="4" a="1"/>
  <c r="L852" i="4" s="1"/>
  <c r="L853" i="4" a="1"/>
  <c r="L853" i="4"/>
  <c r="L854" i="4" a="1"/>
  <c r="L854" i="4" s="1"/>
  <c r="L855" i="4" a="1"/>
  <c r="L855" i="4"/>
  <c r="L856" i="4" a="1"/>
  <c r="L856" i="4" s="1"/>
  <c r="L857" i="4" a="1"/>
  <c r="L857" i="4"/>
  <c r="L858" i="4" a="1"/>
  <c r="L858" i="4" s="1"/>
  <c r="L859" i="4" a="1"/>
  <c r="L859" i="4" s="1"/>
  <c r="L860" i="4" a="1"/>
  <c r="L860" i="4"/>
  <c r="L861" i="4" a="1"/>
  <c r="L861" i="4" s="1"/>
  <c r="L862" i="4" a="1"/>
  <c r="L862" i="4" s="1"/>
  <c r="L863" i="4" a="1"/>
  <c r="L863" i="4" s="1"/>
  <c r="L864" i="4" a="1"/>
  <c r="L864" i="4" s="1"/>
  <c r="L865" i="4" a="1"/>
  <c r="L865" i="4" s="1"/>
  <c r="L866" i="4" a="1"/>
  <c r="L866" i="4" s="1"/>
  <c r="L867" i="4" a="1"/>
  <c r="L867" i="4" s="1"/>
  <c r="L868" i="4" a="1"/>
  <c r="L868" i="4" s="1"/>
  <c r="L869" i="4" a="1"/>
  <c r="L869" i="4"/>
  <c r="L870" i="4" a="1"/>
  <c r="L870" i="4" s="1"/>
  <c r="L871" i="4" a="1"/>
  <c r="L871" i="4" s="1"/>
  <c r="L872" i="4" a="1"/>
  <c r="L872" i="4" s="1"/>
  <c r="L873" i="4" a="1"/>
  <c r="L873" i="4" s="1"/>
  <c r="L874" i="4" a="1"/>
  <c r="L874" i="4" s="1"/>
  <c r="L875" i="4" a="1"/>
  <c r="L875" i="4" s="1"/>
  <c r="L876" i="4" a="1"/>
  <c r="L876" i="4"/>
  <c r="L877" i="4" a="1"/>
  <c r="L877" i="4" s="1"/>
  <c r="L878" i="4" a="1"/>
  <c r="L878" i="4" s="1"/>
  <c r="L879" i="4" a="1"/>
  <c r="L879" i="4" s="1"/>
  <c r="L880" i="4" a="1"/>
  <c r="L880" i="4"/>
  <c r="L881" i="4" a="1"/>
  <c r="L881" i="4" s="1"/>
  <c r="L882" i="4" a="1"/>
  <c r="L882" i="4" s="1"/>
  <c r="L883" i="4" a="1"/>
  <c r="L883" i="4" s="1"/>
  <c r="L884" i="4" a="1"/>
  <c r="L884" i="4" s="1"/>
  <c r="L885" i="4" a="1"/>
  <c r="L885" i="4" s="1"/>
  <c r="L886" i="4" a="1"/>
  <c r="L886" i="4" s="1"/>
  <c r="L887" i="4" a="1"/>
  <c r="L887" i="4" s="1"/>
  <c r="L888" i="4" a="1"/>
  <c r="L888" i="4" s="1"/>
  <c r="L889" i="4" a="1"/>
  <c r="L889" i="4"/>
  <c r="L890" i="4" a="1"/>
  <c r="L890" i="4" s="1"/>
  <c r="L891" i="4" a="1"/>
  <c r="L891" i="4" s="1"/>
  <c r="L892" i="4" a="1"/>
  <c r="L892" i="4" s="1"/>
  <c r="L893" i="4" a="1"/>
  <c r="L893" i="4" s="1"/>
  <c r="L894" i="4" a="1"/>
  <c r="L894" i="4" s="1"/>
  <c r="L895" i="4" a="1"/>
  <c r="L895" i="4" s="1"/>
  <c r="L896" i="4" a="1"/>
  <c r="L896" i="4" s="1"/>
  <c r="L897" i="4" a="1"/>
  <c r="L897" i="4"/>
  <c r="L898" i="4" a="1"/>
  <c r="L898" i="4" s="1"/>
  <c r="L899" i="4" a="1"/>
  <c r="L899" i="4" s="1"/>
  <c r="L900" i="4" a="1"/>
  <c r="L900" i="4" s="1"/>
  <c r="L901" i="4" a="1"/>
  <c r="L901" i="4" s="1"/>
  <c r="L902" i="4" a="1"/>
  <c r="L902" i="4" s="1"/>
  <c r="L903" i="4" a="1"/>
  <c r="L903" i="4" s="1"/>
  <c r="L904" i="4" a="1"/>
  <c r="L904" i="4" s="1"/>
  <c r="L905" i="4" a="1"/>
  <c r="L905" i="4" s="1"/>
  <c r="L906" i="4" a="1"/>
  <c r="L906" i="4" s="1"/>
  <c r="L907" i="4" a="1"/>
  <c r="L907" i="4" s="1"/>
  <c r="L908" i="4" a="1"/>
  <c r="L908" i="4" s="1"/>
  <c r="L909" i="4" a="1"/>
  <c r="L909" i="4" s="1"/>
  <c r="L910" i="4" a="1"/>
  <c r="L910" i="4" s="1"/>
  <c r="L911" i="4" a="1"/>
  <c r="L911" i="4"/>
  <c r="L912" i="4" a="1"/>
  <c r="L912" i="4" s="1"/>
  <c r="L913" i="4" a="1"/>
  <c r="L913" i="4"/>
  <c r="L914" i="4" a="1"/>
  <c r="L914" i="4" s="1"/>
  <c r="L915" i="4" a="1"/>
  <c r="L915" i="4" s="1"/>
  <c r="L916" i="4" a="1"/>
  <c r="L916" i="4" s="1"/>
  <c r="L917" i="4" a="1"/>
  <c r="L917" i="4"/>
  <c r="L918" i="4" a="1"/>
  <c r="L918" i="4" s="1"/>
  <c r="L919" i="4" a="1"/>
  <c r="L919" i="4" s="1"/>
  <c r="L920" i="4" a="1"/>
  <c r="L920" i="4" s="1"/>
  <c r="L921" i="4" a="1"/>
  <c r="L921" i="4" s="1"/>
  <c r="L922" i="4" a="1"/>
  <c r="L922" i="4" s="1"/>
  <c r="L923" i="4" a="1"/>
  <c r="L923" i="4"/>
  <c r="L924" i="4" a="1"/>
  <c r="L924" i="4" s="1"/>
  <c r="L925" i="4" a="1"/>
  <c r="L925" i="4"/>
  <c r="L926" i="4" a="1"/>
  <c r="L926" i="4" s="1"/>
  <c r="L927" i="4" a="1"/>
  <c r="L927" i="4"/>
  <c r="L928" i="4" a="1"/>
  <c r="L928" i="4" s="1"/>
  <c r="L929" i="4" a="1"/>
  <c r="L929" i="4"/>
  <c r="L930" i="4" a="1"/>
  <c r="L930" i="4" s="1"/>
  <c r="L931" i="4" a="1"/>
  <c r="L931" i="4" s="1"/>
  <c r="L932" i="4" a="1"/>
  <c r="L932" i="4" s="1"/>
  <c r="L933" i="4" a="1"/>
  <c r="L933" i="4"/>
  <c r="L934" i="4" a="1"/>
  <c r="L934" i="4" s="1"/>
  <c r="L935" i="4" a="1"/>
  <c r="L935" i="4" s="1"/>
  <c r="L936" i="4" a="1"/>
  <c r="L936" i="4" s="1"/>
  <c r="L937" i="4" a="1"/>
  <c r="L937" i="4"/>
  <c r="L938" i="4" a="1"/>
  <c r="L938" i="4" s="1"/>
  <c r="L939" i="4" a="1"/>
  <c r="L939" i="4"/>
  <c r="L940" i="4" a="1"/>
  <c r="L940" i="4" s="1"/>
  <c r="L941" i="4" a="1"/>
  <c r="L941" i="4"/>
  <c r="L942" i="4" a="1"/>
  <c r="L942" i="4" s="1"/>
  <c r="L943" i="4" a="1"/>
  <c r="L943" i="4" s="1"/>
  <c r="L944" i="4" a="1"/>
  <c r="L944" i="4" s="1"/>
  <c r="L945" i="4" a="1"/>
  <c r="L945" i="4" s="1"/>
  <c r="L946" i="4" a="1"/>
  <c r="L946" i="4" s="1"/>
  <c r="L947" i="4" a="1"/>
  <c r="L947" i="4" s="1"/>
  <c r="L948" i="4" a="1"/>
  <c r="L948" i="4" s="1"/>
  <c r="L949" i="4" a="1"/>
  <c r="L949" i="4" s="1"/>
  <c r="L950" i="4" a="1"/>
  <c r="L950" i="4" s="1"/>
  <c r="L951" i="4" a="1"/>
  <c r="L951" i="4" s="1"/>
  <c r="L952" i="4" a="1"/>
  <c r="L952" i="4" s="1"/>
  <c r="L953" i="4" a="1"/>
  <c r="L953" i="4"/>
  <c r="L954" i="4" a="1"/>
  <c r="L954" i="4" s="1"/>
  <c r="L955" i="4" a="1"/>
  <c r="L955" i="4" s="1"/>
  <c r="L956" i="4" a="1"/>
  <c r="L956" i="4" s="1"/>
  <c r="L957" i="4" a="1"/>
  <c r="L957" i="4" s="1"/>
  <c r="L958" i="4" a="1"/>
  <c r="L958" i="4" s="1"/>
  <c r="L959" i="4" a="1"/>
  <c r="L959" i="4" s="1"/>
  <c r="L960" i="4" a="1"/>
  <c r="L960" i="4" s="1"/>
  <c r="L961" i="4" a="1"/>
  <c r="L961" i="4" s="1"/>
  <c r="L962" i="4" a="1"/>
  <c r="L962" i="4" s="1"/>
  <c r="L963" i="4" a="1"/>
  <c r="L963" i="4" s="1"/>
  <c r="L964" i="4" a="1"/>
  <c r="L964" i="4" s="1"/>
  <c r="L965" i="4" a="1"/>
  <c r="L965" i="4" s="1"/>
  <c r="L966" i="4" a="1"/>
  <c r="L966" i="4" s="1"/>
  <c r="L967" i="4" a="1"/>
  <c r="L967" i="4" s="1"/>
  <c r="L968" i="4" a="1"/>
  <c r="L968" i="4" s="1"/>
  <c r="L969" i="4" a="1"/>
  <c r="L969" i="4" s="1"/>
  <c r="L970" i="4" a="1"/>
  <c r="L970" i="4" s="1"/>
  <c r="L971" i="4" a="1"/>
  <c r="L971" i="4" s="1"/>
  <c r="L972" i="4" a="1"/>
  <c r="L972" i="4" s="1"/>
  <c r="L973" i="4" a="1"/>
  <c r="L973" i="4" s="1"/>
  <c r="L974" i="4" a="1"/>
  <c r="L974" i="4" s="1"/>
  <c r="L975" i="4" a="1"/>
  <c r="L975" i="4"/>
  <c r="L976" i="4" a="1"/>
  <c r="L976" i="4" s="1"/>
  <c r="L977" i="4" a="1"/>
  <c r="L977" i="4"/>
  <c r="L978" i="4" a="1"/>
  <c r="L978" i="4" s="1"/>
  <c r="L979" i="4" a="1"/>
  <c r="L979" i="4" s="1"/>
  <c r="L980" i="4" a="1"/>
  <c r="L980" i="4" s="1"/>
  <c r="L981" i="4" a="1"/>
  <c r="L981" i="4"/>
  <c r="L982" i="4" a="1"/>
  <c r="L982" i="4" s="1"/>
  <c r="L983" i="4" a="1"/>
  <c r="L983" i="4" s="1"/>
  <c r="L984" i="4" a="1"/>
  <c r="L984" i="4" s="1"/>
  <c r="L985" i="4" a="1"/>
  <c r="L985" i="4" s="1"/>
  <c r="L986" i="4" a="1"/>
  <c r="L986" i="4" s="1"/>
  <c r="L987" i="4" a="1"/>
  <c r="L987" i="4"/>
  <c r="L988" i="4" a="1"/>
  <c r="L988" i="4" s="1"/>
  <c r="L989" i="4" a="1"/>
  <c r="L989" i="4"/>
  <c r="L990" i="4" a="1"/>
  <c r="L990" i="4" s="1"/>
  <c r="L991" i="4" a="1"/>
  <c r="L991" i="4"/>
  <c r="L992" i="4" a="1"/>
  <c r="L992" i="4" s="1"/>
  <c r="L993" i="4" a="1"/>
  <c r="L993" i="4"/>
  <c r="L994" i="4" a="1"/>
  <c r="L994" i="4" s="1"/>
  <c r="L995" i="4" a="1"/>
  <c r="L995" i="4" s="1"/>
  <c r="L996" i="4" a="1"/>
  <c r="L996" i="4" s="1"/>
  <c r="L997" i="4" a="1"/>
  <c r="L997" i="4"/>
  <c r="L998" i="4" a="1"/>
  <c r="L998" i="4" s="1"/>
  <c r="L999" i="4" a="1"/>
  <c r="L999" i="4" s="1"/>
  <c r="L1000" i="4" a="1"/>
  <c r="L1000" i="4" s="1"/>
  <c r="L1001" i="4" a="1"/>
  <c r="L1001" i="4"/>
  <c r="L1002" i="4" a="1"/>
  <c r="L1002" i="4" s="1"/>
  <c r="L1003" i="4" a="1"/>
  <c r="L1003" i="4"/>
  <c r="L1004" i="4" a="1"/>
  <c r="L1004" i="4" s="1"/>
  <c r="L1005" i="4" a="1"/>
  <c r="L1005" i="4"/>
  <c r="L24" i="4" a="1"/>
  <c r="L24" i="4" s="1"/>
  <c r="F29" i="4" a="1"/>
  <c r="F29" i="4" s="1"/>
  <c r="G27"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43" i="4"/>
  <c r="K44" i="4"/>
  <c r="K33" i="4"/>
  <c r="K34" i="4"/>
  <c r="K35" i="4"/>
  <c r="K36" i="4"/>
  <c r="K37" i="4"/>
  <c r="K38" i="4"/>
  <c r="K39" i="4"/>
  <c r="K40" i="4"/>
  <c r="K41" i="4"/>
  <c r="K42" i="4"/>
  <c r="J34" i="4"/>
  <c r="J35" i="4"/>
  <c r="J36" i="4"/>
  <c r="F62" i="4" a="1"/>
  <c r="F62" i="4" s="1"/>
  <c r="F63" i="4" a="1"/>
  <c r="F63" i="4" s="1"/>
  <c r="F64" i="4" a="1"/>
  <c r="F64" i="4" s="1"/>
  <c r="F65" i="4" a="1"/>
  <c r="F65" i="4" s="1"/>
  <c r="F66" i="4" a="1"/>
  <c r="F66" i="4" s="1"/>
  <c r="F67" i="4" a="1"/>
  <c r="F67" i="4" s="1"/>
  <c r="F68" i="4" a="1"/>
  <c r="F68" i="4" s="1"/>
  <c r="F69" i="4" a="1"/>
  <c r="F69" i="4" s="1"/>
  <c r="F70" i="4" a="1"/>
  <c r="F70" i="4" s="1"/>
  <c r="F71" i="4" a="1"/>
  <c r="F71" i="4" s="1"/>
  <c r="F72" i="4" a="1"/>
  <c r="F72" i="4" s="1"/>
  <c r="F73" i="4" a="1"/>
  <c r="F73" i="4" s="1"/>
  <c r="F74" i="4" a="1"/>
  <c r="F74" i="4" s="1"/>
  <c r="F75" i="4" a="1"/>
  <c r="F75" i="4" s="1"/>
  <c r="F76" i="4" a="1"/>
  <c r="F76" i="4" s="1"/>
  <c r="F77" i="4" a="1"/>
  <c r="F77" i="4" s="1"/>
  <c r="F78" i="4" a="1"/>
  <c r="F78" i="4" s="1"/>
  <c r="F79" i="4" a="1"/>
  <c r="F79" i="4" s="1"/>
  <c r="F80" i="4" a="1"/>
  <c r="F80" i="4" s="1"/>
  <c r="F81" i="4" a="1"/>
  <c r="F81" i="4" s="1"/>
  <c r="F82" i="4" a="1"/>
  <c r="F82" i="4" s="1"/>
  <c r="F83" i="4" a="1"/>
  <c r="F83" i="4" s="1"/>
  <c r="F84" i="4" a="1"/>
  <c r="F84" i="4" s="1"/>
  <c r="F85" i="4" a="1"/>
  <c r="F85" i="4" s="1"/>
  <c r="F86" i="4" a="1"/>
  <c r="F86" i="4" s="1"/>
  <c r="F87" i="4" a="1"/>
  <c r="F87" i="4" s="1"/>
  <c r="F88" i="4" a="1"/>
  <c r="F88" i="4" s="1"/>
  <c r="F89" i="4" a="1"/>
  <c r="F89" i="4" s="1"/>
  <c r="F90" i="4" a="1"/>
  <c r="F90" i="4" s="1"/>
  <c r="F91" i="4" a="1"/>
  <c r="F91" i="4" s="1"/>
  <c r="F92" i="4" a="1"/>
  <c r="F92" i="4" s="1"/>
  <c r="F93" i="4" a="1"/>
  <c r="F93" i="4" s="1"/>
  <c r="F94" i="4" a="1"/>
  <c r="F94" i="4" s="1"/>
  <c r="F95" i="4" a="1"/>
  <c r="F95" i="4" s="1"/>
  <c r="F96" i="4" a="1"/>
  <c r="F96" i="4" s="1"/>
  <c r="F97" i="4" a="1"/>
  <c r="F97" i="4" s="1"/>
  <c r="F98" i="4" a="1"/>
  <c r="F98" i="4" s="1"/>
  <c r="F99" i="4" a="1"/>
  <c r="F99" i="4" s="1"/>
  <c r="F100" i="4" a="1"/>
  <c r="F100" i="4" s="1"/>
  <c r="F101" i="4" a="1"/>
  <c r="F101" i="4" s="1"/>
  <c r="F102" i="4" a="1"/>
  <c r="F102" i="4" s="1"/>
  <c r="F103" i="4" a="1"/>
  <c r="F103" i="4" s="1"/>
  <c r="F104" i="4" a="1"/>
  <c r="F104" i="4" s="1"/>
  <c r="F105" i="4" a="1"/>
  <c r="F105" i="4" s="1"/>
  <c r="F106" i="4" a="1"/>
  <c r="F106" i="4" s="1"/>
  <c r="F107" i="4" a="1"/>
  <c r="F107" i="4" s="1"/>
  <c r="F108" i="4" a="1"/>
  <c r="F108" i="4" s="1"/>
  <c r="F109" i="4" a="1"/>
  <c r="F109" i="4" s="1"/>
  <c r="F110" i="4" a="1"/>
  <c r="F110" i="4" s="1"/>
  <c r="F111" i="4" a="1"/>
  <c r="F111" i="4" s="1"/>
  <c r="F112" i="4" a="1"/>
  <c r="F112" i="4" s="1"/>
  <c r="F113" i="4" a="1"/>
  <c r="F113" i="4" s="1"/>
  <c r="F114" i="4" a="1"/>
  <c r="F114" i="4" s="1"/>
  <c r="F115" i="4" a="1"/>
  <c r="F115" i="4" s="1"/>
  <c r="F116" i="4" a="1"/>
  <c r="F116" i="4" s="1"/>
  <c r="F117" i="4" a="1"/>
  <c r="F117" i="4" s="1"/>
  <c r="F118" i="4" a="1"/>
  <c r="F118" i="4" s="1"/>
  <c r="F119" i="4" a="1"/>
  <c r="F119" i="4" s="1"/>
  <c r="F120" i="4" a="1"/>
  <c r="F120" i="4" s="1"/>
  <c r="F121" i="4" a="1"/>
  <c r="F121" i="4" s="1"/>
  <c r="F122" i="4" a="1"/>
  <c r="F122" i="4" s="1"/>
  <c r="F123" i="4" a="1"/>
  <c r="F123" i="4" s="1"/>
  <c r="F124" i="4" a="1"/>
  <c r="F124" i="4" s="1"/>
  <c r="F125" i="4" a="1"/>
  <c r="F125" i="4" s="1"/>
  <c r="F126" i="4" a="1"/>
  <c r="F126" i="4" s="1"/>
  <c r="F127" i="4" a="1"/>
  <c r="F127" i="4" s="1"/>
  <c r="F128" i="4" a="1"/>
  <c r="F128" i="4" s="1"/>
  <c r="F129" i="4" a="1"/>
  <c r="F129" i="4" s="1"/>
  <c r="F130" i="4" a="1"/>
  <c r="F130" i="4" s="1"/>
  <c r="F131" i="4" a="1"/>
  <c r="F131" i="4" s="1"/>
  <c r="F132" i="4" a="1"/>
  <c r="F132" i="4" s="1"/>
  <c r="F133" i="4" a="1"/>
  <c r="F133" i="4" s="1"/>
  <c r="F134" i="4" a="1"/>
  <c r="F134" i="4" s="1"/>
  <c r="F135" i="4" a="1"/>
  <c r="F135" i="4" s="1"/>
  <c r="F136" i="4" a="1"/>
  <c r="F136" i="4" s="1"/>
  <c r="F137" i="4" a="1"/>
  <c r="F137" i="4" s="1"/>
  <c r="F138" i="4" a="1"/>
  <c r="F138" i="4" s="1"/>
  <c r="F139" i="4" a="1"/>
  <c r="F139" i="4" s="1"/>
  <c r="F140" i="4" a="1"/>
  <c r="F140" i="4" s="1"/>
  <c r="F141" i="4" a="1"/>
  <c r="F141" i="4" s="1"/>
  <c r="F142" i="4" a="1"/>
  <c r="F142" i="4" s="1"/>
  <c r="F143" i="4" a="1"/>
  <c r="F143" i="4" s="1"/>
  <c r="F144" i="4" a="1"/>
  <c r="F144" i="4" s="1"/>
  <c r="F145" i="4" a="1"/>
  <c r="F145" i="4" s="1"/>
  <c r="F146" i="4" a="1"/>
  <c r="F146" i="4" s="1"/>
  <c r="F147" i="4" a="1"/>
  <c r="F147" i="4" s="1"/>
  <c r="F148" i="4" a="1"/>
  <c r="F148" i="4" s="1"/>
  <c r="F149" i="4" a="1"/>
  <c r="F149" i="4" s="1"/>
  <c r="F150" i="4" a="1"/>
  <c r="F150" i="4" s="1"/>
  <c r="F151" i="4" a="1"/>
  <c r="F151" i="4" s="1"/>
  <c r="F152" i="4" a="1"/>
  <c r="F152" i="4" s="1"/>
  <c r="F153" i="4" a="1"/>
  <c r="F153" i="4" s="1"/>
  <c r="F154" i="4" a="1"/>
  <c r="F154" i="4" s="1"/>
  <c r="F155" i="4" a="1"/>
  <c r="F155" i="4" s="1"/>
  <c r="F156" i="4" a="1"/>
  <c r="F156" i="4" s="1"/>
  <c r="F157" i="4" a="1"/>
  <c r="F157" i="4" s="1"/>
  <c r="F158" i="4" a="1"/>
  <c r="F158" i="4" s="1"/>
  <c r="F159" i="4" a="1"/>
  <c r="F159" i="4" s="1"/>
  <c r="F160" i="4" a="1"/>
  <c r="F160" i="4" s="1"/>
  <c r="F161" i="4" a="1"/>
  <c r="F161" i="4" s="1"/>
  <c r="F162" i="4" a="1"/>
  <c r="F162" i="4" s="1"/>
  <c r="F163" i="4" a="1"/>
  <c r="F163" i="4" s="1"/>
  <c r="F164" i="4" a="1"/>
  <c r="F164" i="4" s="1"/>
  <c r="F165" i="4" a="1"/>
  <c r="F165" i="4" s="1"/>
  <c r="F166" i="4" a="1"/>
  <c r="F166" i="4" s="1"/>
  <c r="F167" i="4" a="1"/>
  <c r="F167" i="4" s="1"/>
  <c r="F168" i="4" a="1"/>
  <c r="F168" i="4" s="1"/>
  <c r="F169" i="4" a="1"/>
  <c r="F169" i="4" s="1"/>
  <c r="F170" i="4" a="1"/>
  <c r="F170" i="4" s="1"/>
  <c r="F171" i="4" a="1"/>
  <c r="F171" i="4" s="1"/>
  <c r="F172" i="4" a="1"/>
  <c r="F172" i="4" s="1"/>
  <c r="F173" i="4" a="1"/>
  <c r="F173" i="4" s="1"/>
  <c r="F174" i="4" a="1"/>
  <c r="F174" i="4" s="1"/>
  <c r="F175" i="4" a="1"/>
  <c r="F175" i="4" s="1"/>
  <c r="F176" i="4" a="1"/>
  <c r="F176" i="4" s="1"/>
  <c r="F177" i="4" a="1"/>
  <c r="F177" i="4" s="1"/>
  <c r="F178" i="4" a="1"/>
  <c r="F178" i="4" s="1"/>
  <c r="F179" i="4" a="1"/>
  <c r="F179" i="4" s="1"/>
  <c r="F180" i="4" a="1"/>
  <c r="F180" i="4" s="1"/>
  <c r="F181" i="4" a="1"/>
  <c r="F181" i="4" s="1"/>
  <c r="F182" i="4" a="1"/>
  <c r="F182" i="4" s="1"/>
  <c r="F183" i="4" a="1"/>
  <c r="F183" i="4" s="1"/>
  <c r="F184" i="4" a="1"/>
  <c r="F184" i="4" s="1"/>
  <c r="F185" i="4" a="1"/>
  <c r="F185" i="4" s="1"/>
  <c r="F186" i="4" a="1"/>
  <c r="F186" i="4" s="1"/>
  <c r="F187" i="4" a="1"/>
  <c r="F187" i="4" s="1"/>
  <c r="F188" i="4" a="1"/>
  <c r="F188" i="4" s="1"/>
  <c r="F189" i="4" a="1"/>
  <c r="F189" i="4" s="1"/>
  <c r="F190" i="4" a="1"/>
  <c r="F190" i="4" s="1"/>
  <c r="F191" i="4" a="1"/>
  <c r="F191" i="4" s="1"/>
  <c r="F192" i="4" a="1"/>
  <c r="F192" i="4" s="1"/>
  <c r="F193" i="4" a="1"/>
  <c r="F193" i="4" s="1"/>
  <c r="F194" i="4" a="1"/>
  <c r="F194" i="4" s="1"/>
  <c r="F195" i="4" a="1"/>
  <c r="F195" i="4" s="1"/>
  <c r="F196" i="4" a="1"/>
  <c r="F196" i="4" s="1"/>
  <c r="F197" i="4" a="1"/>
  <c r="F197" i="4" s="1"/>
  <c r="F198" i="4" a="1"/>
  <c r="F198" i="4" s="1"/>
  <c r="F199" i="4" a="1"/>
  <c r="F199" i="4" s="1"/>
  <c r="F200" i="4" a="1"/>
  <c r="F200" i="4" s="1"/>
  <c r="F201" i="4" a="1"/>
  <c r="F201" i="4" s="1"/>
  <c r="F202" i="4" a="1"/>
  <c r="F202" i="4" s="1"/>
  <c r="F203" i="4" a="1"/>
  <c r="F203" i="4" s="1"/>
  <c r="F204" i="4" a="1"/>
  <c r="F204" i="4" s="1"/>
  <c r="F205" i="4" a="1"/>
  <c r="F205" i="4" s="1"/>
  <c r="F206" i="4" a="1"/>
  <c r="F206" i="4" s="1"/>
  <c r="F207" i="4" a="1"/>
  <c r="F207" i="4" s="1"/>
  <c r="F208" i="4" a="1"/>
  <c r="F208" i="4" s="1"/>
  <c r="F209" i="4" a="1"/>
  <c r="F209" i="4" s="1"/>
  <c r="F210" i="4" a="1"/>
  <c r="F210" i="4" s="1"/>
  <c r="F211" i="4" a="1"/>
  <c r="F211" i="4" s="1"/>
  <c r="F212" i="4" a="1"/>
  <c r="F212" i="4" s="1"/>
  <c r="F213" i="4" a="1"/>
  <c r="F213" i="4" s="1"/>
  <c r="F214" i="4" a="1"/>
  <c r="F214" i="4" s="1"/>
  <c r="F215" i="4" a="1"/>
  <c r="F215" i="4" s="1"/>
  <c r="F216" i="4" a="1"/>
  <c r="F216" i="4" s="1"/>
  <c r="F217" i="4" a="1"/>
  <c r="F217" i="4" s="1"/>
  <c r="F218" i="4" a="1"/>
  <c r="F218" i="4" s="1"/>
  <c r="F219" i="4" a="1"/>
  <c r="F219" i="4" s="1"/>
  <c r="F220" i="4" a="1"/>
  <c r="F220" i="4" s="1"/>
  <c r="F221" i="4" a="1"/>
  <c r="F221" i="4" s="1"/>
  <c r="F222" i="4" a="1"/>
  <c r="F222" i="4" s="1"/>
  <c r="F223" i="4" a="1"/>
  <c r="F223" i="4" s="1"/>
  <c r="F224" i="4" a="1"/>
  <c r="F224" i="4" s="1"/>
  <c r="F225" i="4" a="1"/>
  <c r="F225" i="4" s="1"/>
  <c r="F226" i="4" a="1"/>
  <c r="F226" i="4" s="1"/>
  <c r="F227" i="4" a="1"/>
  <c r="F227" i="4" s="1"/>
  <c r="F228" i="4" a="1"/>
  <c r="F228" i="4" s="1"/>
  <c r="F229" i="4" a="1"/>
  <c r="F229" i="4" s="1"/>
  <c r="F230" i="4" a="1"/>
  <c r="F230" i="4" s="1"/>
  <c r="F231" i="4" a="1"/>
  <c r="F231" i="4" s="1"/>
  <c r="F232" i="4" a="1"/>
  <c r="F232" i="4" s="1"/>
  <c r="F233" i="4" a="1"/>
  <c r="F233" i="4" s="1"/>
  <c r="F234" i="4" a="1"/>
  <c r="F234" i="4" s="1"/>
  <c r="F235" i="4" a="1"/>
  <c r="F235" i="4" s="1"/>
  <c r="F236" i="4" a="1"/>
  <c r="F236" i="4" s="1"/>
  <c r="F237" i="4" a="1"/>
  <c r="F237" i="4" s="1"/>
  <c r="F238" i="4" a="1"/>
  <c r="F238" i="4" s="1"/>
  <c r="F239" i="4" a="1"/>
  <c r="F239" i="4" s="1"/>
  <c r="F240" i="4" a="1"/>
  <c r="F240" i="4" s="1"/>
  <c r="F241" i="4" a="1"/>
  <c r="F241" i="4" s="1"/>
  <c r="F242" i="4" a="1"/>
  <c r="F242" i="4" s="1"/>
  <c r="F243" i="4" a="1"/>
  <c r="F243" i="4" s="1"/>
  <c r="F244" i="4" a="1"/>
  <c r="F244" i="4" s="1"/>
  <c r="F245" i="4" a="1"/>
  <c r="F245" i="4" s="1"/>
  <c r="F246" i="4" a="1"/>
  <c r="F246" i="4" s="1"/>
  <c r="F247" i="4" a="1"/>
  <c r="F247" i="4" s="1"/>
  <c r="F248" i="4" a="1"/>
  <c r="F248" i="4" s="1"/>
  <c r="F249" i="4" a="1"/>
  <c r="F249" i="4" s="1"/>
  <c r="F250" i="4" a="1"/>
  <c r="F250" i="4" s="1"/>
  <c r="F251" i="4" a="1"/>
  <c r="F251" i="4" s="1"/>
  <c r="F252" i="4" a="1"/>
  <c r="F252" i="4" s="1"/>
  <c r="F253" i="4" a="1"/>
  <c r="F253" i="4" s="1"/>
  <c r="F254" i="4" a="1"/>
  <c r="F254" i="4" s="1"/>
  <c r="F255" i="4" a="1"/>
  <c r="F255" i="4" s="1"/>
  <c r="F256" i="4" a="1"/>
  <c r="F256" i="4" s="1"/>
  <c r="F257" i="4" a="1"/>
  <c r="F257" i="4" s="1"/>
  <c r="F258" i="4" a="1"/>
  <c r="F258" i="4" s="1"/>
  <c r="F259" i="4" a="1"/>
  <c r="F259" i="4" s="1"/>
  <c r="F260" i="4" a="1"/>
  <c r="F260" i="4" s="1"/>
  <c r="F261" i="4" a="1"/>
  <c r="F261" i="4" s="1"/>
  <c r="F262" i="4" a="1"/>
  <c r="F262" i="4" s="1"/>
  <c r="F263" i="4" a="1"/>
  <c r="F263" i="4" s="1"/>
  <c r="F264" i="4" a="1"/>
  <c r="F264" i="4" s="1"/>
  <c r="F265" i="4" a="1"/>
  <c r="F265" i="4" s="1"/>
  <c r="F266" i="4" a="1"/>
  <c r="F266" i="4" s="1"/>
  <c r="F267" i="4" a="1"/>
  <c r="F267" i="4" s="1"/>
  <c r="F268" i="4" a="1"/>
  <c r="F268" i="4" s="1"/>
  <c r="F269" i="4" a="1"/>
  <c r="F269" i="4" s="1"/>
  <c r="F270" i="4" a="1"/>
  <c r="F270" i="4" s="1"/>
  <c r="F271" i="4" a="1"/>
  <c r="F271" i="4" s="1"/>
  <c r="F272" i="4" a="1"/>
  <c r="F272" i="4" s="1"/>
  <c r="F273" i="4" a="1"/>
  <c r="F273" i="4" s="1"/>
  <c r="F274" i="4" a="1"/>
  <c r="F274" i="4" s="1"/>
  <c r="F275" i="4" a="1"/>
  <c r="F275" i="4" s="1"/>
  <c r="F276" i="4" a="1"/>
  <c r="F276" i="4" s="1"/>
  <c r="F277" i="4" a="1"/>
  <c r="F277" i="4" s="1"/>
  <c r="F278" i="4" a="1"/>
  <c r="F278" i="4" s="1"/>
  <c r="F279" i="4" a="1"/>
  <c r="F279" i="4" s="1"/>
  <c r="F280" i="4" a="1"/>
  <c r="F280" i="4" s="1"/>
  <c r="F281" i="4" a="1"/>
  <c r="F281" i="4" s="1"/>
  <c r="F282" i="4" a="1"/>
  <c r="F282" i="4" s="1"/>
  <c r="F283" i="4" a="1"/>
  <c r="F283" i="4" s="1"/>
  <c r="F284" i="4" a="1"/>
  <c r="F284" i="4" s="1"/>
  <c r="F285" i="4" a="1"/>
  <c r="F285" i="4" s="1"/>
  <c r="F286" i="4" a="1"/>
  <c r="F286" i="4" s="1"/>
  <c r="F287" i="4" a="1"/>
  <c r="F287" i="4" s="1"/>
  <c r="F288" i="4" a="1"/>
  <c r="F288" i="4" s="1"/>
  <c r="F289" i="4" a="1"/>
  <c r="F289" i="4" s="1"/>
  <c r="F290" i="4" a="1"/>
  <c r="F290" i="4" s="1"/>
  <c r="F291" i="4" a="1"/>
  <c r="F291" i="4" s="1"/>
  <c r="F292" i="4" a="1"/>
  <c r="F292" i="4" s="1"/>
  <c r="F293" i="4" a="1"/>
  <c r="F293" i="4" s="1"/>
  <c r="F294" i="4" a="1"/>
  <c r="F294" i="4" s="1"/>
  <c r="F295" i="4" a="1"/>
  <c r="F295" i="4" s="1"/>
  <c r="F296" i="4" a="1"/>
  <c r="F296" i="4" s="1"/>
  <c r="F297" i="4" a="1"/>
  <c r="F297" i="4" s="1"/>
  <c r="F298" i="4" a="1"/>
  <c r="F298" i="4" s="1"/>
  <c r="F299" i="4" a="1"/>
  <c r="F299" i="4" s="1"/>
  <c r="F300" i="4" a="1"/>
  <c r="F300" i="4" s="1"/>
  <c r="F301" i="4" a="1"/>
  <c r="F301" i="4" s="1"/>
  <c r="F302" i="4" a="1"/>
  <c r="F302" i="4" s="1"/>
  <c r="F303" i="4" a="1"/>
  <c r="F303" i="4" s="1"/>
  <c r="F304" i="4" a="1"/>
  <c r="F304" i="4" s="1"/>
  <c r="F305" i="4" a="1"/>
  <c r="F305" i="4" s="1"/>
  <c r="F306" i="4" a="1"/>
  <c r="F306" i="4" s="1"/>
  <c r="F307" i="4" a="1"/>
  <c r="F307" i="4" s="1"/>
  <c r="F308" i="4" a="1"/>
  <c r="F308" i="4" s="1"/>
  <c r="F309" i="4" a="1"/>
  <c r="F309" i="4" s="1"/>
  <c r="F310" i="4" a="1"/>
  <c r="F310" i="4" s="1"/>
  <c r="F311" i="4" a="1"/>
  <c r="F311" i="4" s="1"/>
  <c r="F312" i="4" a="1"/>
  <c r="F312" i="4" s="1"/>
  <c r="F313" i="4" a="1"/>
  <c r="F313" i="4" s="1"/>
  <c r="F314" i="4" a="1"/>
  <c r="F314" i="4" s="1"/>
  <c r="F315" i="4" a="1"/>
  <c r="F315" i="4" s="1"/>
  <c r="F316" i="4" a="1"/>
  <c r="F316" i="4" s="1"/>
  <c r="F317" i="4" a="1"/>
  <c r="F317" i="4" s="1"/>
  <c r="F318" i="4" a="1"/>
  <c r="F318" i="4" s="1"/>
  <c r="F319" i="4" a="1"/>
  <c r="F319" i="4" s="1"/>
  <c r="F320" i="4" a="1"/>
  <c r="F320" i="4" s="1"/>
  <c r="F321" i="4" a="1"/>
  <c r="F321" i="4" s="1"/>
  <c r="F322" i="4" a="1"/>
  <c r="F322" i="4" s="1"/>
  <c r="F323" i="4" a="1"/>
  <c r="F323" i="4" s="1"/>
  <c r="F324" i="4" a="1"/>
  <c r="F324" i="4" s="1"/>
  <c r="F325" i="4" a="1"/>
  <c r="F325" i="4" s="1"/>
  <c r="F326" i="4" a="1"/>
  <c r="F326" i="4" s="1"/>
  <c r="F327" i="4" a="1"/>
  <c r="F327" i="4" s="1"/>
  <c r="F328" i="4" a="1"/>
  <c r="F328" i="4" s="1"/>
  <c r="F329" i="4" a="1"/>
  <c r="F329" i="4" s="1"/>
  <c r="F330" i="4" a="1"/>
  <c r="F330" i="4" s="1"/>
  <c r="F331" i="4" a="1"/>
  <c r="F331" i="4" s="1"/>
  <c r="F332" i="4" a="1"/>
  <c r="F332" i="4" s="1"/>
  <c r="F333" i="4" a="1"/>
  <c r="F333" i="4" s="1"/>
  <c r="F334" i="4" a="1"/>
  <c r="F334" i="4" s="1"/>
  <c r="F335" i="4" a="1"/>
  <c r="F335" i="4" s="1"/>
  <c r="F336" i="4" a="1"/>
  <c r="F336" i="4" s="1"/>
  <c r="F337" i="4" a="1"/>
  <c r="F337" i="4" s="1"/>
  <c r="F338" i="4" a="1"/>
  <c r="F338" i="4" s="1"/>
  <c r="F339" i="4" a="1"/>
  <c r="F339" i="4" s="1"/>
  <c r="F340" i="4" a="1"/>
  <c r="F340" i="4" s="1"/>
  <c r="F341" i="4" a="1"/>
  <c r="F341" i="4" s="1"/>
  <c r="F342" i="4" a="1"/>
  <c r="F342" i="4" s="1"/>
  <c r="F343" i="4" a="1"/>
  <c r="F343" i="4" s="1"/>
  <c r="F344" i="4" a="1"/>
  <c r="F344" i="4" s="1"/>
  <c r="F345" i="4" a="1"/>
  <c r="F345" i="4" s="1"/>
  <c r="F346" i="4" a="1"/>
  <c r="F346" i="4" s="1"/>
  <c r="F27" i="4" a="1"/>
  <c r="F27" i="4" s="1"/>
  <c r="F25" i="4" a="1"/>
  <c r="F25" i="4" s="1"/>
  <c r="F24" i="4" a="1"/>
  <c r="F24" i="4" s="1"/>
  <c r="I24" i="4" s="1"/>
  <c r="F33" i="4" a="1"/>
  <c r="F33" i="4" s="1"/>
  <c r="F34" i="4" a="1"/>
  <c r="F34" i="4" s="1"/>
  <c r="F35" i="4" a="1"/>
  <c r="F35" i="4" s="1"/>
  <c r="F36" i="4" a="1"/>
  <c r="F36" i="4" s="1"/>
  <c r="F37" i="4" a="1"/>
  <c r="F37" i="4" s="1"/>
  <c r="F38" i="4" a="1"/>
  <c r="F38" i="4" s="1"/>
  <c r="F39" i="4" a="1"/>
  <c r="F39" i="4" s="1"/>
  <c r="F40" i="4" a="1"/>
  <c r="F40" i="4" s="1"/>
  <c r="F41" i="4" a="1"/>
  <c r="F41" i="4" s="1"/>
  <c r="F42" i="4" a="1"/>
  <c r="F42" i="4" s="1"/>
  <c r="F43" i="4" a="1"/>
  <c r="F43" i="4" s="1"/>
  <c r="F44" i="4" a="1"/>
  <c r="F44" i="4" s="1"/>
  <c r="F45" i="4" a="1"/>
  <c r="F45" i="4" s="1"/>
  <c r="F46" i="4" a="1"/>
  <c r="F46" i="4" s="1"/>
  <c r="F47" i="4" a="1"/>
  <c r="F47" i="4" s="1"/>
  <c r="F48" i="4" a="1"/>
  <c r="F48" i="4" s="1"/>
  <c r="F49" i="4" a="1"/>
  <c r="F49" i="4" s="1"/>
  <c r="F50" i="4" a="1"/>
  <c r="F50" i="4" s="1"/>
  <c r="F51" i="4" a="1"/>
  <c r="F51" i="4" s="1"/>
  <c r="F52" i="4" a="1"/>
  <c r="F52" i="4" s="1"/>
  <c r="F53" i="4" a="1"/>
  <c r="F53" i="4" s="1"/>
  <c r="F54" i="4" a="1"/>
  <c r="F54" i="4" s="1"/>
  <c r="F55" i="4" a="1"/>
  <c r="F55" i="4" s="1"/>
  <c r="F56" i="4" a="1"/>
  <c r="F56" i="4" s="1"/>
  <c r="F57" i="4" a="1"/>
  <c r="F57" i="4" s="1"/>
  <c r="F58" i="4" a="1"/>
  <c r="F58" i="4" s="1"/>
  <c r="F59" i="4" a="1"/>
  <c r="F59" i="4" s="1"/>
  <c r="F60" i="4" a="1"/>
  <c r="F60" i="4" s="1"/>
  <c r="F61" i="4" a="1"/>
  <c r="F61" i="4" s="1"/>
  <c r="F23" i="4" a="1"/>
  <c r="F23" i="4" s="1"/>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C32" i="4" a="1"/>
  <c r="C32" i="4" s="1"/>
  <c r="C26" i="4" a="1"/>
  <c r="C26" i="4" s="1"/>
  <c r="C31" i="4" a="1"/>
  <c r="C31" i="4" s="1"/>
  <c r="C30" i="4" a="1"/>
  <c r="C30" i="4" s="1"/>
  <c r="C28" i="4" a="1"/>
  <c r="C28" i="4" s="1"/>
  <c r="C23" i="4" a="1"/>
  <c r="C23" i="4" s="1"/>
  <c r="C27" i="4" a="1"/>
  <c r="C27" i="4" s="1"/>
  <c r="C25" i="4" a="1"/>
  <c r="C25" i="4" s="1"/>
  <c r="C24" i="4" a="1"/>
  <c r="C24" i="4" s="1"/>
  <c r="C33" i="4" a="1"/>
  <c r="C33" i="4" s="1"/>
  <c r="C34" i="4" a="1"/>
  <c r="C34" i="4"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47" i="4" a="1"/>
  <c r="C47" i="4" s="1"/>
  <c r="C48" i="4" a="1"/>
  <c r="C48" i="4" s="1"/>
  <c r="C49" i="4" a="1"/>
  <c r="C49" i="4" s="1"/>
  <c r="C50" i="4" a="1"/>
  <c r="C50" i="4" s="1"/>
  <c r="C51" i="4" a="1"/>
  <c r="C51" i="4"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92" i="4" a="1"/>
  <c r="C92" i="4"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115" i="4" a="1"/>
  <c r="C115" i="4" s="1"/>
  <c r="C116" i="4" a="1"/>
  <c r="C116" i="4" s="1"/>
  <c r="C117" i="4" a="1"/>
  <c r="C117" i="4" s="1"/>
  <c r="C118" i="4" a="1"/>
  <c r="C118" i="4" s="1"/>
  <c r="C119" i="4" a="1"/>
  <c r="C119" i="4" s="1"/>
  <c r="C120" i="4" a="1"/>
  <c r="C120" i="4" s="1"/>
  <c r="C121" i="4" a="1"/>
  <c r="C121" i="4" s="1"/>
  <c r="C122" i="4" a="1"/>
  <c r="C122" i="4" s="1"/>
  <c r="C123" i="4" a="1"/>
  <c r="C123" i="4" s="1"/>
  <c r="C124" i="4" a="1"/>
  <c r="C124" i="4" s="1"/>
  <c r="C125" i="4" a="1"/>
  <c r="C125" i="4" s="1"/>
  <c r="C126" i="4" a="1"/>
  <c r="C126" i="4" s="1"/>
  <c r="C127" i="4" a="1"/>
  <c r="C127" i="4" s="1"/>
  <c r="C128" i="4" a="1"/>
  <c r="C128" i="4" s="1"/>
  <c r="C129" i="4" a="1"/>
  <c r="C129" i="4" s="1"/>
  <c r="C130" i="4" a="1"/>
  <c r="C130" i="4" s="1"/>
  <c r="C131" i="4" a="1"/>
  <c r="C131" i="4" s="1"/>
  <c r="C132" i="4" a="1"/>
  <c r="C132" i="4" s="1"/>
  <c r="C133" i="4" a="1"/>
  <c r="C133" i="4" s="1"/>
  <c r="C134" i="4" a="1"/>
  <c r="C134" i="4" s="1"/>
  <c r="C135" i="4" a="1"/>
  <c r="C135" i="4" s="1"/>
  <c r="C136" i="4" a="1"/>
  <c r="C136" i="4" s="1"/>
  <c r="C137" i="4" a="1"/>
  <c r="C137" i="4" s="1"/>
  <c r="C138" i="4" a="1"/>
  <c r="C138" i="4" s="1"/>
  <c r="C139" i="4" a="1"/>
  <c r="C139" i="4" s="1"/>
  <c r="C140" i="4" a="1"/>
  <c r="C140" i="4" s="1"/>
  <c r="C141" i="4" a="1"/>
  <c r="C141" i="4" s="1"/>
  <c r="C142" i="4" a="1"/>
  <c r="C142" i="4" s="1"/>
  <c r="C143" i="4" a="1"/>
  <c r="C143" i="4" s="1"/>
  <c r="C144" i="4" a="1"/>
  <c r="C144" i="4" s="1"/>
  <c r="C145" i="4" a="1"/>
  <c r="C145" i="4" s="1"/>
  <c r="C146" i="4" a="1"/>
  <c r="C146" i="4" s="1"/>
  <c r="C147" i="4" a="1"/>
  <c r="C147" i="4" s="1"/>
  <c r="C148" i="4" a="1"/>
  <c r="C148" i="4" s="1"/>
  <c r="C149" i="4" a="1"/>
  <c r="C149" i="4" s="1"/>
  <c r="C150" i="4" a="1"/>
  <c r="C150" i="4" s="1"/>
  <c r="C151" i="4" a="1"/>
  <c r="C151" i="4" s="1"/>
  <c r="C152" i="4" a="1"/>
  <c r="C152" i="4" s="1"/>
  <c r="C153" i="4" a="1"/>
  <c r="C153" i="4" s="1"/>
  <c r="C154" i="4" a="1"/>
  <c r="C154" i="4" s="1"/>
  <c r="C155" i="4" a="1"/>
  <c r="C155" i="4" s="1"/>
  <c r="C156" i="4" a="1"/>
  <c r="C156" i="4" s="1"/>
  <c r="C157" i="4" a="1"/>
  <c r="C157" i="4" s="1"/>
  <c r="C158" i="4" a="1"/>
  <c r="C158" i="4" s="1"/>
  <c r="C159" i="4" a="1"/>
  <c r="C159" i="4" s="1"/>
  <c r="C160" i="4" a="1"/>
  <c r="C160" i="4" s="1"/>
  <c r="C161" i="4" a="1"/>
  <c r="C161" i="4" s="1"/>
  <c r="C162" i="4" a="1"/>
  <c r="C162" i="4" s="1"/>
  <c r="C163" i="4" a="1"/>
  <c r="C163" i="4" s="1"/>
  <c r="C164" i="4" a="1"/>
  <c r="C164" i="4" s="1"/>
  <c r="C165" i="4" a="1"/>
  <c r="C165" i="4" s="1"/>
  <c r="C166" i="4" a="1"/>
  <c r="C166" i="4" s="1"/>
  <c r="C167" i="4" a="1"/>
  <c r="C167" i="4" s="1"/>
  <c r="C168" i="4" a="1"/>
  <c r="C168" i="4" s="1"/>
  <c r="C169" i="4" a="1"/>
  <c r="C169" i="4" s="1"/>
  <c r="C170" i="4" a="1"/>
  <c r="C170" i="4" s="1"/>
  <c r="C171" i="4" a="1"/>
  <c r="C171" i="4" s="1"/>
  <c r="C172" i="4" a="1"/>
  <c r="C172" i="4" s="1"/>
  <c r="C173" i="4" a="1"/>
  <c r="C173" i="4" s="1"/>
  <c r="C174" i="4" a="1"/>
  <c r="C174" i="4" s="1"/>
  <c r="C175" i="4" a="1"/>
  <c r="C175" i="4" s="1"/>
  <c r="C176" i="4" a="1"/>
  <c r="C176" i="4" s="1"/>
  <c r="C177" i="4" a="1"/>
  <c r="C177" i="4" s="1"/>
  <c r="C178" i="4" a="1"/>
  <c r="C178" i="4" s="1"/>
  <c r="C179" i="4" a="1"/>
  <c r="C179" i="4" s="1"/>
  <c r="C180" i="4" a="1"/>
  <c r="C180" i="4" s="1"/>
  <c r="C181" i="4" a="1"/>
  <c r="C181" i="4" s="1"/>
  <c r="C182" i="4" a="1"/>
  <c r="C182" i="4" s="1"/>
  <c r="C183" i="4" a="1"/>
  <c r="C183" i="4" s="1"/>
  <c r="C184" i="4" a="1"/>
  <c r="C184" i="4" s="1"/>
  <c r="C185" i="4" a="1"/>
  <c r="C185" i="4" s="1"/>
  <c r="C186" i="4" a="1"/>
  <c r="C186" i="4" s="1"/>
  <c r="C187" i="4" a="1"/>
  <c r="C187" i="4" s="1"/>
  <c r="C188" i="4" a="1"/>
  <c r="C188" i="4" s="1"/>
  <c r="C189" i="4" a="1"/>
  <c r="C189" i="4" s="1"/>
  <c r="C190" i="4" a="1"/>
  <c r="C190" i="4" s="1"/>
  <c r="C191" i="4" a="1"/>
  <c r="C191" i="4" s="1"/>
  <c r="C192" i="4" a="1"/>
  <c r="C192" i="4" s="1"/>
  <c r="C193" i="4" a="1"/>
  <c r="C193" i="4" s="1"/>
  <c r="C194" i="4" a="1"/>
  <c r="C194" i="4" s="1"/>
  <c r="C195" i="4" a="1"/>
  <c r="C195" i="4" s="1"/>
  <c r="C196" i="4" a="1"/>
  <c r="C196" i="4" s="1"/>
  <c r="C197" i="4" a="1"/>
  <c r="C197" i="4" s="1"/>
  <c r="C198" i="4" a="1"/>
  <c r="C198" i="4" s="1"/>
  <c r="C199" i="4" a="1"/>
  <c r="C199" i="4" s="1"/>
  <c r="C200" i="4" a="1"/>
  <c r="C200" i="4" s="1"/>
  <c r="C201" i="4" a="1"/>
  <c r="C201" i="4" s="1"/>
  <c r="C202" i="4" a="1"/>
  <c r="C202" i="4" s="1"/>
  <c r="C203" i="4" a="1"/>
  <c r="C203" i="4" s="1"/>
  <c r="C204" i="4" a="1"/>
  <c r="C204" i="4" s="1"/>
  <c r="C205" i="4" a="1"/>
  <c r="C205" i="4" s="1"/>
  <c r="C206" i="4" a="1"/>
  <c r="C206" i="4" s="1"/>
  <c r="C207" i="4" a="1"/>
  <c r="C207" i="4" s="1"/>
  <c r="C208" i="4" a="1"/>
  <c r="C208" i="4" s="1"/>
  <c r="C209" i="4" a="1"/>
  <c r="C209" i="4" s="1"/>
  <c r="C210" i="4" a="1"/>
  <c r="C210" i="4" s="1"/>
  <c r="C211" i="4" a="1"/>
  <c r="C211" i="4" s="1"/>
  <c r="C212" i="4" a="1"/>
  <c r="C212" i="4" s="1"/>
  <c r="C213" i="4" a="1"/>
  <c r="C213" i="4" s="1"/>
  <c r="C214" i="4" a="1"/>
  <c r="C214" i="4" s="1"/>
  <c r="C215" i="4" a="1"/>
  <c r="C215" i="4" s="1"/>
  <c r="C216" i="4" a="1"/>
  <c r="C216" i="4" s="1"/>
  <c r="C217" i="4" a="1"/>
  <c r="C217" i="4" s="1"/>
  <c r="C218" i="4" a="1"/>
  <c r="C218" i="4" s="1"/>
  <c r="C219" i="4" a="1"/>
  <c r="C219" i="4" s="1"/>
  <c r="C220" i="4" a="1"/>
  <c r="C220" i="4" s="1"/>
  <c r="C221" i="4" a="1"/>
  <c r="C221" i="4" s="1"/>
  <c r="C222" i="4" a="1"/>
  <c r="C222" i="4" s="1"/>
  <c r="C223" i="4" a="1"/>
  <c r="C223" i="4" s="1"/>
  <c r="C224" i="4" a="1"/>
  <c r="C224" i="4" s="1"/>
  <c r="C225" i="4" a="1"/>
  <c r="C225" i="4" s="1"/>
  <c r="C226" i="4" a="1"/>
  <c r="C226" i="4" s="1"/>
  <c r="C227" i="4" a="1"/>
  <c r="C227" i="4" s="1"/>
  <c r="C228" i="4" a="1"/>
  <c r="C228" i="4" s="1"/>
  <c r="C229" i="4" a="1"/>
  <c r="C229" i="4" s="1"/>
  <c r="C230" i="4" a="1"/>
  <c r="C230" i="4" s="1"/>
  <c r="C231" i="4" a="1"/>
  <c r="C231" i="4" s="1"/>
  <c r="C232" i="4" a="1"/>
  <c r="C232" i="4" s="1"/>
  <c r="C233" i="4" a="1"/>
  <c r="C233" i="4" s="1"/>
  <c r="C234" i="4" a="1"/>
  <c r="C234" i="4" s="1"/>
  <c r="C235" i="4" a="1"/>
  <c r="C235" i="4" s="1"/>
  <c r="C236" i="4" a="1"/>
  <c r="C236" i="4" s="1"/>
  <c r="C237" i="4" a="1"/>
  <c r="C237" i="4" s="1"/>
  <c r="C238" i="4" a="1"/>
  <c r="C238" i="4" s="1"/>
  <c r="C239" i="4" a="1"/>
  <c r="C239" i="4" s="1"/>
  <c r="C240" i="4" a="1"/>
  <c r="C240" i="4" s="1"/>
  <c r="C241" i="4" a="1"/>
  <c r="C241" i="4" s="1"/>
  <c r="C242" i="4" a="1"/>
  <c r="C242" i="4" s="1"/>
  <c r="C243" i="4" a="1"/>
  <c r="C243" i="4" s="1"/>
  <c r="C244" i="4" a="1"/>
  <c r="C244" i="4" s="1"/>
  <c r="C245" i="4" a="1"/>
  <c r="C245" i="4" s="1"/>
  <c r="C246" i="4" a="1"/>
  <c r="C246" i="4" s="1"/>
  <c r="C247" i="4" a="1"/>
  <c r="C247" i="4" s="1"/>
  <c r="C248" i="4" a="1"/>
  <c r="C248" i="4" s="1"/>
  <c r="C249" i="4" a="1"/>
  <c r="C249" i="4" s="1"/>
  <c r="C250" i="4" a="1"/>
  <c r="C250" i="4" s="1"/>
  <c r="C251" i="4" a="1"/>
  <c r="C251" i="4" s="1"/>
  <c r="C252" i="4" a="1"/>
  <c r="C252" i="4" s="1"/>
  <c r="C253" i="4" a="1"/>
  <c r="C253" i="4" s="1"/>
  <c r="C254" i="4" a="1"/>
  <c r="C254" i="4" s="1"/>
  <c r="C255" i="4" a="1"/>
  <c r="C255" i="4" s="1"/>
  <c r="C256" i="4" a="1"/>
  <c r="C256" i="4" s="1"/>
  <c r="C257" i="4" a="1"/>
  <c r="C257" i="4" s="1"/>
  <c r="C258" i="4" a="1"/>
  <c r="C258" i="4" s="1"/>
  <c r="C259" i="4" a="1"/>
  <c r="C259" i="4" s="1"/>
  <c r="C260" i="4" a="1"/>
  <c r="C260" i="4" s="1"/>
  <c r="C261" i="4" a="1"/>
  <c r="C261" i="4" s="1"/>
  <c r="C262" i="4" a="1"/>
  <c r="C262" i="4" s="1"/>
  <c r="C263" i="4" a="1"/>
  <c r="C263" i="4" s="1"/>
  <c r="C264" i="4" a="1"/>
  <c r="C264" i="4" s="1"/>
  <c r="C265" i="4" a="1"/>
  <c r="C265" i="4" s="1"/>
  <c r="C266" i="4" a="1"/>
  <c r="C266" i="4" s="1"/>
  <c r="C267" i="4" a="1"/>
  <c r="C267" i="4" s="1"/>
  <c r="C268" i="4" a="1"/>
  <c r="C268" i="4" s="1"/>
  <c r="C269" i="4" a="1"/>
  <c r="C269" i="4" s="1"/>
  <c r="C270" i="4" a="1"/>
  <c r="C270" i="4" s="1"/>
  <c r="C271" i="4" a="1"/>
  <c r="C271" i="4" s="1"/>
  <c r="C272" i="4" a="1"/>
  <c r="C272" i="4" s="1"/>
  <c r="C273" i="4" a="1"/>
  <c r="C273" i="4" s="1"/>
  <c r="C274" i="4" a="1"/>
  <c r="C274" i="4" s="1"/>
  <c r="C275" i="4" a="1"/>
  <c r="C275" i="4" s="1"/>
  <c r="C276" i="4" a="1"/>
  <c r="C276" i="4" s="1"/>
  <c r="C277" i="4" a="1"/>
  <c r="C277" i="4" s="1"/>
  <c r="C278" i="4" a="1"/>
  <c r="C278" i="4" s="1"/>
  <c r="C279" i="4" a="1"/>
  <c r="C279" i="4" s="1"/>
  <c r="C280" i="4" a="1"/>
  <c r="C280" i="4" s="1"/>
  <c r="C281" i="4" a="1"/>
  <c r="C281" i="4" s="1"/>
  <c r="C282" i="4" a="1"/>
  <c r="C282" i="4" s="1"/>
  <c r="C283" i="4" a="1"/>
  <c r="C283" i="4" s="1"/>
  <c r="C284" i="4" a="1"/>
  <c r="C284" i="4" s="1"/>
  <c r="C285" i="4" a="1"/>
  <c r="C285" i="4" s="1"/>
  <c r="C286" i="4" a="1"/>
  <c r="C286" i="4" s="1"/>
  <c r="C287" i="4" a="1"/>
  <c r="C287" i="4" s="1"/>
  <c r="C288" i="4" a="1"/>
  <c r="C288" i="4" s="1"/>
  <c r="C289" i="4" a="1"/>
  <c r="C289" i="4" s="1"/>
  <c r="C290" i="4" a="1"/>
  <c r="C290" i="4" s="1"/>
  <c r="C291" i="4" a="1"/>
  <c r="C291" i="4" s="1"/>
  <c r="C292" i="4" a="1"/>
  <c r="C292" i="4" s="1"/>
  <c r="C293" i="4" a="1"/>
  <c r="C293" i="4" s="1"/>
  <c r="C294" i="4" a="1"/>
  <c r="C294" i="4" s="1"/>
  <c r="C295" i="4" a="1"/>
  <c r="C295" i="4" s="1"/>
  <c r="C296" i="4" a="1"/>
  <c r="C296" i="4" s="1"/>
  <c r="C297" i="4" a="1"/>
  <c r="C297" i="4" s="1"/>
  <c r="C298" i="4" a="1"/>
  <c r="C298" i="4" s="1"/>
  <c r="C299" i="4" a="1"/>
  <c r="C299" i="4" s="1"/>
  <c r="C300" i="4" a="1"/>
  <c r="C300" i="4" s="1"/>
  <c r="C301" i="4" a="1"/>
  <c r="C301" i="4" s="1"/>
  <c r="C302" i="4" a="1"/>
  <c r="C302" i="4" s="1"/>
  <c r="C303" i="4" a="1"/>
  <c r="C303" i="4" s="1"/>
  <c r="C304" i="4" a="1"/>
  <c r="C304" i="4" s="1"/>
  <c r="C305" i="4" a="1"/>
  <c r="C305" i="4" s="1"/>
  <c r="C306" i="4" a="1"/>
  <c r="C306" i="4" s="1"/>
  <c r="C307" i="4" a="1"/>
  <c r="C307" i="4" s="1"/>
  <c r="C308" i="4" a="1"/>
  <c r="C308" i="4" s="1"/>
  <c r="C309" i="4" a="1"/>
  <c r="C309" i="4" s="1"/>
  <c r="C310" i="4" a="1"/>
  <c r="C310" i="4" s="1"/>
  <c r="C311" i="4" a="1"/>
  <c r="C311" i="4" s="1"/>
  <c r="C312" i="4" a="1"/>
  <c r="C312" i="4" s="1"/>
  <c r="C313" i="4" a="1"/>
  <c r="C313" i="4" s="1"/>
  <c r="C314" i="4" a="1"/>
  <c r="C314" i="4" s="1"/>
  <c r="C315" i="4" a="1"/>
  <c r="C315" i="4" s="1"/>
  <c r="C316" i="4" a="1"/>
  <c r="C316" i="4" s="1"/>
  <c r="C317" i="4" a="1"/>
  <c r="C317" i="4" s="1"/>
  <c r="C318" i="4" a="1"/>
  <c r="C318" i="4" s="1"/>
  <c r="C319" i="4" a="1"/>
  <c r="C319" i="4" s="1"/>
  <c r="C320" i="4" a="1"/>
  <c r="C320" i="4" s="1"/>
  <c r="C321" i="4" a="1"/>
  <c r="C321" i="4" s="1"/>
  <c r="C322" i="4" a="1"/>
  <c r="C322" i="4" s="1"/>
  <c r="C323" i="4" a="1"/>
  <c r="C323" i="4" s="1"/>
  <c r="C324" i="4" a="1"/>
  <c r="C324" i="4" s="1"/>
  <c r="C325" i="4" a="1"/>
  <c r="C325" i="4" s="1"/>
  <c r="C326" i="4" a="1"/>
  <c r="C326" i="4" s="1"/>
  <c r="C327" i="4" a="1"/>
  <c r="C327" i="4" s="1"/>
  <c r="C328" i="4" a="1"/>
  <c r="C328" i="4" s="1"/>
  <c r="C329" i="4" a="1"/>
  <c r="C329" i="4" s="1"/>
  <c r="C330" i="4" a="1"/>
  <c r="C330" i="4" s="1"/>
  <c r="C331" i="4" a="1"/>
  <c r="C331" i="4" s="1"/>
  <c r="C332" i="4" a="1"/>
  <c r="C332" i="4" s="1"/>
  <c r="C333" i="4" a="1"/>
  <c r="C333" i="4" s="1"/>
  <c r="C334" i="4" a="1"/>
  <c r="C334" i="4" s="1"/>
  <c r="C335" i="4" a="1"/>
  <c r="C335" i="4" s="1"/>
  <c r="C336" i="4" a="1"/>
  <c r="C336" i="4" s="1"/>
  <c r="C337" i="4" a="1"/>
  <c r="C337" i="4" s="1"/>
  <c r="C338" i="4" a="1"/>
  <c r="C338" i="4" s="1"/>
  <c r="C339" i="4" a="1"/>
  <c r="C339" i="4" s="1"/>
  <c r="C340" i="4" a="1"/>
  <c r="C340" i="4" s="1"/>
  <c r="C341" i="4" a="1"/>
  <c r="C341" i="4" s="1"/>
  <c r="C342" i="4" a="1"/>
  <c r="C342" i="4" s="1"/>
  <c r="C343" i="4" a="1"/>
  <c r="C343" i="4" s="1"/>
  <c r="C344" i="4" a="1"/>
  <c r="C344" i="4" s="1"/>
  <c r="C345" i="4" a="1"/>
  <c r="C345" i="4" s="1"/>
  <c r="C346" i="4" a="1"/>
  <c r="C346" i="4" s="1"/>
  <c r="C347" i="4" a="1"/>
  <c r="C347" i="4" s="1"/>
  <c r="C348" i="4" a="1"/>
  <c r="C348" i="4" s="1"/>
  <c r="C349" i="4" a="1"/>
  <c r="C349" i="4" s="1"/>
  <c r="C350" i="4" a="1"/>
  <c r="C350" i="4" s="1"/>
  <c r="C351" i="4" a="1"/>
  <c r="C351" i="4" s="1"/>
  <c r="C352" i="4" a="1"/>
  <c r="C352" i="4" s="1"/>
  <c r="C353" i="4" a="1"/>
  <c r="C353" i="4" s="1"/>
  <c r="C354" i="4" a="1"/>
  <c r="C354" i="4" s="1"/>
  <c r="C355" i="4" a="1"/>
  <c r="C355" i="4" s="1"/>
  <c r="C356" i="4" a="1"/>
  <c r="C356" i="4" s="1"/>
  <c r="C357" i="4" a="1"/>
  <c r="C357" i="4" s="1"/>
  <c r="C358" i="4" a="1"/>
  <c r="C358" i="4" s="1"/>
  <c r="C359" i="4" a="1"/>
  <c r="C359" i="4" s="1"/>
  <c r="C360" i="4" a="1"/>
  <c r="C360" i="4" s="1"/>
  <c r="C361" i="4" a="1"/>
  <c r="C361" i="4" s="1"/>
  <c r="C362" i="4" a="1"/>
  <c r="C362" i="4" s="1"/>
  <c r="C363" i="4" a="1"/>
  <c r="C363" i="4" s="1"/>
  <c r="C364" i="4" a="1"/>
  <c r="C364" i="4" s="1"/>
  <c r="C365" i="4" a="1"/>
  <c r="C365" i="4" s="1"/>
  <c r="C366" i="4" a="1"/>
  <c r="C366" i="4" s="1"/>
  <c r="C367" i="4" a="1"/>
  <c r="C367" i="4" s="1"/>
  <c r="C368" i="4" a="1"/>
  <c r="C368" i="4" s="1"/>
  <c r="C369" i="4" a="1"/>
  <c r="C369" i="4" s="1"/>
  <c r="C370" i="4" a="1"/>
  <c r="C370" i="4" s="1"/>
  <c r="C371" i="4" a="1"/>
  <c r="C371" i="4" s="1"/>
  <c r="C372" i="4" a="1"/>
  <c r="C372" i="4" s="1"/>
  <c r="C373" i="4" a="1"/>
  <c r="C373" i="4" s="1"/>
  <c r="C374" i="4" a="1"/>
  <c r="C374" i="4" s="1"/>
  <c r="C375" i="4" a="1"/>
  <c r="C375" i="4" s="1"/>
  <c r="C376" i="4" a="1"/>
  <c r="C376" i="4" s="1"/>
  <c r="C377" i="4" a="1"/>
  <c r="C377" i="4" s="1"/>
  <c r="C378" i="4" a="1"/>
  <c r="C378" i="4" s="1"/>
  <c r="C379" i="4" a="1"/>
  <c r="C379" i="4" s="1"/>
  <c r="C380" i="4" a="1"/>
  <c r="C380" i="4" s="1"/>
  <c r="C381" i="4" a="1"/>
  <c r="C381" i="4" s="1"/>
  <c r="C382" i="4" a="1"/>
  <c r="C382" i="4" s="1"/>
  <c r="C383" i="4" a="1"/>
  <c r="C383" i="4" s="1"/>
  <c r="C384" i="4" a="1"/>
  <c r="C384" i="4" s="1"/>
  <c r="C385" i="4" a="1"/>
  <c r="C385" i="4" s="1"/>
  <c r="C386" i="4" a="1"/>
  <c r="C386" i="4" s="1"/>
  <c r="C387" i="4" a="1"/>
  <c r="C387" i="4" s="1"/>
  <c r="C388" i="4" a="1"/>
  <c r="C388" i="4" s="1"/>
  <c r="C389" i="4" a="1"/>
  <c r="C389" i="4" s="1"/>
  <c r="C390" i="4" a="1"/>
  <c r="C390" i="4" s="1"/>
  <c r="C391" i="4" a="1"/>
  <c r="C391" i="4" s="1"/>
  <c r="C392" i="4" a="1"/>
  <c r="C392" i="4" s="1"/>
  <c r="C393" i="4" a="1"/>
  <c r="C393" i="4" s="1"/>
  <c r="C394" i="4" a="1"/>
  <c r="C394" i="4" s="1"/>
  <c r="C395" i="4" a="1"/>
  <c r="C395" i="4" s="1"/>
  <c r="C396" i="4" a="1"/>
  <c r="C396" i="4" s="1"/>
  <c r="C397" i="4" a="1"/>
  <c r="C397" i="4" s="1"/>
  <c r="C398" i="4" a="1"/>
  <c r="C398" i="4" s="1"/>
  <c r="C399" i="4" a="1"/>
  <c r="C399" i="4" s="1"/>
  <c r="C400" i="4" a="1"/>
  <c r="C400" i="4" s="1"/>
  <c r="C401" i="4" a="1"/>
  <c r="C401" i="4" s="1"/>
  <c r="C402" i="4" a="1"/>
  <c r="C402" i="4" s="1"/>
  <c r="C403" i="4" a="1"/>
  <c r="C403" i="4" s="1"/>
  <c r="C404" i="4" a="1"/>
  <c r="C404" i="4" s="1"/>
  <c r="C405" i="4" a="1"/>
  <c r="C405" i="4" s="1"/>
  <c r="C406" i="4" a="1"/>
  <c r="C406" i="4" s="1"/>
  <c r="C407" i="4" a="1"/>
  <c r="C407" i="4" s="1"/>
  <c r="C408" i="4" a="1"/>
  <c r="C408" i="4" s="1"/>
  <c r="C409" i="4" a="1"/>
  <c r="C409" i="4" s="1"/>
  <c r="C410" i="4" a="1"/>
  <c r="C410" i="4" s="1"/>
  <c r="C411" i="4" a="1"/>
  <c r="C411" i="4" s="1"/>
  <c r="C412" i="4" a="1"/>
  <c r="C412" i="4" s="1"/>
  <c r="C413" i="4" a="1"/>
  <c r="C413" i="4" s="1"/>
  <c r="C414" i="4" a="1"/>
  <c r="C414" i="4" s="1"/>
  <c r="C415" i="4" a="1"/>
  <c r="C415" i="4" s="1"/>
  <c r="C416" i="4" a="1"/>
  <c r="C416" i="4" s="1"/>
  <c r="C417" i="4" a="1"/>
  <c r="C417" i="4" s="1"/>
  <c r="C418" i="4" a="1"/>
  <c r="C418" i="4" s="1"/>
  <c r="C419" i="4" a="1"/>
  <c r="C419" i="4" s="1"/>
  <c r="C420" i="4" a="1"/>
  <c r="C420" i="4" s="1"/>
  <c r="C421" i="4" a="1"/>
  <c r="C421" i="4" s="1"/>
  <c r="C422" i="4" a="1"/>
  <c r="C422" i="4" s="1"/>
  <c r="C423" i="4" a="1"/>
  <c r="C423" i="4" s="1"/>
  <c r="C424" i="4" a="1"/>
  <c r="C424" i="4" s="1"/>
  <c r="C425" i="4" a="1"/>
  <c r="C425" i="4" s="1"/>
  <c r="C426" i="4" a="1"/>
  <c r="C426" i="4" s="1"/>
  <c r="C427" i="4" a="1"/>
  <c r="C427" i="4" s="1"/>
  <c r="C428" i="4" a="1"/>
  <c r="C428" i="4" s="1"/>
  <c r="C429" i="4" a="1"/>
  <c r="C429" i="4" s="1"/>
  <c r="C430" i="4" a="1"/>
  <c r="C430" i="4" s="1"/>
  <c r="C431" i="4" a="1"/>
  <c r="C431" i="4" s="1"/>
  <c r="C432" i="4" a="1"/>
  <c r="C432" i="4" s="1"/>
  <c r="C433" i="4" a="1"/>
  <c r="C433" i="4" s="1"/>
  <c r="C434" i="4" a="1"/>
  <c r="C434" i="4" s="1"/>
  <c r="C435" i="4" a="1"/>
  <c r="C435" i="4" s="1"/>
  <c r="C436" i="4" a="1"/>
  <c r="C436" i="4" s="1"/>
  <c r="C437" i="4" a="1"/>
  <c r="C437" i="4" s="1"/>
  <c r="C438" i="4" a="1"/>
  <c r="C438" i="4" s="1"/>
  <c r="C439" i="4" a="1"/>
  <c r="C439" i="4" s="1"/>
  <c r="C440" i="4" a="1"/>
  <c r="C440" i="4" s="1"/>
  <c r="C441" i="4" a="1"/>
  <c r="C441" i="4" s="1"/>
  <c r="C442" i="4" a="1"/>
  <c r="C442" i="4" s="1"/>
  <c r="C443" i="4" a="1"/>
  <c r="C443" i="4" s="1"/>
  <c r="C444" i="4" a="1"/>
  <c r="C444" i="4" s="1"/>
  <c r="C445" i="4" a="1"/>
  <c r="C445" i="4" s="1"/>
  <c r="C446" i="4" a="1"/>
  <c r="C446" i="4" s="1"/>
  <c r="C447" i="4" a="1"/>
  <c r="C447" i="4" s="1"/>
  <c r="C448" i="4" a="1"/>
  <c r="C448" i="4" s="1"/>
  <c r="C449" i="4" a="1"/>
  <c r="C449" i="4" s="1"/>
  <c r="C450" i="4" a="1"/>
  <c r="C450" i="4" s="1"/>
  <c r="C451" i="4" a="1"/>
  <c r="C451" i="4" s="1"/>
  <c r="C452" i="4" a="1"/>
  <c r="C452" i="4" s="1"/>
  <c r="C453" i="4" a="1"/>
  <c r="C453" i="4" s="1"/>
  <c r="C454" i="4" a="1"/>
  <c r="C454" i="4" s="1"/>
  <c r="C455" i="4" a="1"/>
  <c r="C455" i="4" s="1"/>
  <c r="C456" i="4" a="1"/>
  <c r="C456" i="4" s="1"/>
  <c r="C457" i="4" a="1"/>
  <c r="C457" i="4" s="1"/>
  <c r="C458" i="4" a="1"/>
  <c r="C458" i="4" s="1"/>
  <c r="C459" i="4" a="1"/>
  <c r="C459" i="4" s="1"/>
  <c r="C460" i="4" a="1"/>
  <c r="C460" i="4" s="1"/>
  <c r="C461" i="4" a="1"/>
  <c r="C461" i="4" s="1"/>
  <c r="C462" i="4" a="1"/>
  <c r="C462" i="4" s="1"/>
  <c r="C463" i="4" a="1"/>
  <c r="C463" i="4" s="1"/>
  <c r="C464" i="4" a="1"/>
  <c r="C464" i="4" s="1"/>
  <c r="C465" i="4" a="1"/>
  <c r="C465" i="4" s="1"/>
  <c r="C466" i="4" a="1"/>
  <c r="C466" i="4" s="1"/>
  <c r="C467" i="4" a="1"/>
  <c r="C467" i="4" s="1"/>
  <c r="C468" i="4" a="1"/>
  <c r="C468" i="4" s="1"/>
  <c r="C469" i="4" a="1"/>
  <c r="C469" i="4" s="1"/>
  <c r="C470" i="4" a="1"/>
  <c r="C470" i="4" s="1"/>
  <c r="C471" i="4" a="1"/>
  <c r="C471" i="4" s="1"/>
  <c r="C472" i="4" a="1"/>
  <c r="C472" i="4" s="1"/>
  <c r="C473" i="4" a="1"/>
  <c r="C473" i="4" s="1"/>
  <c r="C474" i="4" a="1"/>
  <c r="C474" i="4" s="1"/>
  <c r="C475" i="4" a="1"/>
  <c r="C475" i="4" s="1"/>
  <c r="C476" i="4" a="1"/>
  <c r="C476" i="4" s="1"/>
  <c r="C477" i="4" a="1"/>
  <c r="C477" i="4" s="1"/>
  <c r="C478" i="4" a="1"/>
  <c r="C478" i="4" s="1"/>
  <c r="C479" i="4" a="1"/>
  <c r="C479" i="4" s="1"/>
  <c r="C480" i="4" a="1"/>
  <c r="C480" i="4" s="1"/>
  <c r="C481" i="4" a="1"/>
  <c r="C481" i="4" s="1"/>
  <c r="C482" i="4" a="1"/>
  <c r="C482" i="4" s="1"/>
  <c r="C483" i="4" a="1"/>
  <c r="C483" i="4" s="1"/>
  <c r="C484" i="4" a="1"/>
  <c r="C484" i="4" s="1"/>
  <c r="C485" i="4" a="1"/>
  <c r="C485" i="4" s="1"/>
  <c r="C486" i="4" a="1"/>
  <c r="C486" i="4" s="1"/>
  <c r="C487" i="4" a="1"/>
  <c r="C487" i="4" s="1"/>
  <c r="C488" i="4" a="1"/>
  <c r="C488" i="4" s="1"/>
  <c r="C489" i="4" a="1"/>
  <c r="C489" i="4" s="1"/>
  <c r="C490" i="4" a="1"/>
  <c r="C490" i="4" s="1"/>
  <c r="C491" i="4" a="1"/>
  <c r="C491" i="4" s="1"/>
  <c r="C492" i="4" a="1"/>
  <c r="C492" i="4" s="1"/>
  <c r="C493" i="4" a="1"/>
  <c r="C493" i="4" s="1"/>
  <c r="C494" i="4" a="1"/>
  <c r="C494" i="4" s="1"/>
  <c r="C495" i="4" a="1"/>
  <c r="C495" i="4" s="1"/>
  <c r="C496" i="4" a="1"/>
  <c r="C496" i="4" s="1"/>
  <c r="C497" i="4" a="1"/>
  <c r="C497" i="4" s="1"/>
  <c r="C498" i="4" a="1"/>
  <c r="C498" i="4" s="1"/>
  <c r="C499" i="4" a="1"/>
  <c r="C499" i="4" s="1"/>
  <c r="C500" i="4" a="1"/>
  <c r="C500" i="4" s="1"/>
  <c r="C501" i="4" a="1"/>
  <c r="C501" i="4" s="1"/>
  <c r="C502" i="4" a="1"/>
  <c r="C502" i="4" s="1"/>
  <c r="C503" i="4" a="1"/>
  <c r="C503" i="4" s="1"/>
  <c r="C504" i="4" a="1"/>
  <c r="C504" i="4" s="1"/>
  <c r="C505" i="4" a="1"/>
  <c r="C505" i="4" s="1"/>
  <c r="C506" i="4" a="1"/>
  <c r="C506" i="4" s="1"/>
  <c r="C507" i="4" a="1"/>
  <c r="C507" i="4" s="1"/>
  <c r="C508" i="4" a="1"/>
  <c r="C508" i="4" s="1"/>
  <c r="C509" i="4" a="1"/>
  <c r="C509" i="4" s="1"/>
  <c r="C510" i="4" a="1"/>
  <c r="C510" i="4" s="1"/>
  <c r="C511" i="4" a="1"/>
  <c r="C511" i="4" s="1"/>
  <c r="C512" i="4" a="1"/>
  <c r="C512" i="4" s="1"/>
  <c r="C513" i="4" a="1"/>
  <c r="C513" i="4" s="1"/>
  <c r="C514" i="4" a="1"/>
  <c r="C514" i="4" s="1"/>
  <c r="C515" i="4" a="1"/>
  <c r="C515" i="4" s="1"/>
  <c r="C516" i="4" a="1"/>
  <c r="C516" i="4" s="1"/>
  <c r="C517" i="4" a="1"/>
  <c r="C517" i="4" s="1"/>
  <c r="C518" i="4" a="1"/>
  <c r="C518" i="4" s="1"/>
  <c r="C519" i="4" a="1"/>
  <c r="C519" i="4" s="1"/>
  <c r="C520" i="4" a="1"/>
  <c r="C520" i="4" s="1"/>
  <c r="C521" i="4" a="1"/>
  <c r="C521" i="4" s="1"/>
  <c r="C522" i="4" a="1"/>
  <c r="C522" i="4" s="1"/>
  <c r="C523" i="4" a="1"/>
  <c r="C523" i="4" s="1"/>
  <c r="C524" i="4" a="1"/>
  <c r="C524" i="4" s="1"/>
  <c r="C525" i="4" a="1"/>
  <c r="C525" i="4" s="1"/>
  <c r="C526" i="4" a="1"/>
  <c r="C526" i="4" s="1"/>
  <c r="C527" i="4" a="1"/>
  <c r="C527" i="4" s="1"/>
  <c r="C528" i="4" a="1"/>
  <c r="C528" i="4" s="1"/>
  <c r="C529" i="4" a="1"/>
  <c r="C529" i="4" s="1"/>
  <c r="C530" i="4" a="1"/>
  <c r="C530" i="4" s="1"/>
  <c r="C531" i="4" a="1"/>
  <c r="C531" i="4" s="1"/>
  <c r="C532" i="4" a="1"/>
  <c r="C532" i="4" s="1"/>
  <c r="C533" i="4" a="1"/>
  <c r="C533" i="4" s="1"/>
  <c r="C534" i="4" a="1"/>
  <c r="C534" i="4" s="1"/>
  <c r="C535" i="4" a="1"/>
  <c r="C535" i="4" s="1"/>
  <c r="C536" i="4" a="1"/>
  <c r="C536" i="4" s="1"/>
  <c r="C537" i="4" a="1"/>
  <c r="C537" i="4" s="1"/>
  <c r="C538" i="4" a="1"/>
  <c r="C538" i="4" s="1"/>
  <c r="C539" i="4" a="1"/>
  <c r="C539" i="4" s="1"/>
  <c r="C540" i="4" a="1"/>
  <c r="C540" i="4" s="1"/>
  <c r="C541" i="4" a="1"/>
  <c r="C541" i="4" s="1"/>
  <c r="C542" i="4" a="1"/>
  <c r="C542" i="4" s="1"/>
  <c r="C543" i="4" a="1"/>
  <c r="C543" i="4" s="1"/>
  <c r="C544" i="4" a="1"/>
  <c r="C544" i="4" s="1"/>
  <c r="C545" i="4" a="1"/>
  <c r="C545" i="4" s="1"/>
  <c r="C546" i="4" a="1"/>
  <c r="C546" i="4" s="1"/>
  <c r="C547" i="4" a="1"/>
  <c r="C547" i="4" s="1"/>
  <c r="C548" i="4" a="1"/>
  <c r="C548" i="4" s="1"/>
  <c r="C549" i="4" a="1"/>
  <c r="C549" i="4" s="1"/>
  <c r="C550" i="4" a="1"/>
  <c r="C550" i="4" s="1"/>
  <c r="C551" i="4" a="1"/>
  <c r="C551" i="4" s="1"/>
  <c r="C552" i="4" a="1"/>
  <c r="C552" i="4" s="1"/>
  <c r="C553" i="4" a="1"/>
  <c r="C553" i="4" s="1"/>
  <c r="C554" i="4" a="1"/>
  <c r="C554" i="4" s="1"/>
  <c r="C555" i="4" a="1"/>
  <c r="C555" i="4" s="1"/>
  <c r="C556" i="4" a="1"/>
  <c r="C556" i="4" s="1"/>
  <c r="C557" i="4" a="1"/>
  <c r="C557" i="4" s="1"/>
  <c r="C558" i="4" a="1"/>
  <c r="C558" i="4" s="1"/>
  <c r="C559" i="4" a="1"/>
  <c r="C559" i="4" s="1"/>
  <c r="C560" i="4" a="1"/>
  <c r="C560" i="4" s="1"/>
  <c r="C561" i="4" a="1"/>
  <c r="C561" i="4" s="1"/>
  <c r="C562" i="4" a="1"/>
  <c r="C562" i="4" s="1"/>
  <c r="C563" i="4" a="1"/>
  <c r="C563" i="4" s="1"/>
  <c r="C564" i="4" a="1"/>
  <c r="C564" i="4" s="1"/>
  <c r="C565" i="4" a="1"/>
  <c r="C565" i="4" s="1"/>
  <c r="C566" i="4" a="1"/>
  <c r="C566" i="4" s="1"/>
  <c r="C567" i="4" a="1"/>
  <c r="C567" i="4" s="1"/>
  <c r="C568" i="4" a="1"/>
  <c r="C568" i="4" s="1"/>
  <c r="C569" i="4" a="1"/>
  <c r="C569" i="4" s="1"/>
  <c r="C570" i="4" a="1"/>
  <c r="C570" i="4" s="1"/>
  <c r="C571" i="4" a="1"/>
  <c r="C571" i="4" s="1"/>
  <c r="C572" i="4" a="1"/>
  <c r="C572" i="4" s="1"/>
  <c r="C573" i="4" a="1"/>
  <c r="C573" i="4" s="1"/>
  <c r="C574" i="4" a="1"/>
  <c r="C574" i="4" s="1"/>
  <c r="C575" i="4" a="1"/>
  <c r="C575" i="4" s="1"/>
  <c r="C576" i="4" a="1"/>
  <c r="C576" i="4" s="1"/>
  <c r="C577" i="4" a="1"/>
  <c r="C577" i="4" s="1"/>
  <c r="C578" i="4" a="1"/>
  <c r="C578" i="4" s="1"/>
  <c r="C579" i="4" a="1"/>
  <c r="C579" i="4" s="1"/>
  <c r="C580" i="4" a="1"/>
  <c r="C580" i="4" s="1"/>
  <c r="C581" i="4" a="1"/>
  <c r="C581" i="4" s="1"/>
  <c r="C582" i="4" a="1"/>
  <c r="C582" i="4" s="1"/>
  <c r="C583" i="4" a="1"/>
  <c r="C583" i="4" s="1"/>
  <c r="C584" i="4" a="1"/>
  <c r="C584" i="4" s="1"/>
  <c r="C585" i="4" a="1"/>
  <c r="C585" i="4" s="1"/>
  <c r="C586" i="4" a="1"/>
  <c r="C586" i="4" s="1"/>
  <c r="C587" i="4" a="1"/>
  <c r="C587" i="4" s="1"/>
  <c r="C588" i="4" a="1"/>
  <c r="C588" i="4" s="1"/>
  <c r="C589" i="4" a="1"/>
  <c r="C589" i="4" s="1"/>
  <c r="C590" i="4" a="1"/>
  <c r="C590" i="4" s="1"/>
  <c r="C591" i="4" a="1"/>
  <c r="C591" i="4" s="1"/>
  <c r="C592" i="4" a="1"/>
  <c r="C592" i="4" s="1"/>
  <c r="C593" i="4" a="1"/>
  <c r="C593" i="4" s="1"/>
  <c r="C594" i="4" a="1"/>
  <c r="C594" i="4" s="1"/>
  <c r="C595" i="4" a="1"/>
  <c r="C595" i="4" s="1"/>
  <c r="C596" i="4" a="1"/>
  <c r="C596" i="4" s="1"/>
  <c r="C597" i="4" a="1"/>
  <c r="C597" i="4" s="1"/>
  <c r="C598" i="4" a="1"/>
  <c r="C598" i="4" s="1"/>
  <c r="C599" i="4" a="1"/>
  <c r="C599" i="4" s="1"/>
  <c r="C600" i="4" a="1"/>
  <c r="C600" i="4" s="1"/>
  <c r="C601" i="4" a="1"/>
  <c r="C601" i="4" s="1"/>
  <c r="C602" i="4" a="1"/>
  <c r="C602" i="4" s="1"/>
  <c r="C603" i="4" a="1"/>
  <c r="C603" i="4" s="1"/>
  <c r="C604" i="4" a="1"/>
  <c r="C604" i="4" s="1"/>
  <c r="C605" i="4" a="1"/>
  <c r="C605" i="4" s="1"/>
  <c r="C606" i="4" a="1"/>
  <c r="C606" i="4" s="1"/>
  <c r="C607" i="4" a="1"/>
  <c r="C607" i="4" s="1"/>
  <c r="C608" i="4" a="1"/>
  <c r="C608" i="4" s="1"/>
  <c r="C609" i="4" a="1"/>
  <c r="C609" i="4" s="1"/>
  <c r="C610" i="4" a="1"/>
  <c r="C610" i="4" s="1"/>
  <c r="C611" i="4" a="1"/>
  <c r="C611" i="4" s="1"/>
  <c r="C612" i="4" a="1"/>
  <c r="C612" i="4" s="1"/>
  <c r="C613" i="4" a="1"/>
  <c r="C613" i="4" s="1"/>
  <c r="C614" i="4" a="1"/>
  <c r="C614" i="4" s="1"/>
  <c r="C615" i="4" a="1"/>
  <c r="C615" i="4" s="1"/>
  <c r="C616" i="4" a="1"/>
  <c r="C616" i="4" s="1"/>
  <c r="C617" i="4" a="1"/>
  <c r="C617" i="4" s="1"/>
  <c r="C618" i="4" a="1"/>
  <c r="C618" i="4" s="1"/>
  <c r="C619" i="4" a="1"/>
  <c r="C619" i="4" s="1"/>
  <c r="C620" i="4" a="1"/>
  <c r="C620" i="4" s="1"/>
  <c r="C621" i="4" a="1"/>
  <c r="C621" i="4" s="1"/>
  <c r="C622" i="4" a="1"/>
  <c r="C622" i="4" s="1"/>
  <c r="C623" i="4" a="1"/>
  <c r="C623" i="4" s="1"/>
  <c r="C624" i="4" a="1"/>
  <c r="C624" i="4" s="1"/>
  <c r="C625" i="4" a="1"/>
  <c r="C625" i="4" s="1"/>
  <c r="C626" i="4" a="1"/>
  <c r="C626" i="4" s="1"/>
  <c r="C627" i="4" a="1"/>
  <c r="C627" i="4" s="1"/>
  <c r="C628" i="4" a="1"/>
  <c r="C628" i="4" s="1"/>
  <c r="C629" i="4" a="1"/>
  <c r="C629" i="4" s="1"/>
  <c r="C630" i="4" a="1"/>
  <c r="C630" i="4" s="1"/>
  <c r="C631" i="4" a="1"/>
  <c r="C631" i="4" s="1"/>
  <c r="C632" i="4" a="1"/>
  <c r="C632" i="4" s="1"/>
  <c r="C633" i="4" a="1"/>
  <c r="C633" i="4" s="1"/>
  <c r="C634" i="4" a="1"/>
  <c r="C634" i="4" s="1"/>
  <c r="C635" i="4" a="1"/>
  <c r="C635" i="4" s="1"/>
  <c r="C636" i="4" a="1"/>
  <c r="C636" i="4" s="1"/>
  <c r="C637" i="4" a="1"/>
  <c r="C637" i="4" s="1"/>
  <c r="C638" i="4" a="1"/>
  <c r="C638" i="4" s="1"/>
  <c r="C639" i="4" a="1"/>
  <c r="C639" i="4" s="1"/>
  <c r="C640" i="4" a="1"/>
  <c r="C640" i="4" s="1"/>
  <c r="C641" i="4" a="1"/>
  <c r="C641" i="4" s="1"/>
  <c r="C642" i="4" a="1"/>
  <c r="C642" i="4" s="1"/>
  <c r="C643" i="4" a="1"/>
  <c r="C643" i="4" s="1"/>
  <c r="C644" i="4" a="1"/>
  <c r="C644" i="4" s="1"/>
  <c r="C645" i="4" a="1"/>
  <c r="C645" i="4" s="1"/>
  <c r="C646" i="4" a="1"/>
  <c r="C646" i="4" s="1"/>
  <c r="C647" i="4" a="1"/>
  <c r="C647" i="4" s="1"/>
  <c r="C648" i="4" a="1"/>
  <c r="C648" i="4" s="1"/>
  <c r="C649" i="4" a="1"/>
  <c r="C649" i="4" s="1"/>
  <c r="C650" i="4" a="1"/>
  <c r="C650" i="4" s="1"/>
  <c r="C651" i="4" a="1"/>
  <c r="C651" i="4" s="1"/>
  <c r="C652" i="4" a="1"/>
  <c r="C652" i="4" s="1"/>
  <c r="C653" i="4" a="1"/>
  <c r="C653" i="4" s="1"/>
  <c r="C654" i="4" a="1"/>
  <c r="C654" i="4" s="1"/>
  <c r="C655" i="4" a="1"/>
  <c r="C655" i="4" s="1"/>
  <c r="C656" i="4" a="1"/>
  <c r="C656" i="4" s="1"/>
  <c r="C657" i="4" a="1"/>
  <c r="C657" i="4" s="1"/>
  <c r="C658" i="4" a="1"/>
  <c r="C658" i="4" s="1"/>
  <c r="C659" i="4" a="1"/>
  <c r="C659" i="4" s="1"/>
  <c r="C660" i="4" a="1"/>
  <c r="C660" i="4" s="1"/>
  <c r="C661" i="4" a="1"/>
  <c r="C661" i="4" s="1"/>
  <c r="C662" i="4" a="1"/>
  <c r="C662" i="4" s="1"/>
  <c r="C663" i="4" a="1"/>
  <c r="C663" i="4" s="1"/>
  <c r="C664" i="4" a="1"/>
  <c r="C664" i="4" s="1"/>
  <c r="C665" i="4" a="1"/>
  <c r="C665" i="4" s="1"/>
  <c r="C666" i="4" a="1"/>
  <c r="C666" i="4" s="1"/>
  <c r="C667" i="4" a="1"/>
  <c r="C667" i="4" s="1"/>
  <c r="C668" i="4" a="1"/>
  <c r="C668" i="4" s="1"/>
  <c r="C669" i="4" a="1"/>
  <c r="C669" i="4" s="1"/>
  <c r="C670" i="4" a="1"/>
  <c r="C670" i="4" s="1"/>
  <c r="C671" i="4" a="1"/>
  <c r="C671" i="4" s="1"/>
  <c r="C672" i="4" a="1"/>
  <c r="C672" i="4" s="1"/>
  <c r="C673" i="4" a="1"/>
  <c r="C673" i="4" s="1"/>
  <c r="C674" i="4" a="1"/>
  <c r="C674" i="4" s="1"/>
  <c r="C675" i="4" a="1"/>
  <c r="C675" i="4" s="1"/>
  <c r="C676" i="4" a="1"/>
  <c r="C676" i="4" s="1"/>
  <c r="C677" i="4" a="1"/>
  <c r="C677" i="4" s="1"/>
  <c r="C678" i="4" a="1"/>
  <c r="C678" i="4" s="1"/>
  <c r="C679" i="4" a="1"/>
  <c r="C679" i="4" s="1"/>
  <c r="C680" i="4" a="1"/>
  <c r="C680" i="4" s="1"/>
  <c r="C681" i="4" a="1"/>
  <c r="C681" i="4" s="1"/>
  <c r="C682" i="4" a="1"/>
  <c r="C682" i="4" s="1"/>
  <c r="C683" i="4" a="1"/>
  <c r="C683" i="4" s="1"/>
  <c r="C684" i="4" a="1"/>
  <c r="C684" i="4" s="1"/>
  <c r="C685" i="4" a="1"/>
  <c r="C685" i="4" s="1"/>
  <c r="C686" i="4" a="1"/>
  <c r="C686" i="4" s="1"/>
  <c r="C687" i="4" a="1"/>
  <c r="C687" i="4" s="1"/>
  <c r="C688" i="4" a="1"/>
  <c r="C688" i="4" s="1"/>
  <c r="C689" i="4" a="1"/>
  <c r="C689" i="4" s="1"/>
  <c r="C690" i="4" a="1"/>
  <c r="C690" i="4" s="1"/>
  <c r="C691" i="4" a="1"/>
  <c r="C691" i="4" s="1"/>
  <c r="C692" i="4" a="1"/>
  <c r="C692" i="4" s="1"/>
  <c r="C693" i="4" a="1"/>
  <c r="C693" i="4" s="1"/>
  <c r="C694" i="4" a="1"/>
  <c r="C694" i="4" s="1"/>
  <c r="C695" i="4" a="1"/>
  <c r="C695" i="4" s="1"/>
  <c r="C696" i="4" a="1"/>
  <c r="C696" i="4" s="1"/>
  <c r="C697" i="4" a="1"/>
  <c r="C697" i="4" s="1"/>
  <c r="C698" i="4" a="1"/>
  <c r="C698" i="4" s="1"/>
  <c r="C699" i="4" a="1"/>
  <c r="C699" i="4" s="1"/>
  <c r="C700" i="4" a="1"/>
  <c r="C700" i="4" s="1"/>
  <c r="C701" i="4" a="1"/>
  <c r="C701" i="4" s="1"/>
  <c r="C702" i="4" a="1"/>
  <c r="C702" i="4" s="1"/>
  <c r="C703" i="4" a="1"/>
  <c r="C703" i="4" s="1"/>
  <c r="C704" i="4" a="1"/>
  <c r="C704" i="4" s="1"/>
  <c r="C705" i="4" a="1"/>
  <c r="C705" i="4" s="1"/>
  <c r="C706" i="4" a="1"/>
  <c r="C706" i="4" s="1"/>
  <c r="C707" i="4" a="1"/>
  <c r="C707" i="4" s="1"/>
  <c r="C708" i="4" a="1"/>
  <c r="C708" i="4" s="1"/>
  <c r="C709" i="4" a="1"/>
  <c r="C709" i="4" s="1"/>
  <c r="C710" i="4" a="1"/>
  <c r="C710" i="4" s="1"/>
  <c r="C711" i="4" a="1"/>
  <c r="C711" i="4" s="1"/>
  <c r="C712" i="4" a="1"/>
  <c r="C712" i="4" s="1"/>
  <c r="C713" i="4" a="1"/>
  <c r="C713" i="4" s="1"/>
  <c r="C714" i="4" a="1"/>
  <c r="C714" i="4" s="1"/>
  <c r="C715" i="4" a="1"/>
  <c r="C715" i="4" s="1"/>
  <c r="C716" i="4" a="1"/>
  <c r="C716" i="4" s="1"/>
  <c r="C717" i="4" a="1"/>
  <c r="C717" i="4" s="1"/>
  <c r="C718" i="4" a="1"/>
  <c r="C718" i="4" s="1"/>
  <c r="C719" i="4" a="1"/>
  <c r="C719" i="4" s="1"/>
  <c r="C720" i="4" a="1"/>
  <c r="C720" i="4" s="1"/>
  <c r="C721" i="4" a="1"/>
  <c r="C721" i="4" s="1"/>
  <c r="C722" i="4" a="1"/>
  <c r="C722" i="4" s="1"/>
  <c r="C723" i="4" a="1"/>
  <c r="C723" i="4" s="1"/>
  <c r="C724" i="4" a="1"/>
  <c r="C724" i="4" s="1"/>
  <c r="C725" i="4" a="1"/>
  <c r="C725" i="4" s="1"/>
  <c r="C726" i="4" a="1"/>
  <c r="C726" i="4" s="1"/>
  <c r="C727" i="4" a="1"/>
  <c r="C727" i="4" s="1"/>
  <c r="C728" i="4" a="1"/>
  <c r="C728" i="4" s="1"/>
  <c r="C729" i="4" a="1"/>
  <c r="C729" i="4" s="1"/>
  <c r="C730" i="4" a="1"/>
  <c r="C730" i="4" s="1"/>
  <c r="C731" i="4" a="1"/>
  <c r="C731" i="4" s="1"/>
  <c r="C732" i="4" a="1"/>
  <c r="C732" i="4" s="1"/>
  <c r="C733" i="4" a="1"/>
  <c r="C733" i="4" s="1"/>
  <c r="C734" i="4" a="1"/>
  <c r="C734" i="4" s="1"/>
  <c r="C735" i="4" a="1"/>
  <c r="C735" i="4" s="1"/>
  <c r="C736" i="4" a="1"/>
  <c r="C736" i="4" s="1"/>
  <c r="C737" i="4" a="1"/>
  <c r="C737" i="4" s="1"/>
  <c r="C738" i="4" a="1"/>
  <c r="C738" i="4" s="1"/>
  <c r="C739" i="4" a="1"/>
  <c r="C739" i="4" s="1"/>
  <c r="C740" i="4" a="1"/>
  <c r="C740" i="4" s="1"/>
  <c r="C741" i="4" a="1"/>
  <c r="C741" i="4" s="1"/>
  <c r="C742" i="4" a="1"/>
  <c r="C742" i="4" s="1"/>
  <c r="C743" i="4" a="1"/>
  <c r="C743" i="4" s="1"/>
  <c r="C744" i="4" a="1"/>
  <c r="C744" i="4" s="1"/>
  <c r="C745" i="4" a="1"/>
  <c r="C745" i="4" s="1"/>
  <c r="C746" i="4" a="1"/>
  <c r="C746" i="4" s="1"/>
  <c r="C747" i="4" a="1"/>
  <c r="C747" i="4" s="1"/>
  <c r="C748" i="4" a="1"/>
  <c r="C748" i="4" s="1"/>
  <c r="C749" i="4" a="1"/>
  <c r="C749" i="4" s="1"/>
  <c r="C750" i="4" a="1"/>
  <c r="C750" i="4" s="1"/>
  <c r="C751" i="4" a="1"/>
  <c r="C751" i="4" s="1"/>
  <c r="C752" i="4" a="1"/>
  <c r="C752" i="4" s="1"/>
  <c r="C753" i="4" a="1"/>
  <c r="C753" i="4" s="1"/>
  <c r="C754" i="4" a="1"/>
  <c r="C754" i="4" s="1"/>
  <c r="C755" i="4" a="1"/>
  <c r="C755" i="4" s="1"/>
  <c r="C756" i="4" a="1"/>
  <c r="C756" i="4" s="1"/>
  <c r="C757" i="4" a="1"/>
  <c r="C757" i="4" s="1"/>
  <c r="C758" i="4" a="1"/>
  <c r="C758" i="4" s="1"/>
  <c r="C759" i="4" a="1"/>
  <c r="C759" i="4" s="1"/>
  <c r="C760" i="4" a="1"/>
  <c r="C760" i="4" s="1"/>
  <c r="C761" i="4" a="1"/>
  <c r="C761" i="4" s="1"/>
  <c r="C762" i="4" a="1"/>
  <c r="C762" i="4" s="1"/>
  <c r="C763" i="4" a="1"/>
  <c r="C763" i="4" s="1"/>
  <c r="C764" i="4" a="1"/>
  <c r="C764" i="4" s="1"/>
  <c r="C765" i="4" a="1"/>
  <c r="C765" i="4" s="1"/>
  <c r="C766" i="4" a="1"/>
  <c r="C766" i="4" s="1"/>
  <c r="C767" i="4" a="1"/>
  <c r="C767" i="4" s="1"/>
  <c r="C768" i="4" a="1"/>
  <c r="C768" i="4" s="1"/>
  <c r="C769" i="4" a="1"/>
  <c r="C769" i="4" s="1"/>
  <c r="C770" i="4" a="1"/>
  <c r="C770" i="4" s="1"/>
  <c r="C771" i="4" a="1"/>
  <c r="C771" i="4" s="1"/>
  <c r="C772" i="4" a="1"/>
  <c r="C772" i="4" s="1"/>
  <c r="C773" i="4" a="1"/>
  <c r="C773" i="4" s="1"/>
  <c r="C774" i="4" a="1"/>
  <c r="C774" i="4" s="1"/>
  <c r="C775" i="4" a="1"/>
  <c r="C775" i="4" s="1"/>
  <c r="C776" i="4" a="1"/>
  <c r="C776" i="4" s="1"/>
  <c r="C777" i="4" a="1"/>
  <c r="C777" i="4" s="1"/>
  <c r="C778" i="4" a="1"/>
  <c r="C778" i="4" s="1"/>
  <c r="C779" i="4" a="1"/>
  <c r="C779" i="4" s="1"/>
  <c r="C780" i="4" a="1"/>
  <c r="C780" i="4" s="1"/>
  <c r="C781" i="4" a="1"/>
  <c r="C781" i="4" s="1"/>
  <c r="C782" i="4" a="1"/>
  <c r="C782" i="4" s="1"/>
  <c r="C783" i="4" a="1"/>
  <c r="C783" i="4" s="1"/>
  <c r="C784" i="4" a="1"/>
  <c r="C784" i="4" s="1"/>
  <c r="C785" i="4" a="1"/>
  <c r="C785" i="4" s="1"/>
  <c r="C786" i="4" a="1"/>
  <c r="C786" i="4" s="1"/>
  <c r="C787" i="4" a="1"/>
  <c r="C787" i="4" s="1"/>
  <c r="C788" i="4" a="1"/>
  <c r="C788" i="4" s="1"/>
  <c r="C789" i="4" a="1"/>
  <c r="C789" i="4" s="1"/>
  <c r="C790" i="4" a="1"/>
  <c r="C790" i="4" s="1"/>
  <c r="C791" i="4" a="1"/>
  <c r="C791" i="4" s="1"/>
  <c r="C792" i="4" a="1"/>
  <c r="C792" i="4" s="1"/>
  <c r="C793" i="4" a="1"/>
  <c r="C793" i="4" s="1"/>
  <c r="C794" i="4" a="1"/>
  <c r="C794" i="4" s="1"/>
  <c r="C795" i="4" a="1"/>
  <c r="C795" i="4" s="1"/>
  <c r="C796" i="4" a="1"/>
  <c r="C796" i="4" s="1"/>
  <c r="C797" i="4" a="1"/>
  <c r="C797" i="4" s="1"/>
  <c r="C798" i="4" a="1"/>
  <c r="C798" i="4" s="1"/>
  <c r="C799" i="4" a="1"/>
  <c r="C799" i="4" s="1"/>
  <c r="C800" i="4" a="1"/>
  <c r="C800" i="4" s="1"/>
  <c r="C801" i="4" a="1"/>
  <c r="C801" i="4" s="1"/>
  <c r="C802" i="4" a="1"/>
  <c r="C802" i="4" s="1"/>
  <c r="C803" i="4" a="1"/>
  <c r="C803" i="4" s="1"/>
  <c r="C804" i="4" a="1"/>
  <c r="C804" i="4" s="1"/>
  <c r="C805" i="4" a="1"/>
  <c r="C805" i="4" s="1"/>
  <c r="C806" i="4" a="1"/>
  <c r="C806" i="4" s="1"/>
  <c r="C807" i="4" a="1"/>
  <c r="C807" i="4" s="1"/>
  <c r="C808" i="4" a="1"/>
  <c r="C808" i="4" s="1"/>
  <c r="C809" i="4" a="1"/>
  <c r="C809" i="4" s="1"/>
  <c r="C810" i="4" a="1"/>
  <c r="C810" i="4" s="1"/>
  <c r="C811" i="4" a="1"/>
  <c r="C811" i="4" s="1"/>
  <c r="C812" i="4" a="1"/>
  <c r="C812" i="4" s="1"/>
  <c r="C813" i="4" a="1"/>
  <c r="C813" i="4" s="1"/>
  <c r="C814" i="4" a="1"/>
  <c r="C814" i="4" s="1"/>
  <c r="C815" i="4" a="1"/>
  <c r="C815" i="4" s="1"/>
  <c r="C816" i="4" a="1"/>
  <c r="C816" i="4" s="1"/>
  <c r="C817" i="4" a="1"/>
  <c r="C817" i="4" s="1"/>
  <c r="C818" i="4" a="1"/>
  <c r="C818" i="4" s="1"/>
  <c r="C819" i="4" a="1"/>
  <c r="C819" i="4" s="1"/>
  <c r="C820" i="4" a="1"/>
  <c r="C820" i="4" s="1"/>
  <c r="C821" i="4" a="1"/>
  <c r="C821" i="4" s="1"/>
  <c r="C822" i="4" a="1"/>
  <c r="C822" i="4" s="1"/>
  <c r="C823" i="4" a="1"/>
  <c r="C823" i="4" s="1"/>
  <c r="C824" i="4" a="1"/>
  <c r="C824" i="4" s="1"/>
  <c r="C825" i="4" a="1"/>
  <c r="C825" i="4" s="1"/>
  <c r="C826" i="4" a="1"/>
  <c r="C826" i="4" s="1"/>
  <c r="C827" i="4" a="1"/>
  <c r="C827" i="4" s="1"/>
  <c r="C828" i="4" a="1"/>
  <c r="C828" i="4" s="1"/>
  <c r="C829" i="4" a="1"/>
  <c r="C829" i="4" s="1"/>
  <c r="C830" i="4" a="1"/>
  <c r="C830" i="4" s="1"/>
  <c r="C831" i="4" a="1"/>
  <c r="C831" i="4" s="1"/>
  <c r="C832" i="4" a="1"/>
  <c r="C832" i="4" s="1"/>
  <c r="C833" i="4" a="1"/>
  <c r="C833" i="4" s="1"/>
  <c r="C834" i="4" a="1"/>
  <c r="C834" i="4" s="1"/>
  <c r="C835" i="4" a="1"/>
  <c r="C835" i="4" s="1"/>
  <c r="C836" i="4" a="1"/>
  <c r="C836" i="4" s="1"/>
  <c r="C837" i="4" a="1"/>
  <c r="C837" i="4" s="1"/>
  <c r="C838" i="4" a="1"/>
  <c r="C838" i="4" s="1"/>
  <c r="C839" i="4" a="1"/>
  <c r="C839" i="4" s="1"/>
  <c r="C840" i="4" a="1"/>
  <c r="C840" i="4" s="1"/>
  <c r="C841" i="4" a="1"/>
  <c r="C841" i="4" s="1"/>
  <c r="C842" i="4" a="1"/>
  <c r="C842" i="4" s="1"/>
  <c r="C843" i="4" a="1"/>
  <c r="C843" i="4" s="1"/>
  <c r="C844" i="4" a="1"/>
  <c r="C844" i="4" s="1"/>
  <c r="C845" i="4" a="1"/>
  <c r="C845" i="4" s="1"/>
  <c r="C846" i="4" a="1"/>
  <c r="C846" i="4" s="1"/>
  <c r="C847" i="4" a="1"/>
  <c r="C847" i="4" s="1"/>
  <c r="C848" i="4" a="1"/>
  <c r="C848" i="4" s="1"/>
  <c r="C849" i="4" a="1"/>
  <c r="C849" i="4" s="1"/>
  <c r="C850" i="4" a="1"/>
  <c r="C850" i="4" s="1"/>
  <c r="C851" i="4" a="1"/>
  <c r="C851" i="4" s="1"/>
  <c r="C852" i="4" a="1"/>
  <c r="C852" i="4" s="1"/>
  <c r="C853" i="4" a="1"/>
  <c r="C853" i="4" s="1"/>
  <c r="C854" i="4" a="1"/>
  <c r="C854" i="4" s="1"/>
  <c r="C855" i="4" a="1"/>
  <c r="C855" i="4" s="1"/>
  <c r="C856" i="4" a="1"/>
  <c r="C856" i="4" s="1"/>
  <c r="C857" i="4" a="1"/>
  <c r="C857" i="4" s="1"/>
  <c r="C858" i="4" a="1"/>
  <c r="C858" i="4" s="1"/>
  <c r="C859" i="4" a="1"/>
  <c r="C859" i="4" s="1"/>
  <c r="C860" i="4" a="1"/>
  <c r="C860" i="4" s="1"/>
  <c r="C861" i="4" a="1"/>
  <c r="C861" i="4" s="1"/>
  <c r="C862" i="4" a="1"/>
  <c r="C862" i="4" s="1"/>
  <c r="C863" i="4" a="1"/>
  <c r="C863" i="4" s="1"/>
  <c r="C864" i="4" a="1"/>
  <c r="C864" i="4" s="1"/>
  <c r="C865" i="4" a="1"/>
  <c r="C865" i="4" s="1"/>
  <c r="C866" i="4" a="1"/>
  <c r="C866" i="4" s="1"/>
  <c r="C867" i="4" a="1"/>
  <c r="C867" i="4" s="1"/>
  <c r="C868" i="4" a="1"/>
  <c r="C868" i="4" s="1"/>
  <c r="C869" i="4" a="1"/>
  <c r="C869" i="4" s="1"/>
  <c r="C870" i="4" a="1"/>
  <c r="C870" i="4" s="1"/>
  <c r="C871" i="4" a="1"/>
  <c r="C871" i="4" s="1"/>
  <c r="C872" i="4" a="1"/>
  <c r="C872" i="4" s="1"/>
  <c r="C873" i="4" a="1"/>
  <c r="C873" i="4" s="1"/>
  <c r="C874" i="4" a="1"/>
  <c r="C874" i="4" s="1"/>
  <c r="C875" i="4" a="1"/>
  <c r="C875" i="4" s="1"/>
  <c r="C876" i="4" a="1"/>
  <c r="C876" i="4" s="1"/>
  <c r="C877" i="4" a="1"/>
  <c r="C877" i="4" s="1"/>
  <c r="C878" i="4" a="1"/>
  <c r="C878" i="4" s="1"/>
  <c r="C879" i="4" a="1"/>
  <c r="C879" i="4" s="1"/>
  <c r="C880" i="4" a="1"/>
  <c r="C880" i="4" s="1"/>
  <c r="C881" i="4" a="1"/>
  <c r="C881" i="4" s="1"/>
  <c r="C882" i="4" a="1"/>
  <c r="C882" i="4" s="1"/>
  <c r="C883" i="4" a="1"/>
  <c r="C883" i="4" s="1"/>
  <c r="C884" i="4" a="1"/>
  <c r="C884" i="4" s="1"/>
  <c r="C885" i="4" a="1"/>
  <c r="C885" i="4" s="1"/>
  <c r="C886" i="4" a="1"/>
  <c r="C886" i="4" s="1"/>
  <c r="C887" i="4" a="1"/>
  <c r="C887" i="4" s="1"/>
  <c r="C888" i="4" a="1"/>
  <c r="C888" i="4" s="1"/>
  <c r="C889" i="4" a="1"/>
  <c r="C889" i="4" s="1"/>
  <c r="C890" i="4" a="1"/>
  <c r="C890" i="4" s="1"/>
  <c r="C891" i="4" a="1"/>
  <c r="C891" i="4" s="1"/>
  <c r="C892" i="4" a="1"/>
  <c r="C892" i="4" s="1"/>
  <c r="C893" i="4" a="1"/>
  <c r="C893" i="4" s="1"/>
  <c r="C894" i="4" a="1"/>
  <c r="C894" i="4" s="1"/>
  <c r="C895" i="4" a="1"/>
  <c r="C895" i="4" s="1"/>
  <c r="C896" i="4" a="1"/>
  <c r="C896" i="4" s="1"/>
  <c r="C897" i="4" a="1"/>
  <c r="C897" i="4" s="1"/>
  <c r="C898" i="4" a="1"/>
  <c r="C898" i="4" s="1"/>
  <c r="C899" i="4" a="1"/>
  <c r="C899" i="4" s="1"/>
  <c r="C900" i="4" a="1"/>
  <c r="C900" i="4" s="1"/>
  <c r="C901" i="4" a="1"/>
  <c r="C901" i="4" s="1"/>
  <c r="C902" i="4" a="1"/>
  <c r="C902" i="4" s="1"/>
  <c r="C903" i="4" a="1"/>
  <c r="C903" i="4" s="1"/>
  <c r="C904" i="4" a="1"/>
  <c r="C904" i="4" s="1"/>
  <c r="C905" i="4" a="1"/>
  <c r="C905" i="4" s="1"/>
  <c r="C906" i="4" a="1"/>
  <c r="C906" i="4" s="1"/>
  <c r="C907" i="4" a="1"/>
  <c r="C907" i="4" s="1"/>
  <c r="C908" i="4" a="1"/>
  <c r="C908" i="4" s="1"/>
  <c r="C909" i="4" a="1"/>
  <c r="C909" i="4" s="1"/>
  <c r="C910" i="4" a="1"/>
  <c r="C910" i="4" s="1"/>
  <c r="C911" i="4" a="1"/>
  <c r="C911" i="4" s="1"/>
  <c r="C912" i="4" a="1"/>
  <c r="C912" i="4" s="1"/>
  <c r="C913" i="4" a="1"/>
  <c r="C913" i="4" s="1"/>
  <c r="C914" i="4" a="1"/>
  <c r="C914" i="4" s="1"/>
  <c r="C915" i="4" a="1"/>
  <c r="C915" i="4" s="1"/>
  <c r="C916" i="4" a="1"/>
  <c r="C916" i="4" s="1"/>
  <c r="C917" i="4" a="1"/>
  <c r="C917" i="4" s="1"/>
  <c r="C918" i="4" a="1"/>
  <c r="C918" i="4" s="1"/>
  <c r="C919" i="4" a="1"/>
  <c r="C919" i="4" s="1"/>
  <c r="C920" i="4" a="1"/>
  <c r="C920" i="4" s="1"/>
  <c r="C921" i="4" a="1"/>
  <c r="C921" i="4" s="1"/>
  <c r="C922" i="4" a="1"/>
  <c r="C922" i="4" s="1"/>
  <c r="C923" i="4" a="1"/>
  <c r="C923" i="4" s="1"/>
  <c r="C924" i="4" a="1"/>
  <c r="C924" i="4" s="1"/>
  <c r="C925" i="4" a="1"/>
  <c r="C925" i="4" s="1"/>
  <c r="C926" i="4" a="1"/>
  <c r="C926" i="4" s="1"/>
  <c r="C927" i="4" a="1"/>
  <c r="C927" i="4" s="1"/>
  <c r="C928" i="4" a="1"/>
  <c r="C928" i="4" s="1"/>
  <c r="C929" i="4" a="1"/>
  <c r="C929" i="4" s="1"/>
  <c r="C930" i="4" a="1"/>
  <c r="C930" i="4" s="1"/>
  <c r="C931" i="4" a="1"/>
  <c r="C931" i="4" s="1"/>
  <c r="C932" i="4" a="1"/>
  <c r="C932" i="4" s="1"/>
  <c r="C933" i="4" a="1"/>
  <c r="C933" i="4" s="1"/>
  <c r="C934" i="4" a="1"/>
  <c r="C934" i="4" s="1"/>
  <c r="C935" i="4" a="1"/>
  <c r="C935" i="4" s="1"/>
  <c r="C936" i="4" a="1"/>
  <c r="C936" i="4" s="1"/>
  <c r="C937" i="4" a="1"/>
  <c r="C937" i="4" s="1"/>
  <c r="C938" i="4" a="1"/>
  <c r="C938" i="4" s="1"/>
  <c r="C939" i="4" a="1"/>
  <c r="C939" i="4" s="1"/>
  <c r="C940" i="4" a="1"/>
  <c r="C940" i="4" s="1"/>
  <c r="C941" i="4" a="1"/>
  <c r="C941" i="4" s="1"/>
  <c r="C942" i="4" a="1"/>
  <c r="C942" i="4" s="1"/>
  <c r="C943" i="4" a="1"/>
  <c r="C943" i="4" s="1"/>
  <c r="C944" i="4" a="1"/>
  <c r="C944" i="4" s="1"/>
  <c r="C945" i="4" a="1"/>
  <c r="C945" i="4" s="1"/>
  <c r="C946" i="4" a="1"/>
  <c r="C946" i="4" s="1"/>
  <c r="C947" i="4" a="1"/>
  <c r="C947" i="4" s="1"/>
  <c r="C948" i="4" a="1"/>
  <c r="C948" i="4" s="1"/>
  <c r="C949" i="4" a="1"/>
  <c r="C949" i="4" s="1"/>
  <c r="C950" i="4" a="1"/>
  <c r="C950" i="4" s="1"/>
  <c r="C951" i="4" a="1"/>
  <c r="C951" i="4" s="1"/>
  <c r="C952" i="4" a="1"/>
  <c r="C952" i="4" s="1"/>
  <c r="C953" i="4" a="1"/>
  <c r="C953" i="4" s="1"/>
  <c r="C954" i="4" a="1"/>
  <c r="C954" i="4" s="1"/>
  <c r="C955" i="4" a="1"/>
  <c r="C955" i="4" s="1"/>
  <c r="C956" i="4" a="1"/>
  <c r="C956" i="4" s="1"/>
  <c r="C957" i="4" a="1"/>
  <c r="C957" i="4" s="1"/>
  <c r="C958" i="4" a="1"/>
  <c r="C958" i="4" s="1"/>
  <c r="C959" i="4" a="1"/>
  <c r="C959" i="4" s="1"/>
  <c r="C960" i="4" a="1"/>
  <c r="C960" i="4" s="1"/>
  <c r="C961" i="4" a="1"/>
  <c r="C961" i="4" s="1"/>
  <c r="C962" i="4" a="1"/>
  <c r="C962" i="4" s="1"/>
  <c r="C963" i="4" a="1"/>
  <c r="C963" i="4" s="1"/>
  <c r="C964" i="4" a="1"/>
  <c r="C964" i="4" s="1"/>
  <c r="C965" i="4" a="1"/>
  <c r="C965" i="4" s="1"/>
  <c r="C966" i="4" a="1"/>
  <c r="C966" i="4" s="1"/>
  <c r="C967" i="4" a="1"/>
  <c r="C967" i="4" s="1"/>
  <c r="C968" i="4" a="1"/>
  <c r="C968" i="4" s="1"/>
  <c r="C969" i="4" a="1"/>
  <c r="C969" i="4" s="1"/>
  <c r="C970" i="4" a="1"/>
  <c r="C970" i="4" s="1"/>
  <c r="C971" i="4" a="1"/>
  <c r="C971" i="4" s="1"/>
  <c r="C972" i="4" a="1"/>
  <c r="C972" i="4" s="1"/>
  <c r="C973" i="4" a="1"/>
  <c r="C973" i="4" s="1"/>
  <c r="C974" i="4" a="1"/>
  <c r="C974" i="4" s="1"/>
  <c r="C975" i="4" a="1"/>
  <c r="C975" i="4" s="1"/>
  <c r="C976" i="4" a="1"/>
  <c r="C976" i="4" s="1"/>
  <c r="C977" i="4" a="1"/>
  <c r="C977" i="4" s="1"/>
  <c r="C978" i="4" a="1"/>
  <c r="C978" i="4" s="1"/>
  <c r="C979" i="4" a="1"/>
  <c r="C979" i="4" s="1"/>
  <c r="C980" i="4" a="1"/>
  <c r="C980" i="4" s="1"/>
  <c r="C981" i="4" a="1"/>
  <c r="C981" i="4" s="1"/>
  <c r="C982" i="4" a="1"/>
  <c r="C982" i="4" s="1"/>
  <c r="C983" i="4" a="1"/>
  <c r="C983" i="4" s="1"/>
  <c r="C984" i="4" a="1"/>
  <c r="C984" i="4" s="1"/>
  <c r="C985" i="4" a="1"/>
  <c r="C985" i="4" s="1"/>
  <c r="C986" i="4" a="1"/>
  <c r="C986" i="4" s="1"/>
  <c r="C987" i="4" a="1"/>
  <c r="C987" i="4" s="1"/>
  <c r="C988" i="4" a="1"/>
  <c r="C988" i="4" s="1"/>
  <c r="C989" i="4" a="1"/>
  <c r="C989" i="4" s="1"/>
  <c r="C990" i="4" a="1"/>
  <c r="C990" i="4" s="1"/>
  <c r="C991" i="4" a="1"/>
  <c r="C991" i="4" s="1"/>
  <c r="C992" i="4" a="1"/>
  <c r="C992" i="4" s="1"/>
  <c r="C993" i="4" a="1"/>
  <c r="C993" i="4" s="1"/>
  <c r="C994" i="4" a="1"/>
  <c r="C994" i="4" s="1"/>
  <c r="C995" i="4" a="1"/>
  <c r="C995" i="4" s="1"/>
  <c r="C996" i="4" a="1"/>
  <c r="C996" i="4" s="1"/>
  <c r="C997" i="4" a="1"/>
  <c r="C997" i="4" s="1"/>
  <c r="C998" i="4" a="1"/>
  <c r="C998" i="4" s="1"/>
  <c r="C999" i="4" a="1"/>
  <c r="C999" i="4" s="1"/>
  <c r="C1000" i="4" a="1"/>
  <c r="C1000" i="4" s="1"/>
  <c r="C1001" i="4" a="1"/>
  <c r="C1001" i="4" s="1"/>
  <c r="C1002" i="4" a="1"/>
  <c r="C1002" i="4" s="1"/>
  <c r="C1003" i="4" a="1"/>
  <c r="C1003" i="4" s="1"/>
  <c r="C1004" i="4" a="1"/>
  <c r="C1004" i="4" s="1"/>
  <c r="C1005" i="4" a="1"/>
  <c r="C1005" i="4" s="1"/>
  <c r="C29" i="4" a="1"/>
  <c r="C29" i="4" s="1"/>
  <c r="G23" i="4"/>
  <c r="G31" i="4"/>
  <c r="G30" i="4"/>
  <c r="G28" i="4"/>
  <c r="F26" i="4" a="1"/>
  <c r="F26" i="4" s="1"/>
  <c r="F31" i="4" a="1"/>
  <c r="F31" i="4" s="1"/>
  <c r="F30" i="4" a="1"/>
  <c r="F30" i="4" s="1"/>
  <c r="F28" i="4" a="1"/>
  <c r="F28" i="4" s="1"/>
  <c r="L19" i="4" a="1"/>
  <c r="L19" i="4" s="1"/>
  <c r="H7" i="1"/>
  <c r="H8" i="1" s="1"/>
  <c r="H6" i="1"/>
  <c r="AE11" i="4" a="1"/>
  <c r="AE11" i="4" s="1"/>
  <c r="L15" i="4" a="1"/>
  <c r="L15" i="4" s="1"/>
  <c r="L16" i="4" a="1"/>
  <c r="L16" i="4" s="1"/>
  <c r="L17" i="4" a="1"/>
  <c r="L17" i="4" s="1"/>
  <c r="L18" i="4" a="1"/>
  <c r="L18" i="4" s="1"/>
  <c r="C15" i="4" a="1"/>
  <c r="C15" i="4" s="1"/>
  <c r="C16" i="4" a="1"/>
  <c r="C16" i="4" s="1"/>
  <c r="C17" i="4" a="1"/>
  <c r="C17" i="4" s="1"/>
  <c r="C18" i="4" a="1"/>
  <c r="C18" i="4" s="1"/>
  <c r="C19" i="4" a="1"/>
  <c r="C19" i="4" s="1"/>
  <c r="C20" i="4" a="1"/>
  <c r="C20" i="4" s="1"/>
  <c r="F15" i="4" a="1"/>
  <c r="F15" i="4" s="1"/>
  <c r="F16" i="4" a="1"/>
  <c r="F16" i="4" s="1"/>
  <c r="F17" i="4" a="1"/>
  <c r="F17" i="4" s="1"/>
  <c r="F18" i="4" a="1"/>
  <c r="F18" i="4" s="1"/>
  <c r="F19" i="4" a="1"/>
  <c r="F19" i="4" s="1"/>
  <c r="F20" i="4" a="1"/>
  <c r="F20" i="4" s="1"/>
  <c r="F32" i="4" a="1"/>
  <c r="F32" i="4" s="1"/>
  <c r="G32" i="4"/>
  <c r="G26" i="4"/>
  <c r="G15" i="4"/>
  <c r="G16" i="4"/>
  <c r="G17" i="4"/>
  <c r="G18" i="4"/>
  <c r="G19" i="4"/>
  <c r="G29" i="4"/>
  <c r="AB14" i="4" a="1"/>
  <c r="AB14" i="4" s="1"/>
  <c r="N6" i="6" a="1"/>
  <c r="D18" i="2" l="1" a="1"/>
  <c r="D18" i="2" s="1"/>
  <c r="D27" i="2" a="1"/>
  <c r="D27" i="2" s="1"/>
  <c r="D32" i="2" a="1"/>
  <c r="D32" i="2" s="1"/>
  <c r="D41" i="2" a="1"/>
  <c r="D41" i="2" s="1"/>
  <c r="D50" i="2" a="1"/>
  <c r="D50" i="2" s="1"/>
  <c r="D59" i="2" a="1"/>
  <c r="D59" i="2" s="1"/>
  <c r="D64" i="2" a="1"/>
  <c r="D64" i="2" s="1"/>
  <c r="D73" i="2" a="1"/>
  <c r="D73" i="2" s="1"/>
  <c r="D82" i="2" a="1"/>
  <c r="D82" i="2" s="1"/>
  <c r="D91" i="2" a="1"/>
  <c r="D91" i="2" s="1"/>
  <c r="D96" i="2" a="1"/>
  <c r="D96" i="2" s="1"/>
  <c r="D105" i="2" a="1"/>
  <c r="D105" i="2" s="1"/>
  <c r="D114" i="2" a="1"/>
  <c r="D114" i="2" s="1"/>
  <c r="D123" i="2" a="1"/>
  <c r="D123" i="2" s="1"/>
  <c r="D128" i="2" a="1"/>
  <c r="D128" i="2" s="1"/>
  <c r="D137" i="2" a="1"/>
  <c r="D137" i="2" s="1"/>
  <c r="D146" i="2" a="1"/>
  <c r="D146" i="2" s="1"/>
  <c r="D155" i="2" a="1"/>
  <c r="D155" i="2" s="1"/>
  <c r="D160" i="2" a="1"/>
  <c r="D160" i="2" s="1"/>
  <c r="D169" i="2" a="1"/>
  <c r="D169" i="2" s="1"/>
  <c r="D178" i="2" a="1"/>
  <c r="D178" i="2" s="1"/>
  <c r="D187" i="2" a="1"/>
  <c r="D187" i="2" s="1"/>
  <c r="D192" i="2" a="1"/>
  <c r="D192" i="2" s="1"/>
  <c r="D201" i="2" a="1"/>
  <c r="D201" i="2" s="1"/>
  <c r="D210" i="2" a="1"/>
  <c r="D210" i="2" s="1"/>
  <c r="D219" i="2" a="1"/>
  <c r="D219" i="2" s="1"/>
  <c r="D224" i="2" a="1"/>
  <c r="D224" i="2" s="1"/>
  <c r="D233" i="2" a="1"/>
  <c r="D233" i="2" s="1"/>
  <c r="D242" i="2" a="1"/>
  <c r="D242" i="2" s="1"/>
  <c r="D251" i="2" a="1"/>
  <c r="D251" i="2" s="1"/>
  <c r="D256" i="2" a="1"/>
  <c r="D256" i="2" s="1"/>
  <c r="D265" i="2" a="1"/>
  <c r="D265" i="2" s="1"/>
  <c r="D274" i="2" a="1"/>
  <c r="D274" i="2" s="1"/>
  <c r="D283" i="2" a="1"/>
  <c r="D283" i="2" s="1"/>
  <c r="D288" i="2" a="1"/>
  <c r="D288" i="2" s="1"/>
  <c r="D297" i="2" a="1"/>
  <c r="D297" i="2" s="1"/>
  <c r="D306" i="2" a="1"/>
  <c r="D306" i="2" s="1"/>
  <c r="D315" i="2" a="1"/>
  <c r="D315" i="2" s="1"/>
  <c r="D320" i="2" a="1"/>
  <c r="D320" i="2" s="1"/>
  <c r="D329" i="2" a="1"/>
  <c r="D329" i="2" s="1"/>
  <c r="D338" i="2" a="1"/>
  <c r="D338" i="2" s="1"/>
  <c r="D14" i="2" a="1"/>
  <c r="D14" i="2" s="1"/>
  <c r="D23" i="2" a="1"/>
  <c r="D23" i="2" s="1"/>
  <c r="D28" i="2" a="1"/>
  <c r="D28" i="2" s="1"/>
  <c r="D37" i="2" a="1"/>
  <c r="D37" i="2" s="1"/>
  <c r="D46" i="2" a="1"/>
  <c r="D46" i="2" s="1"/>
  <c r="D55" i="2" a="1"/>
  <c r="D55" i="2" s="1"/>
  <c r="D60" i="2" a="1"/>
  <c r="D60" i="2" s="1"/>
  <c r="D69" i="2" a="1"/>
  <c r="D69" i="2" s="1"/>
  <c r="D78" i="2" a="1"/>
  <c r="D78" i="2" s="1"/>
  <c r="D87" i="2" a="1"/>
  <c r="D87" i="2" s="1"/>
  <c r="D92" i="2" a="1"/>
  <c r="D92" i="2" s="1"/>
  <c r="D101" i="2" a="1"/>
  <c r="D101" i="2" s="1"/>
  <c r="D110" i="2" a="1"/>
  <c r="D110" i="2" s="1"/>
  <c r="D119" i="2" a="1"/>
  <c r="D119" i="2" s="1"/>
  <c r="D124" i="2" a="1"/>
  <c r="D124" i="2" s="1"/>
  <c r="D133" i="2" a="1"/>
  <c r="D133" i="2" s="1"/>
  <c r="D142" i="2" a="1"/>
  <c r="D142" i="2" s="1"/>
  <c r="D151" i="2" a="1"/>
  <c r="D151" i="2" s="1"/>
  <c r="D156" i="2" a="1"/>
  <c r="D156" i="2" s="1"/>
  <c r="D165" i="2" a="1"/>
  <c r="D165" i="2" s="1"/>
  <c r="D174" i="2" a="1"/>
  <c r="D174" i="2" s="1"/>
  <c r="D183" i="2" a="1"/>
  <c r="D183" i="2" s="1"/>
  <c r="D188" i="2" a="1"/>
  <c r="D188" i="2" s="1"/>
  <c r="D197" i="2" a="1"/>
  <c r="D197" i="2" s="1"/>
  <c r="D206" i="2" a="1"/>
  <c r="D206" i="2" s="1"/>
  <c r="D215" i="2" a="1"/>
  <c r="D215" i="2" s="1"/>
  <c r="D220" i="2" a="1"/>
  <c r="D220" i="2" s="1"/>
  <c r="D19" i="2" a="1"/>
  <c r="D19" i="2" s="1"/>
  <c r="D24" i="2" a="1"/>
  <c r="D24" i="2" s="1"/>
  <c r="D33" i="2" a="1"/>
  <c r="D33" i="2" s="1"/>
  <c r="D42" i="2" a="1"/>
  <c r="D42" i="2" s="1"/>
  <c r="D51" i="2" a="1"/>
  <c r="D51" i="2" s="1"/>
  <c r="D56" i="2" a="1"/>
  <c r="D56" i="2" s="1"/>
  <c r="D65" i="2" a="1"/>
  <c r="D65" i="2" s="1"/>
  <c r="D74" i="2" a="1"/>
  <c r="D74" i="2" s="1"/>
  <c r="D83" i="2" a="1"/>
  <c r="D83" i="2" s="1"/>
  <c r="D88" i="2" a="1"/>
  <c r="D88" i="2" s="1"/>
  <c r="D97" i="2" a="1"/>
  <c r="D97" i="2" s="1"/>
  <c r="D106" i="2" a="1"/>
  <c r="D106" i="2" s="1"/>
  <c r="D115" i="2" a="1"/>
  <c r="D115" i="2" s="1"/>
  <c r="D120" i="2" a="1"/>
  <c r="D120" i="2" s="1"/>
  <c r="D129" i="2" a="1"/>
  <c r="D129" i="2" s="1"/>
  <c r="D138" i="2" a="1"/>
  <c r="D138" i="2" s="1"/>
  <c r="D147" i="2" a="1"/>
  <c r="D147" i="2" s="1"/>
  <c r="D152" i="2" a="1"/>
  <c r="D152" i="2" s="1"/>
  <c r="D161" i="2" a="1"/>
  <c r="D161" i="2" s="1"/>
  <c r="D170" i="2" a="1"/>
  <c r="D170" i="2" s="1"/>
  <c r="D179" i="2" a="1"/>
  <c r="D179" i="2" s="1"/>
  <c r="D184" i="2" a="1"/>
  <c r="D184" i="2" s="1"/>
  <c r="D193" i="2" a="1"/>
  <c r="D193" i="2" s="1"/>
  <c r="D202" i="2" a="1"/>
  <c r="D202" i="2" s="1"/>
  <c r="D15" i="2" a="1"/>
  <c r="D15" i="2" s="1"/>
  <c r="D20" i="2" a="1"/>
  <c r="D20" i="2" s="1"/>
  <c r="D29" i="2" a="1"/>
  <c r="D29" i="2" s="1"/>
  <c r="D38" i="2" a="1"/>
  <c r="D38" i="2" s="1"/>
  <c r="D47" i="2" a="1"/>
  <c r="D47" i="2" s="1"/>
  <c r="D52" i="2" a="1"/>
  <c r="D52" i="2" s="1"/>
  <c r="D61" i="2" a="1"/>
  <c r="D61" i="2" s="1"/>
  <c r="D70" i="2" a="1"/>
  <c r="D70" i="2" s="1"/>
  <c r="D79" i="2" a="1"/>
  <c r="D79" i="2" s="1"/>
  <c r="D84" i="2" a="1"/>
  <c r="D84" i="2" s="1"/>
  <c r="D93" i="2" a="1"/>
  <c r="D93" i="2" s="1"/>
  <c r="D102" i="2" a="1"/>
  <c r="D102" i="2" s="1"/>
  <c r="D111" i="2" a="1"/>
  <c r="D111" i="2" s="1"/>
  <c r="D116" i="2" a="1"/>
  <c r="D116" i="2" s="1"/>
  <c r="D125" i="2" a="1"/>
  <c r="D125" i="2" s="1"/>
  <c r="D134" i="2" a="1"/>
  <c r="D134" i="2" s="1"/>
  <c r="D143" i="2" a="1"/>
  <c r="D143" i="2" s="1"/>
  <c r="D148" i="2" a="1"/>
  <c r="D148" i="2" s="1"/>
  <c r="D157" i="2" a="1"/>
  <c r="D157" i="2" s="1"/>
  <c r="D166" i="2" a="1"/>
  <c r="D166" i="2" s="1"/>
  <c r="D175" i="2" a="1"/>
  <c r="D175" i="2" s="1"/>
  <c r="D180" i="2" a="1"/>
  <c r="D180" i="2" s="1"/>
  <c r="D189" i="2" a="1"/>
  <c r="D189" i="2" s="1"/>
  <c r="D198" i="2" a="1"/>
  <c r="D198" i="2" s="1"/>
  <c r="D207" i="2" a="1"/>
  <c r="D207" i="2" s="1"/>
  <c r="D16" i="2" a="1"/>
  <c r="D16" i="2" s="1"/>
  <c r="D25" i="2" a="1"/>
  <c r="D25" i="2" s="1"/>
  <c r="D34" i="2" a="1"/>
  <c r="D34" i="2" s="1"/>
  <c r="D43" i="2" a="1"/>
  <c r="D43" i="2" s="1"/>
  <c r="D48" i="2" a="1"/>
  <c r="D48" i="2" s="1"/>
  <c r="D57" i="2" a="1"/>
  <c r="D57" i="2" s="1"/>
  <c r="D66" i="2" a="1"/>
  <c r="D66" i="2" s="1"/>
  <c r="D75" i="2" a="1"/>
  <c r="D75" i="2" s="1"/>
  <c r="D80" i="2" a="1"/>
  <c r="D80" i="2" s="1"/>
  <c r="D89" i="2" a="1"/>
  <c r="D89" i="2" s="1"/>
  <c r="D98" i="2" a="1"/>
  <c r="D98" i="2" s="1"/>
  <c r="D107" i="2" a="1"/>
  <c r="D107" i="2" s="1"/>
  <c r="D112" i="2" a="1"/>
  <c r="D112" i="2" s="1"/>
  <c r="D121" i="2" a="1"/>
  <c r="D121" i="2" s="1"/>
  <c r="D130" i="2" a="1"/>
  <c r="D130" i="2" s="1"/>
  <c r="D139" i="2" a="1"/>
  <c r="D139" i="2" s="1"/>
  <c r="D144" i="2" a="1"/>
  <c r="D144" i="2" s="1"/>
  <c r="D153" i="2" a="1"/>
  <c r="D153" i="2" s="1"/>
  <c r="D162" i="2" a="1"/>
  <c r="D162" i="2" s="1"/>
  <c r="D171" i="2" a="1"/>
  <c r="D171" i="2" s="1"/>
  <c r="D176" i="2" a="1"/>
  <c r="D176" i="2" s="1"/>
  <c r="D185" i="2" a="1"/>
  <c r="D185" i="2" s="1"/>
  <c r="D194" i="2" a="1"/>
  <c r="D194" i="2" s="1"/>
  <c r="D203" i="2" a="1"/>
  <c r="D203" i="2" s="1"/>
  <c r="D208" i="2" a="1"/>
  <c r="D208" i="2" s="1"/>
  <c r="D217" i="2" a="1"/>
  <c r="D217" i="2" s="1"/>
  <c r="D226" i="2" a="1"/>
  <c r="D226" i="2" s="1"/>
  <c r="D13" i="2" a="1"/>
  <c r="D13" i="2" s="1"/>
  <c r="D22" i="2" a="1"/>
  <c r="D22" i="2" s="1"/>
  <c r="D31" i="2" a="1"/>
  <c r="D31" i="2" s="1"/>
  <c r="D36" i="2" a="1"/>
  <c r="D36" i="2" s="1"/>
  <c r="D45" i="2" a="1"/>
  <c r="D45" i="2" s="1"/>
  <c r="D54" i="2" a="1"/>
  <c r="D54" i="2" s="1"/>
  <c r="D63" i="2" a="1"/>
  <c r="D63" i="2" s="1"/>
  <c r="D68" i="2" a="1"/>
  <c r="D68" i="2" s="1"/>
  <c r="D77" i="2" a="1"/>
  <c r="D77" i="2" s="1"/>
  <c r="D86" i="2" a="1"/>
  <c r="D86" i="2" s="1"/>
  <c r="D95" i="2" a="1"/>
  <c r="D95" i="2" s="1"/>
  <c r="D100" i="2" a="1"/>
  <c r="D100" i="2" s="1"/>
  <c r="D109" i="2" a="1"/>
  <c r="D109" i="2" s="1"/>
  <c r="D118" i="2" a="1"/>
  <c r="D118" i="2" s="1"/>
  <c r="D127" i="2" a="1"/>
  <c r="D127" i="2" s="1"/>
  <c r="D132" i="2" a="1"/>
  <c r="D132" i="2" s="1"/>
  <c r="D141" i="2" a="1"/>
  <c r="D141" i="2" s="1"/>
  <c r="D150" i="2" a="1"/>
  <c r="D150" i="2" s="1"/>
  <c r="D159" i="2" a="1"/>
  <c r="D159" i="2" s="1"/>
  <c r="D164" i="2" a="1"/>
  <c r="D164" i="2" s="1"/>
  <c r="D173" i="2" a="1"/>
  <c r="D173" i="2" s="1"/>
  <c r="D182" i="2" a="1"/>
  <c r="D182" i="2" s="1"/>
  <c r="D191" i="2" a="1"/>
  <c r="D191" i="2" s="1"/>
  <c r="D196" i="2" a="1"/>
  <c r="D196" i="2" s="1"/>
  <c r="D205" i="2" a="1"/>
  <c r="D205" i="2" s="1"/>
  <c r="D214" i="2" a="1"/>
  <c r="D214" i="2" s="1"/>
  <c r="D223" i="2" a="1"/>
  <c r="D223" i="2" s="1"/>
  <c r="D228" i="2" a="1"/>
  <c r="D228" i="2" s="1"/>
  <c r="D237" i="2" a="1"/>
  <c r="D237" i="2" s="1"/>
  <c r="D246" i="2" a="1"/>
  <c r="D246" i="2" s="1"/>
  <c r="D255" i="2" a="1"/>
  <c r="D255" i="2" s="1"/>
  <c r="D260" i="2" a="1"/>
  <c r="D260" i="2" s="1"/>
  <c r="D269" i="2" a="1"/>
  <c r="D269" i="2" s="1"/>
  <c r="D278" i="2" a="1"/>
  <c r="D278" i="2" s="1"/>
  <c r="D287" i="2" a="1"/>
  <c r="D287" i="2" s="1"/>
  <c r="D292" i="2" a="1"/>
  <c r="D292" i="2" s="1"/>
  <c r="D301" i="2" a="1"/>
  <c r="D301" i="2" s="1"/>
  <c r="D310" i="2" a="1"/>
  <c r="D310" i="2" s="1"/>
  <c r="D319" i="2" a="1"/>
  <c r="D319" i="2" s="1"/>
  <c r="D324" i="2" a="1"/>
  <c r="D324" i="2" s="1"/>
  <c r="D333" i="2" a="1"/>
  <c r="D333" i="2" s="1"/>
  <c r="D342" i="2" a="1"/>
  <c r="D342" i="2" s="1"/>
  <c r="D346" i="2" a="1"/>
  <c r="D346" i="2" s="1"/>
  <c r="D350" i="2" a="1"/>
  <c r="D350" i="2" s="1"/>
  <c r="D44" i="2" a="1"/>
  <c r="D44" i="2" s="1"/>
  <c r="D62" i="2" a="1"/>
  <c r="D62" i="2" s="1"/>
  <c r="D117" i="2" a="1"/>
  <c r="D117" i="2" s="1"/>
  <c r="D135" i="2" a="1"/>
  <c r="D135" i="2" s="1"/>
  <c r="D172" i="2" a="1"/>
  <c r="D172" i="2" s="1"/>
  <c r="D190" i="2" a="1"/>
  <c r="D190" i="2" s="1"/>
  <c r="D225" i="2" a="1"/>
  <c r="D225" i="2" s="1"/>
  <c r="D231" i="2" a="1"/>
  <c r="D231" i="2" s="1"/>
  <c r="D238" i="2" a="1"/>
  <c r="D238" i="2" s="1"/>
  <c r="D244" i="2" a="1"/>
  <c r="D244" i="2" s="1"/>
  <c r="D262" i="2" a="1"/>
  <c r="D262" i="2" s="1"/>
  <c r="D268" i="2" a="1"/>
  <c r="D268" i="2" s="1"/>
  <c r="D286" i="2" a="1"/>
  <c r="D286" i="2" s="1"/>
  <c r="D293" i="2" a="1"/>
  <c r="D293" i="2" s="1"/>
  <c r="D311" i="2" a="1"/>
  <c r="D311" i="2" s="1"/>
  <c r="D317" i="2" a="1"/>
  <c r="D317" i="2" s="1"/>
  <c r="D335" i="2" a="1"/>
  <c r="D335" i="2" s="1"/>
  <c r="D341" i="2" a="1"/>
  <c r="D341" i="2" s="1"/>
  <c r="D347" i="2" a="1"/>
  <c r="D347" i="2" s="1"/>
  <c r="D352" i="2" a="1"/>
  <c r="D352" i="2" s="1"/>
  <c r="D361" i="2" a="1"/>
  <c r="D361" i="2" s="1"/>
  <c r="D26" i="2" a="1"/>
  <c r="D26" i="2" s="1"/>
  <c r="D81" i="2" a="1"/>
  <c r="D81" i="2" s="1"/>
  <c r="D99" i="2" a="1"/>
  <c r="D99" i="2" s="1"/>
  <c r="D136" i="2" a="1"/>
  <c r="D136" i="2" s="1"/>
  <c r="D154" i="2" a="1"/>
  <c r="D154" i="2" s="1"/>
  <c r="D232" i="2" a="1"/>
  <c r="D232" i="2" s="1"/>
  <c r="D250" i="2" a="1"/>
  <c r="D250" i="2" s="1"/>
  <c r="D257" i="2" a="1"/>
  <c r="D257" i="2" s="1"/>
  <c r="D275" i="2" a="1"/>
  <c r="D275" i="2" s="1"/>
  <c r="D281" i="2" a="1"/>
  <c r="D281" i="2" s="1"/>
  <c r="D299" i="2" a="1"/>
  <c r="D299" i="2" s="1"/>
  <c r="D305" i="2" a="1"/>
  <c r="D305" i="2" s="1"/>
  <c r="D312" i="2" a="1"/>
  <c r="D312" i="2" s="1"/>
  <c r="D323" i="2" a="1"/>
  <c r="D323" i="2" s="1"/>
  <c r="D330" i="2" a="1"/>
  <c r="D330" i="2" s="1"/>
  <c r="D336" i="2" a="1"/>
  <c r="D336" i="2" s="1"/>
  <c r="D357" i="2" a="1"/>
  <c r="D357" i="2" s="1"/>
  <c r="D366" i="2" a="1"/>
  <c r="D366" i="2" s="1"/>
  <c r="D371" i="2" a="1"/>
  <c r="D371" i="2" s="1"/>
  <c r="D380" i="2" a="1"/>
  <c r="D380" i="2" s="1"/>
  <c r="D30" i="2" a="1"/>
  <c r="D30" i="2" s="1"/>
  <c r="D85" i="2" a="1"/>
  <c r="D85" i="2" s="1"/>
  <c r="D103" i="2" a="1"/>
  <c r="D103" i="2" s="1"/>
  <c r="D140" i="2" a="1"/>
  <c r="D140" i="2" s="1"/>
  <c r="D158" i="2" a="1"/>
  <c r="D158" i="2" s="1"/>
  <c r="D209" i="2" a="1"/>
  <c r="D209" i="2" s="1"/>
  <c r="D218" i="2" a="1"/>
  <c r="D218" i="2" s="1"/>
  <c r="D239" i="2" a="1"/>
  <c r="D239" i="2" s="1"/>
  <c r="D245" i="2" a="1"/>
  <c r="D245" i="2" s="1"/>
  <c r="D252" i="2" a="1"/>
  <c r="D252" i="2" s="1"/>
  <c r="D263" i="2" a="1"/>
  <c r="D263" i="2" s="1"/>
  <c r="D270" i="2" a="1"/>
  <c r="D270" i="2" s="1"/>
  <c r="D276" i="2" a="1"/>
  <c r="D276" i="2" s="1"/>
  <c r="D294" i="2" a="1"/>
  <c r="D294" i="2" s="1"/>
  <c r="D300" i="2" a="1"/>
  <c r="D300" i="2" s="1"/>
  <c r="D318" i="2" a="1"/>
  <c r="D318" i="2" s="1"/>
  <c r="D325" i="2" a="1"/>
  <c r="D325" i="2" s="1"/>
  <c r="D343" i="2" a="1"/>
  <c r="D343" i="2" s="1"/>
  <c r="D348" i="2" a="1"/>
  <c r="D348" i="2" s="1"/>
  <c r="D353" i="2" a="1"/>
  <c r="D353" i="2" s="1"/>
  <c r="D362" i="2" a="1"/>
  <c r="D362" i="2" s="1"/>
  <c r="D49" i="2" a="1"/>
  <c r="D49" i="2" s="1"/>
  <c r="D67" i="2" a="1"/>
  <c r="D67" i="2" s="1"/>
  <c r="D104" i="2" a="1"/>
  <c r="D104" i="2" s="1"/>
  <c r="D122" i="2" a="1"/>
  <c r="D122" i="2" s="1"/>
  <c r="D177" i="2" a="1"/>
  <c r="D177" i="2" s="1"/>
  <c r="D195" i="2" a="1"/>
  <c r="D195" i="2" s="1"/>
  <c r="D211" i="2" a="1"/>
  <c r="D211" i="2" s="1"/>
  <c r="D227" i="2" a="1"/>
  <c r="D227" i="2" s="1"/>
  <c r="D234" i="2" a="1"/>
  <c r="D234" i="2" s="1"/>
  <c r="D240" i="2" a="1"/>
  <c r="D240" i="2" s="1"/>
  <c r="D258" i="2" a="1"/>
  <c r="D258" i="2" s="1"/>
  <c r="D264" i="2" a="1"/>
  <c r="D264" i="2" s="1"/>
  <c r="D282" i="2" a="1"/>
  <c r="D282" i="2" s="1"/>
  <c r="D289" i="2" a="1"/>
  <c r="D289" i="2" s="1"/>
  <c r="D307" i="2" a="1"/>
  <c r="D307" i="2" s="1"/>
  <c r="D313" i="2" a="1"/>
  <c r="D313" i="2" s="1"/>
  <c r="D331" i="2" a="1"/>
  <c r="D331" i="2" s="1"/>
  <c r="D337" i="2" a="1"/>
  <c r="D337" i="2" s="1"/>
  <c r="D358" i="2" a="1"/>
  <c r="D358" i="2" s="1"/>
  <c r="D363" i="2" a="1"/>
  <c r="D363" i="2" s="1"/>
  <c r="D53" i="2" a="1"/>
  <c r="D53" i="2" s="1"/>
  <c r="D71" i="2" a="1"/>
  <c r="D71" i="2" s="1"/>
  <c r="D108" i="2" a="1"/>
  <c r="D108" i="2" s="1"/>
  <c r="D126" i="2" a="1"/>
  <c r="D126" i="2" s="1"/>
  <c r="D181" i="2" a="1"/>
  <c r="D181" i="2" s="1"/>
  <c r="D199" i="2" a="1"/>
  <c r="D199" i="2" s="1"/>
  <c r="D212" i="2" a="1"/>
  <c r="D212" i="2" s="1"/>
  <c r="D221" i="2" a="1"/>
  <c r="D221" i="2" s="1"/>
  <c r="D229" i="2" a="1"/>
  <c r="D229" i="2" s="1"/>
  <c r="D247" i="2" a="1"/>
  <c r="D247" i="2" s="1"/>
  <c r="D17" i="2" a="1"/>
  <c r="D17" i="2" s="1"/>
  <c r="D35" i="2" a="1"/>
  <c r="D35" i="2" s="1"/>
  <c r="D72" i="2" a="1"/>
  <c r="D72" i="2" s="1"/>
  <c r="D90" i="2" a="1"/>
  <c r="D90" i="2" s="1"/>
  <c r="D145" i="2" a="1"/>
  <c r="D145" i="2" s="1"/>
  <c r="D163" i="2" a="1"/>
  <c r="D163" i="2" s="1"/>
  <c r="D200" i="2" a="1"/>
  <c r="D200" i="2" s="1"/>
  <c r="D213" i="2" a="1"/>
  <c r="D213" i="2" s="1"/>
  <c r="D222" i="2" a="1"/>
  <c r="D222" i="2" s="1"/>
  <c r="D235" i="2" a="1"/>
  <c r="D235" i="2" s="1"/>
  <c r="D241" i="2" a="1"/>
  <c r="D241" i="2" s="1"/>
  <c r="D248" i="2" a="1"/>
  <c r="D248" i="2" s="1"/>
  <c r="D259" i="2" a="1"/>
  <c r="D259" i="2" s="1"/>
  <c r="D266" i="2" a="1"/>
  <c r="D266" i="2" s="1"/>
  <c r="D272" i="2" a="1"/>
  <c r="D272" i="2" s="1"/>
  <c r="D290" i="2" a="1"/>
  <c r="D290" i="2" s="1"/>
  <c r="D296" i="2" a="1"/>
  <c r="D296" i="2" s="1"/>
  <c r="D314" i="2" a="1"/>
  <c r="D314" i="2" s="1"/>
  <c r="D321" i="2" a="1"/>
  <c r="D321" i="2" s="1"/>
  <c r="D339" i="2" a="1"/>
  <c r="D339" i="2" s="1"/>
  <c r="D355" i="2" a="1"/>
  <c r="D355" i="2" s="1"/>
  <c r="D364" i="2" a="1"/>
  <c r="D364" i="2" s="1"/>
  <c r="D21" i="2" a="1"/>
  <c r="D21" i="2" s="1"/>
  <c r="D39" i="2" a="1"/>
  <c r="D39" i="2" s="1"/>
  <c r="D76" i="2" a="1"/>
  <c r="D76" i="2" s="1"/>
  <c r="D94" i="2" a="1"/>
  <c r="D94" i="2" s="1"/>
  <c r="D149" i="2" a="1"/>
  <c r="D149" i="2" s="1"/>
  <c r="D167" i="2" a="1"/>
  <c r="D167" i="2" s="1"/>
  <c r="D204" i="2" a="1"/>
  <c r="D204" i="2" s="1"/>
  <c r="D230" i="2" a="1"/>
  <c r="D230" i="2" s="1"/>
  <c r="D236" i="2" a="1"/>
  <c r="D236" i="2" s="1"/>
  <c r="D254" i="2" a="1"/>
  <c r="D254" i="2" s="1"/>
  <c r="D261" i="2" a="1"/>
  <c r="D261" i="2" s="1"/>
  <c r="D279" i="2" a="1"/>
  <c r="D279" i="2" s="1"/>
  <c r="D285" i="2" a="1"/>
  <c r="D285" i="2" s="1"/>
  <c r="D303" i="2" a="1"/>
  <c r="D303" i="2" s="1"/>
  <c r="D309" i="2" a="1"/>
  <c r="D309" i="2" s="1"/>
  <c r="D316" i="2" a="1"/>
  <c r="D316" i="2" s="1"/>
  <c r="D327" i="2" a="1"/>
  <c r="D327" i="2" s="1"/>
  <c r="D334" i="2" a="1"/>
  <c r="D334" i="2" s="1"/>
  <c r="D340" i="2" a="1"/>
  <c r="D340" i="2" s="1"/>
  <c r="D345" i="2" a="1"/>
  <c r="D345" i="2" s="1"/>
  <c r="D351" i="2" a="1"/>
  <c r="D351" i="2" s="1"/>
  <c r="D360" i="2" a="1"/>
  <c r="D360" i="2" s="1"/>
  <c r="D369" i="2" a="1"/>
  <c r="D369" i="2" s="1"/>
  <c r="D40" i="2" a="1"/>
  <c r="D40" i="2" s="1"/>
  <c r="D58" i="2" a="1"/>
  <c r="D58" i="2" s="1"/>
  <c r="D113" i="2" a="1"/>
  <c r="D113" i="2" s="1"/>
  <c r="D131" i="2" a="1"/>
  <c r="D131" i="2" s="1"/>
  <c r="D168" i="2" a="1"/>
  <c r="D168" i="2" s="1"/>
  <c r="D186" i="2" a="1"/>
  <c r="D186" i="2" s="1"/>
  <c r="D216" i="2" a="1"/>
  <c r="D216" i="2" s="1"/>
  <c r="D243" i="2" a="1"/>
  <c r="D243" i="2" s="1"/>
  <c r="D249" i="2" a="1"/>
  <c r="D249" i="2" s="1"/>
  <c r="D267" i="2" a="1"/>
  <c r="D267" i="2" s="1"/>
  <c r="D273" i="2" a="1"/>
  <c r="D273" i="2" s="1"/>
  <c r="D280" i="2" a="1"/>
  <c r="D280" i="2" s="1"/>
  <c r="D291" i="2" a="1"/>
  <c r="D291" i="2" s="1"/>
  <c r="D298" i="2" a="1"/>
  <c r="D298" i="2" s="1"/>
  <c r="D304" i="2" a="1"/>
  <c r="D304" i="2" s="1"/>
  <c r="D322" i="2" a="1"/>
  <c r="D322" i="2" s="1"/>
  <c r="D328" i="2" a="1"/>
  <c r="D328" i="2" s="1"/>
  <c r="D356" i="2" a="1"/>
  <c r="D356" i="2" s="1"/>
  <c r="D365" i="2" a="1"/>
  <c r="D365" i="2" s="1"/>
  <c r="D374" i="2" a="1"/>
  <c r="D374" i="2" s="1"/>
  <c r="D253" i="2" a="1"/>
  <c r="D253" i="2" s="1"/>
  <c r="D302" i="2" a="1"/>
  <c r="D302" i="2" s="1"/>
  <c r="D349" i="2" a="1"/>
  <c r="D349" i="2" s="1"/>
  <c r="D376" i="2" a="1"/>
  <c r="D376" i="2" s="1"/>
  <c r="D381" i="2" a="1"/>
  <c r="D381" i="2" s="1"/>
  <c r="D386" i="2" a="1"/>
  <c r="D386" i="2" s="1"/>
  <c r="D395" i="2" a="1"/>
  <c r="D395" i="2" s="1"/>
  <c r="D404" i="2" a="1"/>
  <c r="D404" i="2" s="1"/>
  <c r="D409" i="2" a="1"/>
  <c r="D409" i="2" s="1"/>
  <c r="D418" i="2" a="1"/>
  <c r="D418" i="2" s="1"/>
  <c r="D427" i="2" a="1"/>
  <c r="D427" i="2" s="1"/>
  <c r="D436" i="2" a="1"/>
  <c r="D436" i="2" s="1"/>
  <c r="D441" i="2" a="1"/>
  <c r="D441" i="2" s="1"/>
  <c r="D450" i="2" a="1"/>
  <c r="D450" i="2" s="1"/>
  <c r="D459" i="2" a="1"/>
  <c r="D459" i="2" s="1"/>
  <c r="D468" i="2" a="1"/>
  <c r="D468" i="2" s="1"/>
  <c r="D473" i="2" a="1"/>
  <c r="D473" i="2" s="1"/>
  <c r="D482" i="2" a="1"/>
  <c r="D482" i="2" s="1"/>
  <c r="D491" i="2" a="1"/>
  <c r="D491" i="2" s="1"/>
  <c r="D500" i="2" a="1"/>
  <c r="D500" i="2" s="1"/>
  <c r="D505" i="2" a="1"/>
  <c r="D505" i="2" s="1"/>
  <c r="D514" i="2" a="1"/>
  <c r="D514" i="2" s="1"/>
  <c r="D523" i="2" a="1"/>
  <c r="D523" i="2" s="1"/>
  <c r="D532" i="2" a="1"/>
  <c r="D532" i="2" s="1"/>
  <c r="D537" i="2" a="1"/>
  <c r="D537" i="2" s="1"/>
  <c r="D546" i="2" a="1"/>
  <c r="D546" i="2" s="1"/>
  <c r="D555" i="2" a="1"/>
  <c r="D555" i="2" s="1"/>
  <c r="D564" i="2" a="1"/>
  <c r="D564" i="2" s="1"/>
  <c r="D569" i="2" a="1"/>
  <c r="D569" i="2" s="1"/>
  <c r="D578" i="2" a="1"/>
  <c r="D578" i="2" s="1"/>
  <c r="D587" i="2" a="1"/>
  <c r="D587" i="2" s="1"/>
  <c r="D596" i="2" a="1"/>
  <c r="D596" i="2" s="1"/>
  <c r="D601" i="2" a="1"/>
  <c r="D601" i="2" s="1"/>
  <c r="D610" i="2" a="1"/>
  <c r="D610" i="2" s="1"/>
  <c r="D619" i="2" a="1"/>
  <c r="D619" i="2" s="1"/>
  <c r="D628" i="2" a="1"/>
  <c r="D628" i="2" s="1"/>
  <c r="D633" i="2" a="1"/>
  <c r="D633" i="2" s="1"/>
  <c r="D642" i="2" a="1"/>
  <c r="D642" i="2" s="1"/>
  <c r="D651" i="2" a="1"/>
  <c r="D651" i="2" s="1"/>
  <c r="D660" i="2" a="1"/>
  <c r="D660" i="2" s="1"/>
  <c r="D665" i="2" a="1"/>
  <c r="D665" i="2" s="1"/>
  <c r="D674" i="2" a="1"/>
  <c r="D674" i="2" s="1"/>
  <c r="D683" i="2" a="1"/>
  <c r="D683" i="2" s="1"/>
  <c r="D692" i="2" a="1"/>
  <c r="D692" i="2" s="1"/>
  <c r="D697" i="2" a="1"/>
  <c r="D697" i="2" s="1"/>
  <c r="D706" i="2" a="1"/>
  <c r="D706" i="2" s="1"/>
  <c r="D308" i="2" a="1"/>
  <c r="D308" i="2" s="1"/>
  <c r="D354" i="2" a="1"/>
  <c r="D354" i="2" s="1"/>
  <c r="D370" i="2" a="1"/>
  <c r="D370" i="2" s="1"/>
  <c r="D391" i="2" a="1"/>
  <c r="D391" i="2" s="1"/>
  <c r="D400" i="2" a="1"/>
  <c r="D400" i="2" s="1"/>
  <c r="D405" i="2" a="1"/>
  <c r="D405" i="2" s="1"/>
  <c r="D414" i="2" a="1"/>
  <c r="D414" i="2" s="1"/>
  <c r="D423" i="2" a="1"/>
  <c r="D423" i="2" s="1"/>
  <c r="D432" i="2" a="1"/>
  <c r="D432" i="2" s="1"/>
  <c r="D437" i="2" a="1"/>
  <c r="D437" i="2" s="1"/>
  <c r="D446" i="2" a="1"/>
  <c r="D446" i="2" s="1"/>
  <c r="D455" i="2" a="1"/>
  <c r="D455" i="2" s="1"/>
  <c r="D464" i="2" a="1"/>
  <c r="D464" i="2" s="1"/>
  <c r="D469" i="2" a="1"/>
  <c r="D469" i="2" s="1"/>
  <c r="D478" i="2" a="1"/>
  <c r="D478" i="2" s="1"/>
  <c r="D487" i="2" a="1"/>
  <c r="D487" i="2" s="1"/>
  <c r="D496" i="2" a="1"/>
  <c r="D496" i="2" s="1"/>
  <c r="D501" i="2" a="1"/>
  <c r="D501" i="2" s="1"/>
  <c r="D510" i="2" a="1"/>
  <c r="D510" i="2" s="1"/>
  <c r="D519" i="2" a="1"/>
  <c r="D519" i="2" s="1"/>
  <c r="D528" i="2" a="1"/>
  <c r="D528" i="2" s="1"/>
  <c r="D533" i="2" a="1"/>
  <c r="D533" i="2" s="1"/>
  <c r="D542" i="2" a="1"/>
  <c r="D542" i="2" s="1"/>
  <c r="D551" i="2" a="1"/>
  <c r="D551" i="2" s="1"/>
  <c r="D560" i="2" a="1"/>
  <c r="D560" i="2" s="1"/>
  <c r="D565" i="2" a="1"/>
  <c r="D565" i="2" s="1"/>
  <c r="D574" i="2" a="1"/>
  <c r="D574" i="2" s="1"/>
  <c r="D583" i="2" a="1"/>
  <c r="D583" i="2" s="1"/>
  <c r="D592" i="2" a="1"/>
  <c r="D592" i="2" s="1"/>
  <c r="D597" i="2" a="1"/>
  <c r="D597" i="2" s="1"/>
  <c r="D606" i="2" a="1"/>
  <c r="D606" i="2" s="1"/>
  <c r="D615" i="2" a="1"/>
  <c r="D615" i="2" s="1"/>
  <c r="D624" i="2" a="1"/>
  <c r="D624" i="2" s="1"/>
  <c r="D629" i="2" a="1"/>
  <c r="D629" i="2" s="1"/>
  <c r="D638" i="2" a="1"/>
  <c r="D638" i="2" s="1"/>
  <c r="D647" i="2" a="1"/>
  <c r="D647" i="2" s="1"/>
  <c r="D656" i="2" a="1"/>
  <c r="D656" i="2" s="1"/>
  <c r="D661" i="2" a="1"/>
  <c r="D661" i="2" s="1"/>
  <c r="D670" i="2" a="1"/>
  <c r="D670" i="2" s="1"/>
  <c r="D679" i="2" a="1"/>
  <c r="D679" i="2" s="1"/>
  <c r="D688" i="2" a="1"/>
  <c r="D688" i="2" s="1"/>
  <c r="D693" i="2" a="1"/>
  <c r="D693" i="2" s="1"/>
  <c r="D702" i="2" a="1"/>
  <c r="D702" i="2" s="1"/>
  <c r="D711" i="2" a="1"/>
  <c r="D711" i="2" s="1"/>
  <c r="D720" i="2" a="1"/>
  <c r="D720" i="2" s="1"/>
  <c r="D725" i="2" a="1"/>
  <c r="D725" i="2" s="1"/>
  <c r="D734" i="2" a="1"/>
  <c r="D734" i="2" s="1"/>
  <c r="D743" i="2" a="1"/>
  <c r="D743" i="2" s="1"/>
  <c r="D359" i="2" a="1"/>
  <c r="D359" i="2" s="1"/>
  <c r="D377" i="2" a="1"/>
  <c r="D377" i="2" s="1"/>
  <c r="D382" i="2" a="1"/>
  <c r="D382" i="2" s="1"/>
  <c r="D387" i="2" a="1"/>
  <c r="D387" i="2" s="1"/>
  <c r="D396" i="2" a="1"/>
  <c r="D396" i="2" s="1"/>
  <c r="D401" i="2" a="1"/>
  <c r="D401" i="2" s="1"/>
  <c r="D410" i="2" a="1"/>
  <c r="D410" i="2" s="1"/>
  <c r="D419" i="2" a="1"/>
  <c r="D419" i="2" s="1"/>
  <c r="D428" i="2" a="1"/>
  <c r="D428" i="2" s="1"/>
  <c r="D433" i="2" a="1"/>
  <c r="D433" i="2" s="1"/>
  <c r="D442" i="2" a="1"/>
  <c r="D442" i="2" s="1"/>
  <c r="D451" i="2" a="1"/>
  <c r="D451" i="2" s="1"/>
  <c r="D460" i="2" a="1"/>
  <c r="D460" i="2" s="1"/>
  <c r="D465" i="2" a="1"/>
  <c r="D465" i="2" s="1"/>
  <c r="D474" i="2" a="1"/>
  <c r="D474" i="2" s="1"/>
  <c r="D483" i="2" a="1"/>
  <c r="D483" i="2" s="1"/>
  <c r="D492" i="2" a="1"/>
  <c r="D492" i="2" s="1"/>
  <c r="D497" i="2" a="1"/>
  <c r="D497" i="2" s="1"/>
  <c r="D506" i="2" a="1"/>
  <c r="D506" i="2" s="1"/>
  <c r="D515" i="2" a="1"/>
  <c r="D515" i="2" s="1"/>
  <c r="D524" i="2" a="1"/>
  <c r="D524" i="2" s="1"/>
  <c r="D529" i="2" a="1"/>
  <c r="D529" i="2" s="1"/>
  <c r="D538" i="2" a="1"/>
  <c r="D538" i="2" s="1"/>
  <c r="D547" i="2" a="1"/>
  <c r="D547" i="2" s="1"/>
  <c r="D556" i="2" a="1"/>
  <c r="D556" i="2" s="1"/>
  <c r="D561" i="2" a="1"/>
  <c r="D561" i="2" s="1"/>
  <c r="D570" i="2" a="1"/>
  <c r="D570" i="2" s="1"/>
  <c r="D579" i="2" a="1"/>
  <c r="D579" i="2" s="1"/>
  <c r="D588" i="2" a="1"/>
  <c r="D588" i="2" s="1"/>
  <c r="D593" i="2" a="1"/>
  <c r="D593" i="2" s="1"/>
  <c r="D602" i="2" a="1"/>
  <c r="D602" i="2" s="1"/>
  <c r="D611" i="2" a="1"/>
  <c r="D611" i="2" s="1"/>
  <c r="D620" i="2" a="1"/>
  <c r="D620" i="2" s="1"/>
  <c r="D625" i="2" a="1"/>
  <c r="D625" i="2" s="1"/>
  <c r="D634" i="2" a="1"/>
  <c r="D634" i="2" s="1"/>
  <c r="D643" i="2" a="1"/>
  <c r="D643" i="2" s="1"/>
  <c r="D652" i="2" a="1"/>
  <c r="D652" i="2" s="1"/>
  <c r="D657" i="2" a="1"/>
  <c r="D657" i="2" s="1"/>
  <c r="D666" i="2" a="1"/>
  <c r="D666" i="2" s="1"/>
  <c r="D675" i="2" a="1"/>
  <c r="D675" i="2" s="1"/>
  <c r="D684" i="2" a="1"/>
  <c r="D684" i="2" s="1"/>
  <c r="D689" i="2" a="1"/>
  <c r="D689" i="2" s="1"/>
  <c r="D698" i="2" a="1"/>
  <c r="D698" i="2" s="1"/>
  <c r="D707" i="2" a="1"/>
  <c r="D707" i="2" s="1"/>
  <c r="D716" i="2" a="1"/>
  <c r="D716" i="2" s="1"/>
  <c r="D721" i="2" a="1"/>
  <c r="D721" i="2" s="1"/>
  <c r="D730" i="2" a="1"/>
  <c r="D730" i="2" s="1"/>
  <c r="D271" i="2" a="1"/>
  <c r="D271" i="2" s="1"/>
  <c r="D372" i="2" a="1"/>
  <c r="D372" i="2" s="1"/>
  <c r="D383" i="2" a="1"/>
  <c r="D383" i="2" s="1"/>
  <c r="D392" i="2" a="1"/>
  <c r="D392" i="2" s="1"/>
  <c r="D397" i="2" a="1"/>
  <c r="D397" i="2" s="1"/>
  <c r="D406" i="2" a="1"/>
  <c r="D406" i="2" s="1"/>
  <c r="D415" i="2" a="1"/>
  <c r="D415" i="2" s="1"/>
  <c r="D424" i="2" a="1"/>
  <c r="D424" i="2" s="1"/>
  <c r="D429" i="2" a="1"/>
  <c r="D429" i="2" s="1"/>
  <c r="D438" i="2" a="1"/>
  <c r="D438" i="2" s="1"/>
  <c r="D447" i="2" a="1"/>
  <c r="D447" i="2" s="1"/>
  <c r="D456" i="2" a="1"/>
  <c r="D456" i="2" s="1"/>
  <c r="D461" i="2" a="1"/>
  <c r="D461" i="2" s="1"/>
  <c r="D470" i="2" a="1"/>
  <c r="D470" i="2" s="1"/>
  <c r="D479" i="2" a="1"/>
  <c r="D479" i="2" s="1"/>
  <c r="D488" i="2" a="1"/>
  <c r="D488" i="2" s="1"/>
  <c r="D493" i="2" a="1"/>
  <c r="D493" i="2" s="1"/>
  <c r="D502" i="2" a="1"/>
  <c r="D502" i="2" s="1"/>
  <c r="D511" i="2" a="1"/>
  <c r="D511" i="2" s="1"/>
  <c r="D520" i="2" a="1"/>
  <c r="D520" i="2" s="1"/>
  <c r="D525" i="2" a="1"/>
  <c r="D525" i="2" s="1"/>
  <c r="D534" i="2" a="1"/>
  <c r="D534" i="2" s="1"/>
  <c r="D543" i="2" a="1"/>
  <c r="D543" i="2" s="1"/>
  <c r="D552" i="2" a="1"/>
  <c r="D552" i="2" s="1"/>
  <c r="D557" i="2" a="1"/>
  <c r="D557" i="2" s="1"/>
  <c r="D566" i="2" a="1"/>
  <c r="D566" i="2" s="1"/>
  <c r="D575" i="2" a="1"/>
  <c r="D575" i="2" s="1"/>
  <c r="D584" i="2" a="1"/>
  <c r="D584" i="2" s="1"/>
  <c r="D589" i="2" a="1"/>
  <c r="D589" i="2" s="1"/>
  <c r="D598" i="2" a="1"/>
  <c r="D598" i="2" s="1"/>
  <c r="D607" i="2" a="1"/>
  <c r="D607" i="2" s="1"/>
  <c r="D616" i="2" a="1"/>
  <c r="D616" i="2" s="1"/>
  <c r="D621" i="2" a="1"/>
  <c r="D621" i="2" s="1"/>
  <c r="D630" i="2" a="1"/>
  <c r="D630" i="2" s="1"/>
  <c r="D639" i="2" a="1"/>
  <c r="D639" i="2" s="1"/>
  <c r="D648" i="2" a="1"/>
  <c r="D648" i="2" s="1"/>
  <c r="D653" i="2" a="1"/>
  <c r="D653" i="2" s="1"/>
  <c r="D662" i="2" a="1"/>
  <c r="D662" i="2" s="1"/>
  <c r="D671" i="2" a="1"/>
  <c r="D671" i="2" s="1"/>
  <c r="D680" i="2" a="1"/>
  <c r="D680" i="2" s="1"/>
  <c r="D685" i="2" a="1"/>
  <c r="D685" i="2" s="1"/>
  <c r="D694" i="2" a="1"/>
  <c r="D694" i="2" s="1"/>
  <c r="D703" i="2" a="1"/>
  <c r="D703" i="2" s="1"/>
  <c r="D712" i="2" a="1"/>
  <c r="D712" i="2" s="1"/>
  <c r="D717" i="2" a="1"/>
  <c r="D717" i="2" s="1"/>
  <c r="D277" i="2" a="1"/>
  <c r="D277" i="2" s="1"/>
  <c r="D326" i="2" a="1"/>
  <c r="D326" i="2" s="1"/>
  <c r="D378" i="2" a="1"/>
  <c r="D378" i="2" s="1"/>
  <c r="D388" i="2" a="1"/>
  <c r="D388" i="2" s="1"/>
  <c r="D393" i="2" a="1"/>
  <c r="D393" i="2" s="1"/>
  <c r="D402" i="2" a="1"/>
  <c r="D402" i="2" s="1"/>
  <c r="D411" i="2" a="1"/>
  <c r="D411" i="2" s="1"/>
  <c r="D420" i="2" a="1"/>
  <c r="D420" i="2" s="1"/>
  <c r="D425" i="2" a="1"/>
  <c r="D425" i="2" s="1"/>
  <c r="D434" i="2" a="1"/>
  <c r="D434" i="2" s="1"/>
  <c r="D443" i="2" a="1"/>
  <c r="D443" i="2" s="1"/>
  <c r="D452" i="2" a="1"/>
  <c r="D452" i="2" s="1"/>
  <c r="D457" i="2" a="1"/>
  <c r="D457" i="2" s="1"/>
  <c r="D466" i="2" a="1"/>
  <c r="D466" i="2" s="1"/>
  <c r="D475" i="2" a="1"/>
  <c r="D475" i="2" s="1"/>
  <c r="D484" i="2" a="1"/>
  <c r="D484" i="2" s="1"/>
  <c r="D489" i="2" a="1"/>
  <c r="D489" i="2" s="1"/>
  <c r="D498" i="2" a="1"/>
  <c r="D498" i="2" s="1"/>
  <c r="D507" i="2" a="1"/>
  <c r="D507" i="2" s="1"/>
  <c r="D516" i="2" a="1"/>
  <c r="D516" i="2" s="1"/>
  <c r="D521" i="2" a="1"/>
  <c r="D521" i="2" s="1"/>
  <c r="D530" i="2" a="1"/>
  <c r="D530" i="2" s="1"/>
  <c r="D539" i="2" a="1"/>
  <c r="D539" i="2" s="1"/>
  <c r="D548" i="2" a="1"/>
  <c r="D548" i="2" s="1"/>
  <c r="D553" i="2" a="1"/>
  <c r="D553" i="2" s="1"/>
  <c r="D562" i="2" a="1"/>
  <c r="D562" i="2" s="1"/>
  <c r="D571" i="2" a="1"/>
  <c r="D571" i="2" s="1"/>
  <c r="D580" i="2" a="1"/>
  <c r="D580" i="2" s="1"/>
  <c r="D585" i="2" a="1"/>
  <c r="D585" i="2" s="1"/>
  <c r="D594" i="2" a="1"/>
  <c r="D594" i="2" s="1"/>
  <c r="D603" i="2" a="1"/>
  <c r="D603" i="2" s="1"/>
  <c r="D612" i="2" a="1"/>
  <c r="D612" i="2" s="1"/>
  <c r="D617" i="2" a="1"/>
  <c r="D617" i="2" s="1"/>
  <c r="D626" i="2" a="1"/>
  <c r="D626" i="2" s="1"/>
  <c r="D635" i="2" a="1"/>
  <c r="D635" i="2" s="1"/>
  <c r="D644" i="2" a="1"/>
  <c r="D644" i="2" s="1"/>
  <c r="D649" i="2" a="1"/>
  <c r="D649" i="2" s="1"/>
  <c r="D658" i="2" a="1"/>
  <c r="D658" i="2" s="1"/>
  <c r="D667" i="2" a="1"/>
  <c r="D667" i="2" s="1"/>
  <c r="D676" i="2" a="1"/>
  <c r="D676" i="2" s="1"/>
  <c r="D681" i="2" a="1"/>
  <c r="D681" i="2" s="1"/>
  <c r="D690" i="2" a="1"/>
  <c r="D690" i="2" s="1"/>
  <c r="D699" i="2" a="1"/>
  <c r="D699" i="2" s="1"/>
  <c r="D708" i="2" a="1"/>
  <c r="D708" i="2" s="1"/>
  <c r="D713" i="2" a="1"/>
  <c r="D713" i="2" s="1"/>
  <c r="D722" i="2" a="1"/>
  <c r="D722" i="2" s="1"/>
  <c r="D731" i="2" a="1"/>
  <c r="D731" i="2" s="1"/>
  <c r="D740" i="2" a="1"/>
  <c r="D740" i="2" s="1"/>
  <c r="D284" i="2" a="1"/>
  <c r="D284" i="2" s="1"/>
  <c r="D332" i="2" a="1"/>
  <c r="D332" i="2" s="1"/>
  <c r="D367" i="2" a="1"/>
  <c r="D367" i="2" s="1"/>
  <c r="D373" i="2" a="1"/>
  <c r="D373" i="2" s="1"/>
  <c r="D379" i="2" a="1"/>
  <c r="D379" i="2" s="1"/>
  <c r="D384" i="2" a="1"/>
  <c r="D384" i="2" s="1"/>
  <c r="D389" i="2" a="1"/>
  <c r="D389" i="2" s="1"/>
  <c r="D398" i="2" a="1"/>
  <c r="D398" i="2" s="1"/>
  <c r="D407" i="2" a="1"/>
  <c r="D407" i="2" s="1"/>
  <c r="D416" i="2" a="1"/>
  <c r="D416" i="2" s="1"/>
  <c r="D421" i="2" a="1"/>
  <c r="D421" i="2" s="1"/>
  <c r="D430" i="2" a="1"/>
  <c r="D430" i="2" s="1"/>
  <c r="D439" i="2" a="1"/>
  <c r="D439" i="2" s="1"/>
  <c r="D448" i="2" a="1"/>
  <c r="D448" i="2" s="1"/>
  <c r="D453" i="2" a="1"/>
  <c r="D453" i="2" s="1"/>
  <c r="D462" i="2" a="1"/>
  <c r="D462" i="2" s="1"/>
  <c r="D471" i="2" a="1"/>
  <c r="D471" i="2" s="1"/>
  <c r="D480" i="2" a="1"/>
  <c r="D480" i="2" s="1"/>
  <c r="D485" i="2" a="1"/>
  <c r="D485" i="2" s="1"/>
  <c r="D494" i="2" a="1"/>
  <c r="D494" i="2" s="1"/>
  <c r="D503" i="2" a="1"/>
  <c r="D503" i="2" s="1"/>
  <c r="D512" i="2" a="1"/>
  <c r="D512" i="2" s="1"/>
  <c r="D517" i="2" a="1"/>
  <c r="D517" i="2" s="1"/>
  <c r="D526" i="2" a="1"/>
  <c r="D526" i="2" s="1"/>
  <c r="D535" i="2" a="1"/>
  <c r="D535" i="2" s="1"/>
  <c r="D544" i="2" a="1"/>
  <c r="D544" i="2" s="1"/>
  <c r="D549" i="2" a="1"/>
  <c r="D549" i="2" s="1"/>
  <c r="D558" i="2" a="1"/>
  <c r="D558" i="2" s="1"/>
  <c r="D567" i="2" a="1"/>
  <c r="D567" i="2" s="1"/>
  <c r="D576" i="2" a="1"/>
  <c r="D576" i="2" s="1"/>
  <c r="D581" i="2" a="1"/>
  <c r="D581" i="2" s="1"/>
  <c r="D590" i="2" a="1"/>
  <c r="D590" i="2" s="1"/>
  <c r="D599" i="2" a="1"/>
  <c r="D599" i="2" s="1"/>
  <c r="D608" i="2" a="1"/>
  <c r="D608" i="2" s="1"/>
  <c r="D613" i="2" a="1"/>
  <c r="D613" i="2" s="1"/>
  <c r="D622" i="2" a="1"/>
  <c r="D622" i="2" s="1"/>
  <c r="D631" i="2" a="1"/>
  <c r="D631" i="2" s="1"/>
  <c r="D640" i="2" a="1"/>
  <c r="D640" i="2" s="1"/>
  <c r="D645" i="2" a="1"/>
  <c r="D645" i="2" s="1"/>
  <c r="D654" i="2" a="1"/>
  <c r="D654" i="2" s="1"/>
  <c r="D663" i="2" a="1"/>
  <c r="D663" i="2" s="1"/>
  <c r="D672" i="2" a="1"/>
  <c r="D672" i="2" s="1"/>
  <c r="D677" i="2" a="1"/>
  <c r="D677" i="2" s="1"/>
  <c r="D686" i="2" a="1"/>
  <c r="D686" i="2" s="1"/>
  <c r="D695" i="2" a="1"/>
  <c r="D695" i="2" s="1"/>
  <c r="D704" i="2" a="1"/>
  <c r="D704" i="2" s="1"/>
  <c r="D709" i="2" a="1"/>
  <c r="D709" i="2" s="1"/>
  <c r="D385" i="2" a="1"/>
  <c r="D385" i="2" s="1"/>
  <c r="D394" i="2" a="1"/>
  <c r="D394" i="2" s="1"/>
  <c r="D403" i="2" a="1"/>
  <c r="D403" i="2" s="1"/>
  <c r="D412" i="2" a="1"/>
  <c r="D412" i="2" s="1"/>
  <c r="D417" i="2" a="1"/>
  <c r="D417" i="2" s="1"/>
  <c r="D426" i="2" a="1"/>
  <c r="D426" i="2" s="1"/>
  <c r="D435" i="2" a="1"/>
  <c r="D435" i="2" s="1"/>
  <c r="D444" i="2" a="1"/>
  <c r="D444" i="2" s="1"/>
  <c r="D449" i="2" a="1"/>
  <c r="D449" i="2" s="1"/>
  <c r="D458" i="2" a="1"/>
  <c r="D458" i="2" s="1"/>
  <c r="D467" i="2" a="1"/>
  <c r="D467" i="2" s="1"/>
  <c r="D476" i="2" a="1"/>
  <c r="D476" i="2" s="1"/>
  <c r="D481" i="2" a="1"/>
  <c r="D481" i="2" s="1"/>
  <c r="D490" i="2" a="1"/>
  <c r="D490" i="2" s="1"/>
  <c r="D499" i="2" a="1"/>
  <c r="D499" i="2" s="1"/>
  <c r="D508" i="2" a="1"/>
  <c r="D508" i="2" s="1"/>
  <c r="D513" i="2" a="1"/>
  <c r="D513" i="2" s="1"/>
  <c r="D522" i="2" a="1"/>
  <c r="D522" i="2" s="1"/>
  <c r="D531" i="2" a="1"/>
  <c r="D531" i="2" s="1"/>
  <c r="D540" i="2" a="1"/>
  <c r="D540" i="2" s="1"/>
  <c r="D545" i="2" a="1"/>
  <c r="D545" i="2" s="1"/>
  <c r="D554" i="2" a="1"/>
  <c r="D554" i="2" s="1"/>
  <c r="D563" i="2" a="1"/>
  <c r="D563" i="2" s="1"/>
  <c r="D572" i="2" a="1"/>
  <c r="D572" i="2" s="1"/>
  <c r="D577" i="2" a="1"/>
  <c r="D577" i="2" s="1"/>
  <c r="D586" i="2" a="1"/>
  <c r="D586" i="2" s="1"/>
  <c r="D595" i="2" a="1"/>
  <c r="D595" i="2" s="1"/>
  <c r="D604" i="2" a="1"/>
  <c r="D604" i="2" s="1"/>
  <c r="D609" i="2" a="1"/>
  <c r="D609" i="2" s="1"/>
  <c r="D618" i="2" a="1"/>
  <c r="D618" i="2" s="1"/>
  <c r="D627" i="2" a="1"/>
  <c r="D627" i="2" s="1"/>
  <c r="D636" i="2" a="1"/>
  <c r="D636" i="2" s="1"/>
  <c r="D641" i="2" a="1"/>
  <c r="D641" i="2" s="1"/>
  <c r="D650" i="2" a="1"/>
  <c r="D650" i="2" s="1"/>
  <c r="D659" i="2" a="1"/>
  <c r="D659" i="2" s="1"/>
  <c r="D668" i="2" a="1"/>
  <c r="D668" i="2" s="1"/>
  <c r="D673" i="2" a="1"/>
  <c r="D673" i="2" s="1"/>
  <c r="D682" i="2" a="1"/>
  <c r="D682" i="2" s="1"/>
  <c r="D691" i="2" a="1"/>
  <c r="D691" i="2" s="1"/>
  <c r="D700" i="2" a="1"/>
  <c r="D700" i="2" s="1"/>
  <c r="D705" i="2" a="1"/>
  <c r="D705" i="2" s="1"/>
  <c r="D714" i="2" a="1"/>
  <c r="D714" i="2" s="1"/>
  <c r="D723" i="2" a="1"/>
  <c r="D723" i="2" s="1"/>
  <c r="D732" i="2" a="1"/>
  <c r="D732" i="2" s="1"/>
  <c r="D737" i="2" a="1"/>
  <c r="D737" i="2" s="1"/>
  <c r="D746" i="2" a="1"/>
  <c r="D746" i="2" s="1"/>
  <c r="D295" i="2" a="1"/>
  <c r="D295" i="2" s="1"/>
  <c r="D344" i="2" a="1"/>
  <c r="D344" i="2" s="1"/>
  <c r="D368" i="2" a="1"/>
  <c r="D368" i="2" s="1"/>
  <c r="D375" i="2" a="1"/>
  <c r="D375" i="2" s="1"/>
  <c r="D390" i="2" a="1"/>
  <c r="D390" i="2" s="1"/>
  <c r="D399" i="2" a="1"/>
  <c r="D399" i="2" s="1"/>
  <c r="D408" i="2" a="1"/>
  <c r="D408" i="2" s="1"/>
  <c r="D413" i="2" a="1"/>
  <c r="D413" i="2" s="1"/>
  <c r="D422" i="2" a="1"/>
  <c r="D422" i="2" s="1"/>
  <c r="D431" i="2" a="1"/>
  <c r="D431" i="2" s="1"/>
  <c r="D440" i="2" a="1"/>
  <c r="D440" i="2" s="1"/>
  <c r="D445" i="2" a="1"/>
  <c r="D445" i="2" s="1"/>
  <c r="D454" i="2" a="1"/>
  <c r="D454" i="2" s="1"/>
  <c r="D463" i="2" a="1"/>
  <c r="D463" i="2" s="1"/>
  <c r="D472" i="2" a="1"/>
  <c r="D472" i="2" s="1"/>
  <c r="D477" i="2" a="1"/>
  <c r="D477" i="2" s="1"/>
  <c r="D486" i="2" a="1"/>
  <c r="D486" i="2" s="1"/>
  <c r="D495" i="2" a="1"/>
  <c r="D495" i="2" s="1"/>
  <c r="D504" i="2" a="1"/>
  <c r="D504" i="2" s="1"/>
  <c r="D509" i="2" a="1"/>
  <c r="D509" i="2" s="1"/>
  <c r="D518" i="2" a="1"/>
  <c r="D518" i="2" s="1"/>
  <c r="D527" i="2" a="1"/>
  <c r="D527" i="2" s="1"/>
  <c r="D536" i="2" a="1"/>
  <c r="D536" i="2" s="1"/>
  <c r="D541" i="2" a="1"/>
  <c r="D541" i="2" s="1"/>
  <c r="D550" i="2" a="1"/>
  <c r="D550" i="2" s="1"/>
  <c r="D559" i="2" a="1"/>
  <c r="D559" i="2" s="1"/>
  <c r="D568" i="2" a="1"/>
  <c r="D568" i="2" s="1"/>
  <c r="D573" i="2" a="1"/>
  <c r="D573" i="2" s="1"/>
  <c r="D582" i="2" a="1"/>
  <c r="D582" i="2" s="1"/>
  <c r="D591" i="2" a="1"/>
  <c r="D591" i="2" s="1"/>
  <c r="D600" i="2" a="1"/>
  <c r="D600" i="2" s="1"/>
  <c r="D605" i="2" a="1"/>
  <c r="D605" i="2" s="1"/>
  <c r="D614" i="2" a="1"/>
  <c r="D614" i="2" s="1"/>
  <c r="D623" i="2" a="1"/>
  <c r="D623" i="2" s="1"/>
  <c r="D632" i="2" a="1"/>
  <c r="D632" i="2" s="1"/>
  <c r="D637" i="2" a="1"/>
  <c r="D637" i="2" s="1"/>
  <c r="D646" i="2" a="1"/>
  <c r="D646" i="2" s="1"/>
  <c r="D655" i="2" a="1"/>
  <c r="D655" i="2" s="1"/>
  <c r="D664" i="2" a="1"/>
  <c r="D664" i="2" s="1"/>
  <c r="D669" i="2" a="1"/>
  <c r="D669" i="2" s="1"/>
  <c r="D729" i="2" a="1"/>
  <c r="D729" i="2" s="1"/>
  <c r="D744" i="2" a="1"/>
  <c r="D744" i="2" s="1"/>
  <c r="D754" i="2" a="1"/>
  <c r="D754" i="2" s="1"/>
  <c r="D763" i="2" a="1"/>
  <c r="D763" i="2" s="1"/>
  <c r="D772" i="2" a="1"/>
  <c r="D772" i="2" s="1"/>
  <c r="D777" i="2" a="1"/>
  <c r="D777" i="2" s="1"/>
  <c r="D786" i="2" a="1"/>
  <c r="D786" i="2" s="1"/>
  <c r="D795" i="2" a="1"/>
  <c r="D795" i="2" s="1"/>
  <c r="D804" i="2" a="1"/>
  <c r="D804" i="2" s="1"/>
  <c r="D809" i="2" a="1"/>
  <c r="D809" i="2" s="1"/>
  <c r="D818" i="2" a="1"/>
  <c r="D818" i="2" s="1"/>
  <c r="D827" i="2" a="1"/>
  <c r="D827" i="2" s="1"/>
  <c r="D836" i="2" a="1"/>
  <c r="D836" i="2" s="1"/>
  <c r="D841" i="2" a="1"/>
  <c r="D841" i="2" s="1"/>
  <c r="D850" i="2" a="1"/>
  <c r="D850" i="2" s="1"/>
  <c r="D859" i="2" a="1"/>
  <c r="D859" i="2" s="1"/>
  <c r="D868" i="2" a="1"/>
  <c r="D868" i="2" s="1"/>
  <c r="D873" i="2" a="1"/>
  <c r="D873" i="2" s="1"/>
  <c r="D882" i="2" a="1"/>
  <c r="D882" i="2" s="1"/>
  <c r="D891" i="2" a="1"/>
  <c r="D891" i="2" s="1"/>
  <c r="D900" i="2" a="1"/>
  <c r="D900" i="2" s="1"/>
  <c r="D904" i="2" a="1"/>
  <c r="D904" i="2" s="1"/>
  <c r="D908" i="2" a="1"/>
  <c r="D908" i="2" s="1"/>
  <c r="D912" i="2" a="1"/>
  <c r="D912" i="2" s="1"/>
  <c r="D916" i="2" a="1"/>
  <c r="D916" i="2" s="1"/>
  <c r="D920" i="2" a="1"/>
  <c r="D920" i="2" s="1"/>
  <c r="D924" i="2" a="1"/>
  <c r="D924" i="2" s="1"/>
  <c r="D710" i="2" a="1"/>
  <c r="D710" i="2" s="1"/>
  <c r="D738" i="2" a="1"/>
  <c r="D738" i="2" s="1"/>
  <c r="D745" i="2" a="1"/>
  <c r="D745" i="2" s="1"/>
  <c r="D750" i="2" a="1"/>
  <c r="D750" i="2" s="1"/>
  <c r="D759" i="2" a="1"/>
  <c r="D759" i="2" s="1"/>
  <c r="D768" i="2" a="1"/>
  <c r="D768" i="2" s="1"/>
  <c r="D773" i="2" a="1"/>
  <c r="D773" i="2" s="1"/>
  <c r="D782" i="2" a="1"/>
  <c r="D782" i="2" s="1"/>
  <c r="D791" i="2" a="1"/>
  <c r="D791" i="2" s="1"/>
  <c r="D800" i="2" a="1"/>
  <c r="D800" i="2" s="1"/>
  <c r="D805" i="2" a="1"/>
  <c r="D805" i="2" s="1"/>
  <c r="D814" i="2" a="1"/>
  <c r="D814" i="2" s="1"/>
  <c r="D823" i="2" a="1"/>
  <c r="D823" i="2" s="1"/>
  <c r="D832" i="2" a="1"/>
  <c r="D832" i="2" s="1"/>
  <c r="D837" i="2" a="1"/>
  <c r="D837" i="2" s="1"/>
  <c r="D846" i="2" a="1"/>
  <c r="D846" i="2" s="1"/>
  <c r="D855" i="2" a="1"/>
  <c r="D855" i="2" s="1"/>
  <c r="D864" i="2" a="1"/>
  <c r="D864" i="2" s="1"/>
  <c r="D869" i="2" a="1"/>
  <c r="D869" i="2" s="1"/>
  <c r="D878" i="2" a="1"/>
  <c r="D878" i="2" s="1"/>
  <c r="D887" i="2" a="1"/>
  <c r="D887" i="2" s="1"/>
  <c r="D896" i="2" a="1"/>
  <c r="D896" i="2" s="1"/>
  <c r="D909" i="2" a="1"/>
  <c r="D909" i="2" s="1"/>
  <c r="D917" i="2" a="1"/>
  <c r="D917" i="2" s="1"/>
  <c r="D925" i="2" a="1"/>
  <c r="D925" i="2" s="1"/>
  <c r="D933" i="2" a="1"/>
  <c r="D933" i="2" s="1"/>
  <c r="D941" i="2" a="1"/>
  <c r="D941" i="2" s="1"/>
  <c r="D949" i="2" a="1"/>
  <c r="D949" i="2" s="1"/>
  <c r="D678" i="2" a="1"/>
  <c r="D678" i="2" s="1"/>
  <c r="D739" i="2" a="1"/>
  <c r="D739" i="2" s="1"/>
  <c r="D755" i="2" a="1"/>
  <c r="D755" i="2" s="1"/>
  <c r="D764" i="2" a="1"/>
  <c r="D764" i="2" s="1"/>
  <c r="D769" i="2" a="1"/>
  <c r="D769" i="2" s="1"/>
  <c r="D778" i="2" a="1"/>
  <c r="D778" i="2" s="1"/>
  <c r="D787" i="2" a="1"/>
  <c r="D787" i="2" s="1"/>
  <c r="D796" i="2" a="1"/>
  <c r="D796" i="2" s="1"/>
  <c r="D801" i="2" a="1"/>
  <c r="D801" i="2" s="1"/>
  <c r="D810" i="2" a="1"/>
  <c r="D810" i="2" s="1"/>
  <c r="D819" i="2" a="1"/>
  <c r="D819" i="2" s="1"/>
  <c r="D828" i="2" a="1"/>
  <c r="D828" i="2" s="1"/>
  <c r="D833" i="2" a="1"/>
  <c r="D833" i="2" s="1"/>
  <c r="D842" i="2" a="1"/>
  <c r="D842" i="2" s="1"/>
  <c r="D851" i="2" a="1"/>
  <c r="D851" i="2" s="1"/>
  <c r="D860" i="2" a="1"/>
  <c r="D860" i="2" s="1"/>
  <c r="D865" i="2" a="1"/>
  <c r="D865" i="2" s="1"/>
  <c r="D874" i="2" a="1"/>
  <c r="D874" i="2" s="1"/>
  <c r="D883" i="2" a="1"/>
  <c r="D883" i="2" s="1"/>
  <c r="D892" i="2" a="1"/>
  <c r="D892" i="2" s="1"/>
  <c r="D897" i="2" a="1"/>
  <c r="D897" i="2" s="1"/>
  <c r="D901" i="2" a="1"/>
  <c r="D901" i="2" s="1"/>
  <c r="D905" i="2" a="1"/>
  <c r="D905" i="2" s="1"/>
  <c r="D913" i="2" a="1"/>
  <c r="D913" i="2" s="1"/>
  <c r="D921" i="2" a="1"/>
  <c r="D921" i="2" s="1"/>
  <c r="D929" i="2" a="1"/>
  <c r="D929" i="2" s="1"/>
  <c r="D937" i="2" a="1"/>
  <c r="D937" i="2" s="1"/>
  <c r="D945" i="2" a="1"/>
  <c r="D945" i="2" s="1"/>
  <c r="D733" i="2" a="1"/>
  <c r="D733" i="2" s="1"/>
  <c r="D751" i="2" a="1"/>
  <c r="D751" i="2" s="1"/>
  <c r="D760" i="2" a="1"/>
  <c r="D760" i="2" s="1"/>
  <c r="D765" i="2" a="1"/>
  <c r="D765" i="2" s="1"/>
  <c r="D774" i="2" a="1"/>
  <c r="D774" i="2" s="1"/>
  <c r="D783" i="2" a="1"/>
  <c r="D783" i="2" s="1"/>
  <c r="D792" i="2" a="1"/>
  <c r="D792" i="2" s="1"/>
  <c r="D797" i="2" a="1"/>
  <c r="D797" i="2" s="1"/>
  <c r="D806" i="2" a="1"/>
  <c r="D806" i="2" s="1"/>
  <c r="D815" i="2" a="1"/>
  <c r="D815" i="2" s="1"/>
  <c r="D824" i="2" a="1"/>
  <c r="D824" i="2" s="1"/>
  <c r="D829" i="2" a="1"/>
  <c r="D829" i="2" s="1"/>
  <c r="D838" i="2" a="1"/>
  <c r="D838" i="2" s="1"/>
  <c r="D847" i="2" a="1"/>
  <c r="D847" i="2" s="1"/>
  <c r="D856" i="2" a="1"/>
  <c r="D856" i="2" s="1"/>
  <c r="D861" i="2" a="1"/>
  <c r="D861" i="2" s="1"/>
  <c r="D870" i="2" a="1"/>
  <c r="D870" i="2" s="1"/>
  <c r="D879" i="2" a="1"/>
  <c r="D879" i="2" s="1"/>
  <c r="D888" i="2" a="1"/>
  <c r="D888" i="2" s="1"/>
  <c r="D893" i="2" a="1"/>
  <c r="D893" i="2" s="1"/>
  <c r="D843" i="2" a="1"/>
  <c r="D843" i="2" s="1"/>
  <c r="D857" i="2" a="1"/>
  <c r="D857" i="2" s="1"/>
  <c r="D875" i="2" a="1"/>
  <c r="D875" i="2" s="1"/>
  <c r="D884" i="2" a="1"/>
  <c r="D884" i="2" s="1"/>
  <c r="D898" i="2" a="1"/>
  <c r="D898" i="2" s="1"/>
  <c r="D906" i="2" a="1"/>
  <c r="D906" i="2" s="1"/>
  <c r="D914" i="2" a="1"/>
  <c r="D914" i="2" s="1"/>
  <c r="D918" i="2" a="1"/>
  <c r="D918" i="2" s="1"/>
  <c r="D926" i="2" a="1"/>
  <c r="D926" i="2" s="1"/>
  <c r="D934" i="2" a="1"/>
  <c r="D934" i="2" s="1"/>
  <c r="D942" i="2" a="1"/>
  <c r="D942" i="2" s="1"/>
  <c r="D946" i="2" a="1"/>
  <c r="D946" i="2" s="1"/>
  <c r="D954" i="2" a="1"/>
  <c r="D954" i="2" s="1"/>
  <c r="D962" i="2" a="1"/>
  <c r="D962" i="2" s="1"/>
  <c r="D970" i="2" a="1"/>
  <c r="D970" i="2" s="1"/>
  <c r="D974" i="2" a="1"/>
  <c r="D974" i="2" s="1"/>
  <c r="D982" i="2" a="1"/>
  <c r="D982" i="2" s="1"/>
  <c r="D687" i="2" a="1"/>
  <c r="D687" i="2" s="1"/>
  <c r="D724" i="2" a="1"/>
  <c r="D724" i="2" s="1"/>
  <c r="D741" i="2" a="1"/>
  <c r="D741" i="2" s="1"/>
  <c r="D747" i="2" a="1"/>
  <c r="D747" i="2" s="1"/>
  <c r="D756" i="2" a="1"/>
  <c r="D756" i="2" s="1"/>
  <c r="D761" i="2" a="1"/>
  <c r="D761" i="2" s="1"/>
  <c r="D770" i="2" a="1"/>
  <c r="D770" i="2" s="1"/>
  <c r="D779" i="2" a="1"/>
  <c r="D779" i="2" s="1"/>
  <c r="D788" i="2" a="1"/>
  <c r="D788" i="2" s="1"/>
  <c r="D793" i="2" a="1"/>
  <c r="D793" i="2" s="1"/>
  <c r="D802" i="2" a="1"/>
  <c r="D802" i="2" s="1"/>
  <c r="D811" i="2" a="1"/>
  <c r="D811" i="2" s="1"/>
  <c r="D820" i="2" a="1"/>
  <c r="D820" i="2" s="1"/>
  <c r="D825" i="2" a="1"/>
  <c r="D825" i="2" s="1"/>
  <c r="D834" i="2" a="1"/>
  <c r="D834" i="2" s="1"/>
  <c r="D852" i="2" a="1"/>
  <c r="D852" i="2" s="1"/>
  <c r="D866" i="2" a="1"/>
  <c r="D866" i="2" s="1"/>
  <c r="D889" i="2" a="1"/>
  <c r="D889" i="2" s="1"/>
  <c r="D902" i="2" a="1"/>
  <c r="D902" i="2" s="1"/>
  <c r="D910" i="2" a="1"/>
  <c r="D910" i="2" s="1"/>
  <c r="D922" i="2" a="1"/>
  <c r="D922" i="2" s="1"/>
  <c r="D930" i="2" a="1"/>
  <c r="D930" i="2" s="1"/>
  <c r="D938" i="2" a="1"/>
  <c r="D938" i="2" s="1"/>
  <c r="D950" i="2" a="1"/>
  <c r="D950" i="2" s="1"/>
  <c r="D958" i="2" a="1"/>
  <c r="D958" i="2" s="1"/>
  <c r="D966" i="2" a="1"/>
  <c r="D966" i="2" s="1"/>
  <c r="D978" i="2" a="1"/>
  <c r="D978" i="2" s="1"/>
  <c r="D986" i="2" a="1"/>
  <c r="D986" i="2" s="1"/>
  <c r="D715" i="2" a="1"/>
  <c r="D715" i="2" s="1"/>
  <c r="D726" i="2" a="1"/>
  <c r="D726" i="2" s="1"/>
  <c r="D742" i="2" a="1"/>
  <c r="D742" i="2" s="1"/>
  <c r="D752" i="2" a="1"/>
  <c r="D752" i="2" s="1"/>
  <c r="D757" i="2" a="1"/>
  <c r="D757" i="2" s="1"/>
  <c r="D766" i="2" a="1"/>
  <c r="D766" i="2" s="1"/>
  <c r="D775" i="2" a="1"/>
  <c r="D775" i="2" s="1"/>
  <c r="D784" i="2" a="1"/>
  <c r="D784" i="2" s="1"/>
  <c r="D789" i="2" a="1"/>
  <c r="D789" i="2" s="1"/>
  <c r="D798" i="2" a="1"/>
  <c r="D798" i="2" s="1"/>
  <c r="D807" i="2" a="1"/>
  <c r="D807" i="2" s="1"/>
  <c r="D816" i="2" a="1"/>
  <c r="D816" i="2" s="1"/>
  <c r="D821" i="2" a="1"/>
  <c r="D821" i="2" s="1"/>
  <c r="D830" i="2" a="1"/>
  <c r="D830" i="2" s="1"/>
  <c r="D839" i="2" a="1"/>
  <c r="D839" i="2" s="1"/>
  <c r="D848" i="2" a="1"/>
  <c r="D848" i="2" s="1"/>
  <c r="D853" i="2" a="1"/>
  <c r="D853" i="2" s="1"/>
  <c r="D862" i="2" a="1"/>
  <c r="D862" i="2" s="1"/>
  <c r="D871" i="2" a="1"/>
  <c r="D871" i="2" s="1"/>
  <c r="D880" i="2" a="1"/>
  <c r="D880" i="2" s="1"/>
  <c r="D885" i="2" a="1"/>
  <c r="D885" i="2" s="1"/>
  <c r="D894" i="2" a="1"/>
  <c r="D894" i="2" s="1"/>
  <c r="D899" i="2" a="1"/>
  <c r="D899" i="2" s="1"/>
  <c r="D907" i="2" a="1"/>
  <c r="D907" i="2" s="1"/>
  <c r="D915" i="2" a="1"/>
  <c r="D915" i="2" s="1"/>
  <c r="D923" i="2" a="1"/>
  <c r="D923" i="2" s="1"/>
  <c r="D931" i="2" a="1"/>
  <c r="D931" i="2" s="1"/>
  <c r="D939" i="2" a="1"/>
  <c r="D939" i="2" s="1"/>
  <c r="D696" i="2" a="1"/>
  <c r="D696" i="2" s="1"/>
  <c r="D718" i="2" a="1"/>
  <c r="D718" i="2" s="1"/>
  <c r="D727" i="2" a="1"/>
  <c r="D727" i="2" s="1"/>
  <c r="D735" i="2" a="1"/>
  <c r="D735" i="2" s="1"/>
  <c r="D748" i="2" a="1"/>
  <c r="D748" i="2" s="1"/>
  <c r="D753" i="2" a="1"/>
  <c r="D753" i="2" s="1"/>
  <c r="D762" i="2" a="1"/>
  <c r="D762" i="2" s="1"/>
  <c r="D771" i="2" a="1"/>
  <c r="D771" i="2" s="1"/>
  <c r="D780" i="2" a="1"/>
  <c r="D780" i="2" s="1"/>
  <c r="D785" i="2" a="1"/>
  <c r="D785" i="2" s="1"/>
  <c r="D794" i="2" a="1"/>
  <c r="D794" i="2" s="1"/>
  <c r="D803" i="2" a="1"/>
  <c r="D803" i="2" s="1"/>
  <c r="D812" i="2" a="1"/>
  <c r="D812" i="2" s="1"/>
  <c r="D817" i="2" a="1"/>
  <c r="D817" i="2" s="1"/>
  <c r="D826" i="2" a="1"/>
  <c r="D826" i="2" s="1"/>
  <c r="D835" i="2" a="1"/>
  <c r="D835" i="2" s="1"/>
  <c r="D844" i="2" a="1"/>
  <c r="D844" i="2" s="1"/>
  <c r="D849" i="2" a="1"/>
  <c r="D849" i="2" s="1"/>
  <c r="D858" i="2" a="1"/>
  <c r="D858" i="2" s="1"/>
  <c r="D867" i="2" a="1"/>
  <c r="D867" i="2" s="1"/>
  <c r="D876" i="2" a="1"/>
  <c r="D876" i="2" s="1"/>
  <c r="D881" i="2" a="1"/>
  <c r="D881" i="2" s="1"/>
  <c r="D890" i="2" a="1"/>
  <c r="D890" i="2" s="1"/>
  <c r="D903" i="2" a="1"/>
  <c r="D903" i="2" s="1"/>
  <c r="D911" i="2" a="1"/>
  <c r="D911" i="2" s="1"/>
  <c r="D919" i="2" a="1"/>
  <c r="D919" i="2" s="1"/>
  <c r="D927" i="2" a="1"/>
  <c r="D927" i="2" s="1"/>
  <c r="D935" i="2" a="1"/>
  <c r="D935" i="2" s="1"/>
  <c r="D701" i="2" a="1"/>
  <c r="D701" i="2" s="1"/>
  <c r="D799" i="2" a="1"/>
  <c r="D799" i="2" s="1"/>
  <c r="D872" i="2" a="1"/>
  <c r="D872" i="2" s="1"/>
  <c r="D932" i="2" a="1"/>
  <c r="D932" i="2" s="1"/>
  <c r="D947" i="2" a="1"/>
  <c r="D947" i="2" s="1"/>
  <c r="D994" i="2" a="1"/>
  <c r="D994" i="2" s="1"/>
  <c r="D1000" i="2" a="1"/>
  <c r="D1000" i="2" s="1"/>
  <c r="D980" i="2" a="1"/>
  <c r="D980" i="2" s="1"/>
  <c r="D995" i="2" a="1"/>
  <c r="D995" i="2" s="1"/>
  <c r="D996" i="2" a="1"/>
  <c r="D996" i="2" s="1"/>
  <c r="D719" i="2" a="1"/>
  <c r="D719" i="2" s="1"/>
  <c r="D767" i="2" a="1"/>
  <c r="D767" i="2" s="1"/>
  <c r="D840" i="2" a="1"/>
  <c r="D840" i="2" s="1"/>
  <c r="D877" i="2" a="1"/>
  <c r="D877" i="2" s="1"/>
  <c r="D956" i="2" a="1"/>
  <c r="D956" i="2" s="1"/>
  <c r="D964" i="2" a="1"/>
  <c r="D964" i="2" s="1"/>
  <c r="D972" i="2" a="1"/>
  <c r="D972" i="2" s="1"/>
  <c r="D988" i="2" a="1"/>
  <c r="D988" i="2" s="1"/>
  <c r="D981" i="2" a="1"/>
  <c r="D981" i="2" s="1"/>
  <c r="D987" i="2" a="1"/>
  <c r="D987" i="2" s="1"/>
  <c r="D728" i="2" a="1"/>
  <c r="D728" i="2" s="1"/>
  <c r="D808" i="2" a="1"/>
  <c r="D808" i="2" s="1"/>
  <c r="D845" i="2" a="1"/>
  <c r="D845" i="2" s="1"/>
  <c r="D936" i="2" a="1"/>
  <c r="D936" i="2" s="1"/>
  <c r="D948" i="2" a="1"/>
  <c r="D948" i="2" s="1"/>
  <c r="D957" i="2" a="1"/>
  <c r="D957" i="2" s="1"/>
  <c r="D965" i="2" a="1"/>
  <c r="D965" i="2" s="1"/>
  <c r="D973" i="2" a="1"/>
  <c r="D973" i="2" s="1"/>
  <c r="D989" i="2" a="1"/>
  <c r="D989" i="2" s="1"/>
  <c r="D979" i="2" a="1"/>
  <c r="D979" i="2" s="1"/>
  <c r="D736" i="2" a="1"/>
  <c r="D736" i="2" s="1"/>
  <c r="D776" i="2" a="1"/>
  <c r="D776" i="2" s="1"/>
  <c r="D813" i="2" a="1"/>
  <c r="D813" i="2" s="1"/>
  <c r="D886" i="2" a="1"/>
  <c r="D886" i="2" s="1"/>
  <c r="D951" i="2" a="1"/>
  <c r="D951" i="2" s="1"/>
  <c r="D959" i="2" a="1"/>
  <c r="D959" i="2" s="1"/>
  <c r="D967" i="2" a="1"/>
  <c r="D967" i="2" s="1"/>
  <c r="D975" i="2" a="1"/>
  <c r="D975" i="2" s="1"/>
  <c r="D983" i="2" a="1"/>
  <c r="D983" i="2" s="1"/>
  <c r="D990" i="2" a="1"/>
  <c r="D990" i="2" s="1"/>
  <c r="D781" i="2" a="1"/>
  <c r="D781" i="2" s="1"/>
  <c r="D854" i="2" a="1"/>
  <c r="D854" i="2" s="1"/>
  <c r="D940" i="2" a="1"/>
  <c r="D940" i="2" s="1"/>
  <c r="D991" i="2" a="1"/>
  <c r="D991" i="2" s="1"/>
  <c r="D997" i="2" a="1"/>
  <c r="D997" i="2" s="1"/>
  <c r="D960" i="2" a="1"/>
  <c r="D960" i="2" s="1"/>
  <c r="D968" i="2" a="1"/>
  <c r="D968" i="2" s="1"/>
  <c r="D984" i="2" a="1"/>
  <c r="D984" i="2" s="1"/>
  <c r="D969" i="2" a="1"/>
  <c r="D969" i="2" s="1"/>
  <c r="D985" i="2" a="1"/>
  <c r="D985" i="2" s="1"/>
  <c r="D999" i="2" a="1"/>
  <c r="D999" i="2" s="1"/>
  <c r="D944" i="2" a="1"/>
  <c r="D944" i="2" s="1"/>
  <c r="D971" i="2" a="1"/>
  <c r="D971" i="2" s="1"/>
  <c r="D993" i="2" a="1"/>
  <c r="D993" i="2" s="1"/>
  <c r="D749" i="2" a="1"/>
  <c r="D749" i="2" s="1"/>
  <c r="D822" i="2" a="1"/>
  <c r="D822" i="2" s="1"/>
  <c r="D895" i="2" a="1"/>
  <c r="D895" i="2" s="1"/>
  <c r="D943" i="2" a="1"/>
  <c r="D943" i="2" s="1"/>
  <c r="D952" i="2" a="1"/>
  <c r="D952" i="2" s="1"/>
  <c r="D976" i="2" a="1"/>
  <c r="D976" i="2" s="1"/>
  <c r="D998" i="2" a="1"/>
  <c r="D998" i="2" s="1"/>
  <c r="D992" i="2" a="1"/>
  <c r="D992" i="2" s="1"/>
  <c r="D831" i="2" a="1"/>
  <c r="D831" i="2" s="1"/>
  <c r="D955" i="2" a="1"/>
  <c r="D955" i="2" s="1"/>
  <c r="D790" i="2" a="1"/>
  <c r="D790" i="2" s="1"/>
  <c r="D863" i="2" a="1"/>
  <c r="D863" i="2" s="1"/>
  <c r="D928" i="2" a="1"/>
  <c r="D928" i="2" s="1"/>
  <c r="D953" i="2" a="1"/>
  <c r="D953" i="2" s="1"/>
  <c r="D961" i="2" a="1"/>
  <c r="D961" i="2" s="1"/>
  <c r="D977" i="2" a="1"/>
  <c r="D977" i="2" s="1"/>
  <c r="D758" i="2" a="1"/>
  <c r="D758" i="2" s="1"/>
  <c r="D963" i="2" a="1"/>
  <c r="D963" i="2" s="1"/>
  <c r="P35" i="6" a="1"/>
  <c r="P35" i="6" s="1"/>
  <c r="Q49" i="6"/>
  <c r="Q57" i="6"/>
  <c r="Q65" i="6"/>
  <c r="Q73" i="6"/>
  <c r="Q81" i="6"/>
  <c r="Q89" i="6"/>
  <c r="Q97" i="6"/>
  <c r="Q105" i="6"/>
  <c r="Q113" i="6"/>
  <c r="Q121" i="6"/>
  <c r="Q129" i="6"/>
  <c r="Q137" i="6"/>
  <c r="Q145" i="6"/>
  <c r="Q153" i="6"/>
  <c r="Q161" i="6"/>
  <c r="Q169" i="6"/>
  <c r="Q177" i="6"/>
  <c r="Q185" i="6"/>
  <c r="Q193" i="6"/>
  <c r="Q201" i="6"/>
  <c r="Q209" i="6"/>
  <c r="Q217" i="6"/>
  <c r="Q225" i="6"/>
  <c r="Q233" i="6"/>
  <c r="Q241" i="6"/>
  <c r="Q249" i="6"/>
  <c r="Q50" i="6"/>
  <c r="Q58" i="6"/>
  <c r="Q66" i="6"/>
  <c r="Q74" i="6"/>
  <c r="Q82" i="6"/>
  <c r="Q90" i="6"/>
  <c r="Q98" i="6"/>
  <c r="Q106" i="6"/>
  <c r="Q114" i="6"/>
  <c r="Q122" i="6"/>
  <c r="Q130" i="6"/>
  <c r="Q138" i="6"/>
  <c r="Q146" i="6"/>
  <c r="Q154" i="6"/>
  <c r="Q162" i="6"/>
  <c r="Q170" i="6"/>
  <c r="Q178" i="6"/>
  <c r="Q186" i="6"/>
  <c r="Q194" i="6"/>
  <c r="Q202" i="6"/>
  <c r="Q210" i="6"/>
  <c r="Q218" i="6"/>
  <c r="Q226" i="6"/>
  <c r="Q234" i="6"/>
  <c r="Q242" i="6"/>
  <c r="Q250" i="6"/>
  <c r="Q51" i="6"/>
  <c r="Q59" i="6"/>
  <c r="Q67" i="6"/>
  <c r="Q75" i="6"/>
  <c r="Q83" i="6"/>
  <c r="Q91" i="6"/>
  <c r="Q99" i="6"/>
  <c r="Q107" i="6"/>
  <c r="Q115" i="6"/>
  <c r="Q123" i="6"/>
  <c r="Q131" i="6"/>
  <c r="Q139" i="6"/>
  <c r="Q147" i="6"/>
  <c r="Q155" i="6"/>
  <c r="Q163" i="6"/>
  <c r="Q171" i="6"/>
  <c r="Q179" i="6"/>
  <c r="Q187" i="6"/>
  <c r="Q195" i="6"/>
  <c r="Q203" i="6"/>
  <c r="Q211" i="6"/>
  <c r="Q219" i="6"/>
  <c r="Q227" i="6"/>
  <c r="Q235" i="6"/>
  <c r="Q243" i="6"/>
  <c r="Q251" i="6"/>
  <c r="Q52" i="6"/>
  <c r="Q60" i="6"/>
  <c r="Q68" i="6"/>
  <c r="Q76" i="6"/>
  <c r="Q84" i="6"/>
  <c r="Q92" i="6"/>
  <c r="Q100" i="6"/>
  <c r="Q108" i="6"/>
  <c r="Q116" i="6"/>
  <c r="Q124" i="6"/>
  <c r="Q132" i="6"/>
  <c r="Q140" i="6"/>
  <c r="Q148" i="6"/>
  <c r="Q156" i="6"/>
  <c r="Q164" i="6"/>
  <c r="Q172" i="6"/>
  <c r="Q180" i="6"/>
  <c r="Q188" i="6"/>
  <c r="Q196" i="6"/>
  <c r="Q204" i="6"/>
  <c r="Q212" i="6"/>
  <c r="Q220" i="6"/>
  <c r="Q228" i="6"/>
  <c r="Q236" i="6"/>
  <c r="Q244" i="6"/>
  <c r="Q252" i="6"/>
  <c r="Q64" i="6"/>
  <c r="Q53" i="6"/>
  <c r="Q61" i="6"/>
  <c r="Q69" i="6"/>
  <c r="Q77" i="6"/>
  <c r="Q85" i="6"/>
  <c r="Q93" i="6"/>
  <c r="Q101" i="6"/>
  <c r="Q109" i="6"/>
  <c r="Q117" i="6"/>
  <c r="Q125" i="6"/>
  <c r="Q133" i="6"/>
  <c r="Q141" i="6"/>
  <c r="Q149" i="6"/>
  <c r="Q157" i="6"/>
  <c r="Q165" i="6"/>
  <c r="Q173" i="6"/>
  <c r="Q181" i="6"/>
  <c r="Q189" i="6"/>
  <c r="Q197" i="6"/>
  <c r="Q205" i="6"/>
  <c r="Q213" i="6"/>
  <c r="Q221" i="6"/>
  <c r="Q229" i="6"/>
  <c r="Q237" i="6"/>
  <c r="Q245" i="6"/>
  <c r="Q253" i="6"/>
  <c r="Q72" i="6"/>
  <c r="Q88" i="6"/>
  <c r="Q96" i="6"/>
  <c r="Q104" i="6"/>
  <c r="Q112" i="6"/>
  <c r="Q120" i="6"/>
  <c r="Q128" i="6"/>
  <c r="Q136" i="6"/>
  <c r="Q144" i="6"/>
  <c r="Q152" i="6"/>
  <c r="Q160" i="6"/>
  <c r="Q168" i="6"/>
  <c r="Q184" i="6"/>
  <c r="Q192" i="6"/>
  <c r="Q200" i="6"/>
  <c r="Q216" i="6"/>
  <c r="Q232" i="6"/>
  <c r="Q248" i="6"/>
  <c r="Q54" i="6"/>
  <c r="Q62" i="6"/>
  <c r="Q70" i="6"/>
  <c r="Q78" i="6"/>
  <c r="Q86" i="6"/>
  <c r="Q94" i="6"/>
  <c r="Q102" i="6"/>
  <c r="Q110" i="6"/>
  <c r="Q118" i="6"/>
  <c r="Q126" i="6"/>
  <c r="Q134" i="6"/>
  <c r="Q142" i="6"/>
  <c r="Q150" i="6"/>
  <c r="Q158" i="6"/>
  <c r="Q166" i="6"/>
  <c r="Q174" i="6"/>
  <c r="Q182" i="6"/>
  <c r="Q190" i="6"/>
  <c r="Q198" i="6"/>
  <c r="Q206" i="6"/>
  <c r="Q214" i="6"/>
  <c r="Q222" i="6"/>
  <c r="Q230" i="6"/>
  <c r="Q238" i="6"/>
  <c r="Q246" i="6"/>
  <c r="Q254" i="6"/>
  <c r="Q80" i="6"/>
  <c r="Q55" i="6"/>
  <c r="Q63" i="6"/>
  <c r="Q71" i="6"/>
  <c r="Q79" i="6"/>
  <c r="Q87" i="6"/>
  <c r="Q95" i="6"/>
  <c r="Q103" i="6"/>
  <c r="Q111" i="6"/>
  <c r="Q119" i="6"/>
  <c r="Q127" i="6"/>
  <c r="Q135" i="6"/>
  <c r="Q143" i="6"/>
  <c r="Q151" i="6"/>
  <c r="Q159" i="6"/>
  <c r="Q167" i="6"/>
  <c r="Q175" i="6"/>
  <c r="Q183" i="6"/>
  <c r="Q191" i="6"/>
  <c r="Q199" i="6"/>
  <c r="Q207" i="6"/>
  <c r="Q215" i="6"/>
  <c r="Q223" i="6"/>
  <c r="Q231" i="6"/>
  <c r="Q239" i="6"/>
  <c r="Q247" i="6"/>
  <c r="Q255" i="6"/>
  <c r="Q56" i="6"/>
  <c r="Q176" i="6"/>
  <c r="Q208" i="6"/>
  <c r="Q224" i="6"/>
  <c r="Q240" i="6"/>
  <c r="P68" i="6" a="1"/>
  <c r="P68" i="6" s="1"/>
  <c r="P72" i="6" a="1"/>
  <c r="P72" i="6" s="1"/>
  <c r="P76" i="6" a="1"/>
  <c r="P76" i="6" s="1"/>
  <c r="R76" i="6" s="1"/>
  <c r="P80" i="6" a="1"/>
  <c r="P80" i="6" s="1"/>
  <c r="P84" i="6" a="1"/>
  <c r="P84" i="6" s="1"/>
  <c r="P88" i="6" a="1"/>
  <c r="P88" i="6" s="1"/>
  <c r="R88" i="6" s="1"/>
  <c r="P92" i="6" a="1"/>
  <c r="P92" i="6" s="1"/>
  <c r="P96" i="6" a="1"/>
  <c r="P96" i="6" s="1"/>
  <c r="P100" i="6" a="1"/>
  <c r="P100" i="6" s="1"/>
  <c r="P104" i="6" a="1"/>
  <c r="P104" i="6" s="1"/>
  <c r="P108" i="6" a="1"/>
  <c r="P108" i="6" s="1"/>
  <c r="P112" i="6" a="1"/>
  <c r="P112" i="6" s="1"/>
  <c r="P116" i="6" a="1"/>
  <c r="P116" i="6" s="1"/>
  <c r="P120" i="6" a="1"/>
  <c r="P120" i="6" s="1"/>
  <c r="P124" i="6" a="1"/>
  <c r="P124" i="6" s="1"/>
  <c r="P128" i="6" a="1"/>
  <c r="P128" i="6" s="1"/>
  <c r="P132" i="6" a="1"/>
  <c r="P132" i="6" s="1"/>
  <c r="P136" i="6" a="1"/>
  <c r="P136" i="6" s="1"/>
  <c r="P140" i="6" a="1"/>
  <c r="P140" i="6" s="1"/>
  <c r="R140" i="6" s="1"/>
  <c r="P144" i="6" a="1"/>
  <c r="P144" i="6" s="1"/>
  <c r="P148" i="6" a="1"/>
  <c r="P148" i="6" s="1"/>
  <c r="P152" i="6" a="1"/>
  <c r="P152" i="6" s="1"/>
  <c r="R152" i="6" s="1"/>
  <c r="P156" i="6" a="1"/>
  <c r="P156" i="6" s="1"/>
  <c r="P160" i="6" a="1"/>
  <c r="P160" i="6" s="1"/>
  <c r="P164" i="6" a="1"/>
  <c r="P164" i="6" s="1"/>
  <c r="P168" i="6" a="1"/>
  <c r="P168" i="6" s="1"/>
  <c r="P172" i="6" a="1"/>
  <c r="P172" i="6" s="1"/>
  <c r="P176" i="6" a="1"/>
  <c r="P176" i="6" s="1"/>
  <c r="P180" i="6" a="1"/>
  <c r="P180" i="6" s="1"/>
  <c r="P184" i="6" a="1"/>
  <c r="P184" i="6" s="1"/>
  <c r="P188" i="6" a="1"/>
  <c r="P188" i="6" s="1"/>
  <c r="P192" i="6" a="1"/>
  <c r="P192" i="6" s="1"/>
  <c r="P196" i="6" a="1"/>
  <c r="P196" i="6" s="1"/>
  <c r="P200" i="6" a="1"/>
  <c r="P200" i="6" s="1"/>
  <c r="P204" i="6" a="1"/>
  <c r="P204" i="6" s="1"/>
  <c r="R204" i="6" s="1"/>
  <c r="P208" i="6" a="1"/>
  <c r="P208" i="6" s="1"/>
  <c r="P212" i="6" a="1"/>
  <c r="P212" i="6" s="1"/>
  <c r="P216" i="6" a="1"/>
  <c r="P216" i="6" s="1"/>
  <c r="P220" i="6" a="1"/>
  <c r="P220" i="6" s="1"/>
  <c r="P224" i="6" a="1"/>
  <c r="P224" i="6" s="1"/>
  <c r="P228" i="6" a="1"/>
  <c r="P228" i="6" s="1"/>
  <c r="P232" i="6" a="1"/>
  <c r="P232" i="6" s="1"/>
  <c r="P236" i="6" a="1"/>
  <c r="P236" i="6" s="1"/>
  <c r="P240" i="6" a="1"/>
  <c r="P240" i="6" s="1"/>
  <c r="P244" i="6" a="1"/>
  <c r="P244" i="6" s="1"/>
  <c r="P248" i="6" a="1"/>
  <c r="P248" i="6" s="1"/>
  <c r="R248" i="6" s="1"/>
  <c r="P252" i="6" a="1"/>
  <c r="P252" i="6" s="1"/>
  <c r="P87" i="6" a="1"/>
  <c r="P87" i="6" s="1"/>
  <c r="P69" i="6" a="1"/>
  <c r="P69" i="6" s="1"/>
  <c r="P73" i="6" a="1"/>
  <c r="P73" i="6" s="1"/>
  <c r="P77" i="6" a="1"/>
  <c r="P77" i="6" s="1"/>
  <c r="P81" i="6" a="1"/>
  <c r="P81" i="6" s="1"/>
  <c r="P85" i="6" a="1"/>
  <c r="P85" i="6" s="1"/>
  <c r="P89" i="6" a="1"/>
  <c r="P89" i="6" s="1"/>
  <c r="P93" i="6" a="1"/>
  <c r="P93" i="6" s="1"/>
  <c r="P97" i="6" a="1"/>
  <c r="P97" i="6" s="1"/>
  <c r="R97" i="6" s="1"/>
  <c r="P101" i="6" a="1"/>
  <c r="P101" i="6" s="1"/>
  <c r="R101" i="6" s="1"/>
  <c r="P105" i="6" a="1"/>
  <c r="P105" i="6" s="1"/>
  <c r="P109" i="6" a="1"/>
  <c r="P109" i="6" s="1"/>
  <c r="P113" i="6" a="1"/>
  <c r="P113" i="6" s="1"/>
  <c r="P117" i="6" a="1"/>
  <c r="P117" i="6" s="1"/>
  <c r="P121" i="6" a="1"/>
  <c r="P121" i="6" s="1"/>
  <c r="P125" i="6" a="1"/>
  <c r="P125" i="6" s="1"/>
  <c r="P129" i="6" a="1"/>
  <c r="P129" i="6" s="1"/>
  <c r="P133" i="6" a="1"/>
  <c r="P133" i="6" s="1"/>
  <c r="P137" i="6" a="1"/>
  <c r="P137" i="6" s="1"/>
  <c r="P141" i="6" a="1"/>
  <c r="P141" i="6" s="1"/>
  <c r="P145" i="6" a="1"/>
  <c r="P145" i="6" s="1"/>
  <c r="P149" i="6" a="1"/>
  <c r="P149" i="6" s="1"/>
  <c r="P153" i="6" a="1"/>
  <c r="P153" i="6" s="1"/>
  <c r="P157" i="6" a="1"/>
  <c r="P157" i="6" s="1"/>
  <c r="P161" i="6" a="1"/>
  <c r="P161" i="6" s="1"/>
  <c r="R161" i="6" s="1"/>
  <c r="P165" i="6" a="1"/>
  <c r="P165" i="6" s="1"/>
  <c r="R165" i="6" s="1"/>
  <c r="P169" i="6" a="1"/>
  <c r="P169" i="6" s="1"/>
  <c r="P173" i="6" a="1"/>
  <c r="P173" i="6" s="1"/>
  <c r="P177" i="6" a="1"/>
  <c r="P177" i="6" s="1"/>
  <c r="P181" i="6" a="1"/>
  <c r="P181" i="6" s="1"/>
  <c r="P185" i="6" a="1"/>
  <c r="P185" i="6" s="1"/>
  <c r="P189" i="6" a="1"/>
  <c r="P189" i="6" s="1"/>
  <c r="P193" i="6" a="1"/>
  <c r="P193" i="6" s="1"/>
  <c r="P197" i="6" a="1"/>
  <c r="P197" i="6" s="1"/>
  <c r="P201" i="6" a="1"/>
  <c r="P201" i="6" s="1"/>
  <c r="P205" i="6" a="1"/>
  <c r="P205" i="6" s="1"/>
  <c r="P209" i="6" a="1"/>
  <c r="P209" i="6" s="1"/>
  <c r="P213" i="6" a="1"/>
  <c r="P213" i="6" s="1"/>
  <c r="P217" i="6" a="1"/>
  <c r="P217" i="6" s="1"/>
  <c r="P221" i="6" a="1"/>
  <c r="P221" i="6" s="1"/>
  <c r="P225" i="6" a="1"/>
  <c r="P225" i="6" s="1"/>
  <c r="R225" i="6" s="1"/>
  <c r="P229" i="6" a="1"/>
  <c r="P229" i="6" s="1"/>
  <c r="R229" i="6" s="1"/>
  <c r="P233" i="6" a="1"/>
  <c r="P233" i="6" s="1"/>
  <c r="P237" i="6" a="1"/>
  <c r="P237" i="6" s="1"/>
  <c r="P241" i="6" a="1"/>
  <c r="P241" i="6" s="1"/>
  <c r="P245" i="6" a="1"/>
  <c r="P245" i="6" s="1"/>
  <c r="P249" i="6" a="1"/>
  <c r="P249" i="6" s="1"/>
  <c r="P253" i="6" a="1"/>
  <c r="P253" i="6" s="1"/>
  <c r="P83" i="6" a="1"/>
  <c r="P83" i="6" s="1"/>
  <c r="P167" i="6" a="1"/>
  <c r="P167" i="6" s="1"/>
  <c r="P199" i="6" a="1"/>
  <c r="P199" i="6" s="1"/>
  <c r="P215" i="6" a="1"/>
  <c r="P215" i="6" s="1"/>
  <c r="P235" i="6" a="1"/>
  <c r="P235" i="6" s="1"/>
  <c r="P255" i="6" a="1"/>
  <c r="P255" i="6" s="1"/>
  <c r="P79" i="6" a="1"/>
  <c r="P79" i="6" s="1"/>
  <c r="P95" i="6" a="1"/>
  <c r="P95" i="6" s="1"/>
  <c r="R95" i="6" s="1"/>
  <c r="P103" i="6" a="1"/>
  <c r="P103" i="6" s="1"/>
  <c r="R103" i="6" s="1"/>
  <c r="P111" i="6" a="1"/>
  <c r="P111" i="6" s="1"/>
  <c r="R111" i="6" s="1"/>
  <c r="P119" i="6" a="1"/>
  <c r="P119" i="6" s="1"/>
  <c r="R119" i="6" s="1"/>
  <c r="P127" i="6" a="1"/>
  <c r="P127" i="6" s="1"/>
  <c r="R127" i="6" s="1"/>
  <c r="P135" i="6" a="1"/>
  <c r="P135" i="6" s="1"/>
  <c r="R135" i="6" s="1"/>
  <c r="P143" i="6" a="1"/>
  <c r="P143" i="6" s="1"/>
  <c r="R143" i="6" s="1"/>
  <c r="P151" i="6" a="1"/>
  <c r="P151" i="6" s="1"/>
  <c r="R151" i="6" s="1"/>
  <c r="P159" i="6" a="1"/>
  <c r="P159" i="6" s="1"/>
  <c r="R159" i="6" s="1"/>
  <c r="P175" i="6" a="1"/>
  <c r="P175" i="6" s="1"/>
  <c r="P183" i="6" a="1"/>
  <c r="P183" i="6" s="1"/>
  <c r="P191" i="6" a="1"/>
  <c r="P191" i="6" s="1"/>
  <c r="P211" i="6" a="1"/>
  <c r="P211" i="6" s="1"/>
  <c r="P227" i="6" a="1"/>
  <c r="P227" i="6" s="1"/>
  <c r="R227" i="6" s="1"/>
  <c r="P243" i="6" a="1"/>
  <c r="P243" i="6" s="1"/>
  <c r="P70" i="6" a="1"/>
  <c r="P70" i="6" s="1"/>
  <c r="P74" i="6" a="1"/>
  <c r="P74" i="6" s="1"/>
  <c r="R74" i="6" s="1"/>
  <c r="P78" i="6" a="1"/>
  <c r="P78" i="6" s="1"/>
  <c r="P82" i="6" a="1"/>
  <c r="P82" i="6" s="1"/>
  <c r="P86" i="6" a="1"/>
  <c r="P86" i="6" s="1"/>
  <c r="P90" i="6" a="1"/>
  <c r="P90" i="6" s="1"/>
  <c r="P94" i="6" a="1"/>
  <c r="P94" i="6" s="1"/>
  <c r="R94" i="6" s="1"/>
  <c r="P98" i="6" a="1"/>
  <c r="P98" i="6" s="1"/>
  <c r="P102" i="6" a="1"/>
  <c r="P102" i="6" s="1"/>
  <c r="P106" i="6" a="1"/>
  <c r="P106" i="6" s="1"/>
  <c r="P110" i="6" a="1"/>
  <c r="P110" i="6" s="1"/>
  <c r="P114" i="6" a="1"/>
  <c r="P114" i="6" s="1"/>
  <c r="P118" i="6" a="1"/>
  <c r="P118" i="6" s="1"/>
  <c r="P122" i="6" a="1"/>
  <c r="P122" i="6" s="1"/>
  <c r="P126" i="6" a="1"/>
  <c r="P126" i="6" s="1"/>
  <c r="P130" i="6" a="1"/>
  <c r="P130" i="6" s="1"/>
  <c r="P134" i="6" a="1"/>
  <c r="P134" i="6" s="1"/>
  <c r="P138" i="6" a="1"/>
  <c r="P138" i="6" s="1"/>
  <c r="R138" i="6" s="1"/>
  <c r="P142" i="6" a="1"/>
  <c r="P142" i="6" s="1"/>
  <c r="P146" i="6" a="1"/>
  <c r="P146" i="6" s="1"/>
  <c r="P150" i="6" a="1"/>
  <c r="P150" i="6" s="1"/>
  <c r="P154" i="6" a="1"/>
  <c r="P154" i="6" s="1"/>
  <c r="P158" i="6" a="1"/>
  <c r="P158" i="6" s="1"/>
  <c r="R158" i="6" s="1"/>
  <c r="P162" i="6" a="1"/>
  <c r="P162" i="6" s="1"/>
  <c r="P166" i="6" a="1"/>
  <c r="P166" i="6" s="1"/>
  <c r="P170" i="6" a="1"/>
  <c r="P170" i="6" s="1"/>
  <c r="P174" i="6" a="1"/>
  <c r="P174" i="6" s="1"/>
  <c r="P178" i="6" a="1"/>
  <c r="P178" i="6" s="1"/>
  <c r="P182" i="6" a="1"/>
  <c r="P182" i="6" s="1"/>
  <c r="P186" i="6" a="1"/>
  <c r="P186" i="6" s="1"/>
  <c r="P190" i="6" a="1"/>
  <c r="P190" i="6" s="1"/>
  <c r="P194" i="6" a="1"/>
  <c r="P194" i="6" s="1"/>
  <c r="P198" i="6" a="1"/>
  <c r="P198" i="6" s="1"/>
  <c r="P202" i="6" a="1"/>
  <c r="P202" i="6" s="1"/>
  <c r="R202" i="6" s="1"/>
  <c r="P206" i="6" a="1"/>
  <c r="P206" i="6" s="1"/>
  <c r="P210" i="6" a="1"/>
  <c r="P210" i="6" s="1"/>
  <c r="P214" i="6" a="1"/>
  <c r="P214" i="6" s="1"/>
  <c r="P218" i="6" a="1"/>
  <c r="P218" i="6" s="1"/>
  <c r="P222" i="6" a="1"/>
  <c r="P222" i="6" s="1"/>
  <c r="R222" i="6" s="1"/>
  <c r="P226" i="6" a="1"/>
  <c r="P226" i="6" s="1"/>
  <c r="P230" i="6" a="1"/>
  <c r="P230" i="6" s="1"/>
  <c r="P234" i="6" a="1"/>
  <c r="P234" i="6" s="1"/>
  <c r="P238" i="6" a="1"/>
  <c r="P238" i="6" s="1"/>
  <c r="P242" i="6" a="1"/>
  <c r="P242" i="6" s="1"/>
  <c r="P246" i="6" a="1"/>
  <c r="P246" i="6" s="1"/>
  <c r="P250" i="6" a="1"/>
  <c r="P250" i="6" s="1"/>
  <c r="P254" i="6" a="1"/>
  <c r="P254" i="6" s="1"/>
  <c r="P75" i="6" a="1"/>
  <c r="P75" i="6" s="1"/>
  <c r="P91" i="6" a="1"/>
  <c r="P91" i="6" s="1"/>
  <c r="P99" i="6" a="1"/>
  <c r="P99" i="6" s="1"/>
  <c r="P107" i="6" a="1"/>
  <c r="P107" i="6" s="1"/>
  <c r="P115" i="6" a="1"/>
  <c r="P115" i="6" s="1"/>
  <c r="P123" i="6" a="1"/>
  <c r="P123" i="6" s="1"/>
  <c r="P131" i="6" a="1"/>
  <c r="P131" i="6" s="1"/>
  <c r="P139" i="6" a="1"/>
  <c r="P139" i="6" s="1"/>
  <c r="P147" i="6" a="1"/>
  <c r="P147" i="6" s="1"/>
  <c r="P155" i="6" a="1"/>
  <c r="P155" i="6" s="1"/>
  <c r="P163" i="6" a="1"/>
  <c r="P163" i="6" s="1"/>
  <c r="P179" i="6" a="1"/>
  <c r="P179" i="6" s="1"/>
  <c r="P187" i="6" a="1"/>
  <c r="P187" i="6" s="1"/>
  <c r="P203" i="6" a="1"/>
  <c r="P203" i="6" s="1"/>
  <c r="P207" i="6" a="1"/>
  <c r="P207" i="6" s="1"/>
  <c r="P219" i="6" a="1"/>
  <c r="P219" i="6" s="1"/>
  <c r="P231" i="6" a="1"/>
  <c r="P231" i="6" s="1"/>
  <c r="P247" i="6" a="1"/>
  <c r="P247" i="6" s="1"/>
  <c r="P71" i="6" a="1"/>
  <c r="P71" i="6" s="1"/>
  <c r="P171" i="6" a="1"/>
  <c r="P171" i="6" s="1"/>
  <c r="P195" i="6" a="1"/>
  <c r="P195" i="6" s="1"/>
  <c r="P223" i="6" a="1"/>
  <c r="P223" i="6" s="1"/>
  <c r="P239" i="6" a="1"/>
  <c r="P239" i="6" s="1"/>
  <c r="P251" i="6" a="1"/>
  <c r="P251" i="6" s="1"/>
  <c r="P49" i="6" a="1"/>
  <c r="P49" i="6" s="1"/>
  <c r="P53" i="6" a="1"/>
  <c r="P53" i="6" s="1"/>
  <c r="P57" i="6" a="1"/>
  <c r="P57" i="6" s="1"/>
  <c r="P61" i="6" a="1"/>
  <c r="P61" i="6" s="1"/>
  <c r="P65" i="6" a="1"/>
  <c r="P65" i="6" s="1"/>
  <c r="P50" i="6" a="1"/>
  <c r="P50" i="6" s="1"/>
  <c r="P54" i="6" a="1"/>
  <c r="P54" i="6" s="1"/>
  <c r="P58" i="6" a="1"/>
  <c r="P58" i="6" s="1"/>
  <c r="P62" i="6" a="1"/>
  <c r="P62" i="6" s="1"/>
  <c r="P66" i="6" a="1"/>
  <c r="P66" i="6" s="1"/>
  <c r="R66" i="6" s="1"/>
  <c r="P51" i="6" a="1"/>
  <c r="P51" i="6" s="1"/>
  <c r="P55" i="6" a="1"/>
  <c r="P55" i="6" s="1"/>
  <c r="P59" i="6" a="1"/>
  <c r="P59" i="6" s="1"/>
  <c r="P63" i="6" a="1"/>
  <c r="P63" i="6" s="1"/>
  <c r="P67" i="6" a="1"/>
  <c r="P67" i="6" s="1"/>
  <c r="P52" i="6" a="1"/>
  <c r="P52" i="6" s="1"/>
  <c r="P56" i="6" a="1"/>
  <c r="P56" i="6" s="1"/>
  <c r="P60" i="6" a="1"/>
  <c r="P60" i="6" s="1"/>
  <c r="P64" i="6" a="1"/>
  <c r="P64" i="6" s="1"/>
  <c r="Q12" i="6"/>
  <c r="Q20" i="6"/>
  <c r="Q28" i="6"/>
  <c r="Q36" i="6"/>
  <c r="Q44" i="6"/>
  <c r="Q13" i="6"/>
  <c r="Q21" i="6"/>
  <c r="Q29" i="6"/>
  <c r="Q37" i="6"/>
  <c r="Q45" i="6"/>
  <c r="Q14" i="6"/>
  <c r="Q22" i="6"/>
  <c r="Q30" i="6"/>
  <c r="Q38" i="6"/>
  <c r="Q46" i="6"/>
  <c r="Q15" i="6"/>
  <c r="Q23" i="6"/>
  <c r="Q31" i="6"/>
  <c r="Q39" i="6"/>
  <c r="Q47" i="6"/>
  <c r="Q16" i="6"/>
  <c r="Q24" i="6"/>
  <c r="Q32" i="6"/>
  <c r="Q40" i="6"/>
  <c r="Q48" i="6"/>
  <c r="Q17" i="6"/>
  <c r="Q25" i="6"/>
  <c r="Q33" i="6"/>
  <c r="Q41" i="6"/>
  <c r="Q18" i="6"/>
  <c r="Q26" i="6"/>
  <c r="Q34" i="6"/>
  <c r="Q42" i="6"/>
  <c r="Q19" i="6"/>
  <c r="Q27" i="6"/>
  <c r="Q35" i="6"/>
  <c r="Q43" i="6"/>
  <c r="Q8" i="6"/>
  <c r="Q9" i="6"/>
  <c r="Q10" i="6"/>
  <c r="Q11" i="6"/>
  <c r="Q7" i="6"/>
  <c r="P8" i="6" a="1"/>
  <c r="P8" i="6" s="1"/>
  <c r="P12" i="6" a="1"/>
  <c r="P12" i="6" s="1"/>
  <c r="P16" i="6" a="1"/>
  <c r="P16" i="6" s="1"/>
  <c r="R16" i="6" s="1"/>
  <c r="P20" i="6" a="1"/>
  <c r="P20" i="6" s="1"/>
  <c r="P24" i="6" a="1"/>
  <c r="P24" i="6" s="1"/>
  <c r="P28" i="6" a="1"/>
  <c r="P28" i="6" s="1"/>
  <c r="P32" i="6" a="1"/>
  <c r="P32" i="6" s="1"/>
  <c r="P36" i="6" a="1"/>
  <c r="P36" i="6" s="1"/>
  <c r="P40" i="6" a="1"/>
  <c r="P40" i="6" s="1"/>
  <c r="P44" i="6" a="1"/>
  <c r="P44" i="6" s="1"/>
  <c r="P48" i="6" a="1"/>
  <c r="P48" i="6" s="1"/>
  <c r="P10" i="6" a="1"/>
  <c r="P10" i="6" s="1"/>
  <c r="P18" i="6" a="1"/>
  <c r="P18" i="6" s="1"/>
  <c r="P22" i="6" a="1"/>
  <c r="P22" i="6" s="1"/>
  <c r="P26" i="6" a="1"/>
  <c r="P26" i="6" s="1"/>
  <c r="P30" i="6" a="1"/>
  <c r="P30" i="6" s="1"/>
  <c r="P34" i="6" a="1"/>
  <c r="P34" i="6" s="1"/>
  <c r="P38" i="6" a="1"/>
  <c r="P38" i="6" s="1"/>
  <c r="P46" i="6" a="1"/>
  <c r="P46" i="6" s="1"/>
  <c r="P11" i="6" a="1"/>
  <c r="P11" i="6" s="1"/>
  <c r="P23" i="6" a="1"/>
  <c r="P23" i="6" s="1"/>
  <c r="P31" i="6" a="1"/>
  <c r="P31" i="6" s="1"/>
  <c r="P43" i="6" a="1"/>
  <c r="P43" i="6" s="1"/>
  <c r="P9" i="6" a="1"/>
  <c r="P9" i="6" s="1"/>
  <c r="P13" i="6" a="1"/>
  <c r="P13" i="6" s="1"/>
  <c r="P17" i="6" a="1"/>
  <c r="P17" i="6" s="1"/>
  <c r="P21" i="6" a="1"/>
  <c r="P21" i="6" s="1"/>
  <c r="P25" i="6" a="1"/>
  <c r="P25" i="6" s="1"/>
  <c r="P29" i="6" a="1"/>
  <c r="P29" i="6" s="1"/>
  <c r="P33" i="6" a="1"/>
  <c r="P33" i="6" s="1"/>
  <c r="P37" i="6" a="1"/>
  <c r="P37" i="6" s="1"/>
  <c r="P41" i="6" a="1"/>
  <c r="P41" i="6" s="1"/>
  <c r="P45" i="6" a="1"/>
  <c r="P45" i="6" s="1"/>
  <c r="P14" i="6" a="1"/>
  <c r="P14" i="6" s="1"/>
  <c r="P42" i="6" a="1"/>
  <c r="P42" i="6" s="1"/>
  <c r="P15" i="6" a="1"/>
  <c r="P15" i="6" s="1"/>
  <c r="P19" i="6" a="1"/>
  <c r="P19" i="6" s="1"/>
  <c r="P27" i="6" a="1"/>
  <c r="P27" i="6" s="1"/>
  <c r="P39" i="6" a="1"/>
  <c r="P39" i="6" s="1"/>
  <c r="P47" i="6" a="1"/>
  <c r="P47" i="6" s="1"/>
  <c r="P7" i="6" a="1"/>
  <c r="P7" i="6" s="1"/>
  <c r="I27" i="4"/>
  <c r="K27" i="4" s="1"/>
  <c r="N6" i="6"/>
  <c r="I25" i="4"/>
  <c r="K25" i="4" s="1"/>
  <c r="L21" i="4"/>
  <c r="I28" i="4"/>
  <c r="J28" i="4" s="1"/>
  <c r="J24" i="4"/>
  <c r="K24" i="4"/>
  <c r="I26" i="4"/>
  <c r="J26" i="4" s="1"/>
  <c r="I32" i="4"/>
  <c r="J32" i="4" s="1"/>
  <c r="D12" i="2" s="1" a="1"/>
  <c r="D12" i="2" s="1"/>
  <c r="I23" i="4"/>
  <c r="I29" i="4"/>
  <c r="I30" i="4"/>
  <c r="J30" i="4" s="1"/>
  <c r="I31" i="4"/>
  <c r="J31" i="4" s="1"/>
  <c r="I16" i="4"/>
  <c r="K16" i="4" s="1"/>
  <c r="I15" i="4"/>
  <c r="K15" i="4" s="1"/>
  <c r="I19" i="4"/>
  <c r="K19" i="4" s="1"/>
  <c r="I18" i="4"/>
  <c r="K18" i="4" s="1"/>
  <c r="I17" i="4"/>
  <c r="K17" i="4" s="1"/>
  <c r="R155" i="6" l="1"/>
  <c r="R91" i="6"/>
  <c r="D11" i="2" a="1"/>
  <c r="D11" i="2" s="1"/>
  <c r="D10" i="2" a="1"/>
  <c r="D10" i="2" s="1"/>
  <c r="R147" i="6"/>
  <c r="R226" i="6"/>
  <c r="R219" i="6"/>
  <c r="R214" i="6"/>
  <c r="R150" i="6"/>
  <c r="R86" i="6"/>
  <c r="R191" i="6"/>
  <c r="R200" i="6"/>
  <c r="R234" i="6"/>
  <c r="R206" i="6"/>
  <c r="R142" i="6"/>
  <c r="R78" i="6"/>
  <c r="R83" i="6"/>
  <c r="R128" i="6"/>
  <c r="R247" i="6"/>
  <c r="R211" i="6"/>
  <c r="R237" i="6"/>
  <c r="J23" i="4"/>
  <c r="H20" i="4"/>
  <c r="R187" i="6"/>
  <c r="R251" i="6"/>
  <c r="R223" i="6"/>
  <c r="R123" i="6"/>
  <c r="R246" i="6"/>
  <c r="R183" i="6"/>
  <c r="R170" i="6"/>
  <c r="R106" i="6"/>
  <c r="R249" i="6"/>
  <c r="R185" i="6"/>
  <c r="R121" i="6"/>
  <c r="R162" i="6"/>
  <c r="R98" i="6"/>
  <c r="R255" i="6"/>
  <c r="R245" i="6"/>
  <c r="R181" i="6"/>
  <c r="R117" i="6"/>
  <c r="R241" i="6"/>
  <c r="R177" i="6"/>
  <c r="R115" i="6"/>
  <c r="R228" i="6"/>
  <c r="R113" i="6"/>
  <c r="R173" i="6"/>
  <c r="R109" i="6"/>
  <c r="R196" i="6"/>
  <c r="R132" i="6"/>
  <c r="R68" i="6"/>
  <c r="R192" i="6"/>
  <c r="R120" i="6"/>
  <c r="R212" i="6"/>
  <c r="R148" i="6"/>
  <c r="R84" i="6"/>
  <c r="R199" i="6"/>
  <c r="R136" i="6"/>
  <c r="R242" i="6"/>
  <c r="R178" i="6"/>
  <c r="R114" i="6"/>
  <c r="R193" i="6"/>
  <c r="R129" i="6"/>
  <c r="R71" i="6"/>
  <c r="R163" i="6"/>
  <c r="R99" i="6"/>
  <c r="R253" i="6"/>
  <c r="R189" i="6"/>
  <c r="R125" i="6"/>
  <c r="R216" i="6"/>
  <c r="R235" i="6"/>
  <c r="R176" i="6"/>
  <c r="R144" i="6"/>
  <c r="R207" i="6"/>
  <c r="R250" i="6"/>
  <c r="R186" i="6"/>
  <c r="R122" i="6"/>
  <c r="R201" i="6"/>
  <c r="R137" i="6"/>
  <c r="R73" i="6"/>
  <c r="R232" i="6"/>
  <c r="R72" i="6"/>
  <c r="R197" i="6"/>
  <c r="R133" i="6"/>
  <c r="R69" i="6"/>
  <c r="R171" i="6"/>
  <c r="R107" i="6"/>
  <c r="R220" i="6"/>
  <c r="R156" i="6"/>
  <c r="R92" i="6"/>
  <c r="R230" i="6"/>
  <c r="R166" i="6"/>
  <c r="R102" i="6"/>
  <c r="R79" i="6"/>
  <c r="R49" i="6"/>
  <c r="R63" i="6"/>
  <c r="R53" i="6"/>
  <c r="R55" i="6"/>
  <c r="R64" i="6"/>
  <c r="R57" i="6"/>
  <c r="R29" i="6"/>
  <c r="R56" i="6"/>
  <c r="R50" i="6"/>
  <c r="R65" i="6"/>
  <c r="R61" i="6"/>
  <c r="R224" i="6"/>
  <c r="R160" i="6"/>
  <c r="R217" i="6"/>
  <c r="R153" i="6"/>
  <c r="R89" i="6"/>
  <c r="R213" i="6"/>
  <c r="R149" i="6"/>
  <c r="R85" i="6"/>
  <c r="R236" i="6"/>
  <c r="R172" i="6"/>
  <c r="R108" i="6"/>
  <c r="R182" i="6"/>
  <c r="R118" i="6"/>
  <c r="R58" i="6"/>
  <c r="R59" i="6"/>
  <c r="R54" i="6"/>
  <c r="R179" i="6"/>
  <c r="R238" i="6"/>
  <c r="R164" i="6"/>
  <c r="R100" i="6"/>
  <c r="R51" i="6"/>
  <c r="R194" i="6"/>
  <c r="R130" i="6"/>
  <c r="R243" i="6"/>
  <c r="R62" i="6"/>
  <c r="R231" i="6"/>
  <c r="R52" i="6"/>
  <c r="R96" i="6"/>
  <c r="R15" i="6"/>
  <c r="R60" i="6"/>
  <c r="R10" i="6"/>
  <c r="R254" i="6"/>
  <c r="R67" i="6"/>
  <c r="R131" i="6"/>
  <c r="R174" i="6"/>
  <c r="R110" i="6"/>
  <c r="R209" i="6"/>
  <c r="R215" i="6"/>
  <c r="R139" i="6"/>
  <c r="R17" i="6"/>
  <c r="R198" i="6"/>
  <c r="R134" i="6"/>
  <c r="R70" i="6"/>
  <c r="R239" i="6"/>
  <c r="R203" i="6"/>
  <c r="R25" i="6"/>
  <c r="R14" i="6"/>
  <c r="R39" i="6"/>
  <c r="R37" i="6"/>
  <c r="R195" i="6"/>
  <c r="R210" i="6"/>
  <c r="R146" i="6"/>
  <c r="R82" i="6"/>
  <c r="R167" i="6"/>
  <c r="R221" i="6"/>
  <c r="R157" i="6"/>
  <c r="R93" i="6"/>
  <c r="R23" i="6"/>
  <c r="R42" i="6"/>
  <c r="R11" i="6"/>
  <c r="R244" i="6"/>
  <c r="R190" i="6"/>
  <c r="R126" i="6"/>
  <c r="R48" i="6"/>
  <c r="R12" i="6"/>
  <c r="R180" i="6"/>
  <c r="R240" i="6"/>
  <c r="R168" i="6"/>
  <c r="R104" i="6"/>
  <c r="R116" i="6"/>
  <c r="R47" i="6"/>
  <c r="R34" i="6"/>
  <c r="R40" i="6"/>
  <c r="R175" i="6"/>
  <c r="R87" i="6"/>
  <c r="R19" i="6"/>
  <c r="R31" i="6"/>
  <c r="R22" i="6"/>
  <c r="R28" i="6"/>
  <c r="R252" i="6"/>
  <c r="R188" i="6"/>
  <c r="R124" i="6"/>
  <c r="R184" i="6"/>
  <c r="R21" i="6"/>
  <c r="R20" i="6"/>
  <c r="R75" i="6"/>
  <c r="R145" i="6"/>
  <c r="R81" i="6"/>
  <c r="R208" i="6"/>
  <c r="R112" i="6"/>
  <c r="R80" i="6"/>
  <c r="R7" i="6"/>
  <c r="R45" i="6"/>
  <c r="R218" i="6"/>
  <c r="R154" i="6"/>
  <c r="R90" i="6"/>
  <c r="R205" i="6"/>
  <c r="R141" i="6"/>
  <c r="R77" i="6"/>
  <c r="R46" i="6"/>
  <c r="R9" i="6"/>
  <c r="R233" i="6"/>
  <c r="R169" i="6"/>
  <c r="R105" i="6"/>
  <c r="R30" i="6"/>
  <c r="R36" i="6"/>
  <c r="R44" i="6"/>
  <c r="R43" i="6"/>
  <c r="R27" i="6"/>
  <c r="R33" i="6"/>
  <c r="R35" i="6"/>
  <c r="R26" i="6"/>
  <c r="R32" i="6"/>
  <c r="R18" i="6"/>
  <c r="R24" i="6"/>
  <c r="R38" i="6"/>
  <c r="R13" i="6"/>
  <c r="R41" i="6"/>
  <c r="R8" i="6"/>
  <c r="J27" i="4"/>
  <c r="J25" i="4"/>
  <c r="J29" i="4"/>
  <c r="D9" i="2" s="1" a="1"/>
  <c r="D9" i="2" s="1"/>
  <c r="K28" i="4"/>
  <c r="K26" i="4"/>
  <c r="K23" i="4"/>
  <c r="K29" i="4"/>
  <c r="K32" i="4"/>
  <c r="K30" i="4"/>
  <c r="K31" i="4"/>
  <c r="L20" i="4"/>
  <c r="M20" i="4" s="1" a="1"/>
  <c r="M20" i="4" s="1"/>
  <c r="D6" i="2" l="1" a="1"/>
  <c r="D6" i="2" s="1"/>
  <c r="D5" i="2" a="1"/>
  <c r="D5" i="2" s="1"/>
  <c r="D4" i="2" a="1"/>
  <c r="D4" i="2" s="1"/>
  <c r="D7" i="2" a="1"/>
  <c r="D7" i="2" s="1"/>
  <c r="D3" i="2" a="1"/>
  <c r="D3" i="2" s="1"/>
  <c r="D8" i="2" a="1"/>
  <c r="D8" i="2" s="1"/>
  <c r="D5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E389FB9-1D27-492E-8242-42FDA101B99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2" xr16:uid="{9BFB0569-3E96-42F9-A450-6AD5F1D53B80}" keepAlive="1" name="Query - Query1 (2)" description="Connection to the 'Query1 (2)' query in the workbook." type="5" refreshedVersion="8" background="1" saveData="1">
    <dbPr connection="Provider=Microsoft.Mashup.OleDb.1;Data Source=$Workbook$;Location=&quot;Query1 (2)&quot;;Extended Properties=&quot;&quot;" command="SELECT * FROM [Query1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3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futureMetadata>
  <cellMetadata count="1">
    <bk>
      <rc t="1" v="0"/>
    </bk>
  </cellMetadata>
  <valueMetadata count="13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valueMetadata>
</metadata>
</file>

<file path=xl/sharedStrings.xml><?xml version="1.0" encoding="utf-8"?>
<sst xmlns="http://schemas.openxmlformats.org/spreadsheetml/2006/main" count="93" uniqueCount="65">
  <si>
    <t>S/N</t>
  </si>
  <si>
    <t>Name</t>
  </si>
  <si>
    <t>Date</t>
  </si>
  <si>
    <t xml:space="preserve">Investor Name </t>
  </si>
  <si>
    <t>Time in Fund(Days)</t>
  </si>
  <si>
    <t>Investor</t>
  </si>
  <si>
    <t>Total Deposit</t>
  </si>
  <si>
    <t>Deposit Amount</t>
  </si>
  <si>
    <t>ENTRIES</t>
  </si>
  <si>
    <t>David</t>
  </si>
  <si>
    <t>Alice</t>
  </si>
  <si>
    <t>Ticker</t>
  </si>
  <si>
    <t>Type</t>
  </si>
  <si>
    <t>Entry Price</t>
  </si>
  <si>
    <t>Current Price</t>
  </si>
  <si>
    <t>Units Held</t>
  </si>
  <si>
    <t>Amount Invested</t>
  </si>
  <si>
    <t>Current Value</t>
  </si>
  <si>
    <t>Gain(%)</t>
  </si>
  <si>
    <t>Day % Change</t>
  </si>
  <si>
    <t>Crypto</t>
  </si>
  <si>
    <t>Nigerian Stocks</t>
  </si>
  <si>
    <t>Chinese Stocks</t>
  </si>
  <si>
    <t>US Stocks</t>
  </si>
  <si>
    <t>ETFs</t>
  </si>
  <si>
    <t>TOTAL NUMBER OF INVESTORS</t>
  </si>
  <si>
    <t>TOTAL FUND AMOUNT</t>
  </si>
  <si>
    <t>Row Labels</t>
  </si>
  <si>
    <t>Grand Total</t>
  </si>
  <si>
    <t>Count of Type</t>
  </si>
  <si>
    <t>Total Portfolio Gain</t>
  </si>
  <si>
    <t>Gain(Loss)</t>
  </si>
  <si>
    <t>Sum of Gain(Loss)</t>
  </si>
  <si>
    <t>Average Share Price (Filtered Instruments Only)</t>
  </si>
  <si>
    <t xml:space="preserve">Stock Ticker </t>
  </si>
  <si>
    <t>Tiem Range(Months)</t>
  </si>
  <si>
    <t>Gain/Loss</t>
  </si>
  <si>
    <t>Gain/Loss per Share</t>
  </si>
  <si>
    <t xml:space="preserve">Units Held </t>
  </si>
  <si>
    <t xml:space="preserve">FUND MANAGER </t>
  </si>
  <si>
    <t>Time (Months)</t>
  </si>
  <si>
    <t>Financial Instrument Lookup</t>
  </si>
  <si>
    <t>Jane</t>
  </si>
  <si>
    <t>Conversion Rate</t>
  </si>
  <si>
    <t>In Dollars</t>
  </si>
  <si>
    <t>Investor Position</t>
  </si>
  <si>
    <t>Portfolio Value</t>
  </si>
  <si>
    <t>Query1</t>
  </si>
  <si>
    <t>TTWO</t>
  </si>
  <si>
    <t>📘 Project Documentation: Dynamic Investment Fund Tracker</t>
  </si>
  <si>
    <t>🛠️ Key Features &amp; Functionality</t>
  </si>
  <si>
    <r>
      <t>Dynamic Dashboard (Tab 1):</t>
    </r>
    <r>
      <rPr>
        <sz val="11"/>
        <color theme="1"/>
        <rFont val="Aptos Narrow"/>
        <family val="2"/>
        <scheme val="minor"/>
      </rPr>
      <t xml:space="preserve"> Interactive visualization of portfolio composition via a Donut Chart and category-based gain/loss analysis via Horizontal Bar Charts.</t>
    </r>
  </si>
  <si>
    <r>
      <t>Market Analysis (Tab 2):</t>
    </r>
    <r>
      <rPr>
        <sz val="11"/>
        <color theme="1"/>
        <rFont val="Aptos Narrow"/>
        <family val="2"/>
        <scheme val="minor"/>
      </rPr>
      <t xml:space="preserve"> Integrated Line Charts with Data Validation dropdowns. Users can filter by </t>
    </r>
    <r>
      <rPr>
        <b/>
        <sz val="11"/>
        <color theme="1"/>
        <rFont val="Aptos Narrow"/>
        <family val="2"/>
        <scheme val="minor"/>
      </rPr>
      <t>Stock Ticker</t>
    </r>
    <r>
      <rPr>
        <sz val="11"/>
        <color theme="1"/>
        <rFont val="Aptos Narrow"/>
        <family val="2"/>
        <scheme val="minor"/>
      </rPr>
      <t xml:space="preserve"> and </t>
    </r>
    <r>
      <rPr>
        <b/>
        <sz val="11"/>
        <color theme="1"/>
        <rFont val="Aptos Narrow"/>
        <family val="2"/>
        <scheme val="minor"/>
      </rPr>
      <t>Trailing Months</t>
    </r>
    <r>
      <rPr>
        <sz val="11"/>
        <color theme="1"/>
        <rFont val="Aptos Narrow"/>
        <family val="2"/>
        <scheme val="minor"/>
      </rPr>
      <t xml:space="preserve"> (e.g., 3, 6, 12 months) to analyze individual stock volatility.</t>
    </r>
  </si>
  <si>
    <r>
      <t>Currency Engine:</t>
    </r>
    <r>
      <rPr>
        <sz val="11"/>
        <color theme="1"/>
        <rFont val="Aptos Narrow"/>
        <family val="2"/>
        <scheme val="minor"/>
      </rPr>
      <t xml:space="preserve"> Automated logic that converts total fund value from Naira (NGN) to US Dollars (USD) dynamically, ensuring a global view of asset value.</t>
    </r>
  </si>
  <si>
    <t>🚀 How to Use the Tracker</t>
  </si>
  <si>
    <t>💡 Technical Skills Applied</t>
  </si>
  <si>
    <r>
      <t>Advanced Excel:</t>
    </r>
    <r>
      <rPr>
        <sz val="11"/>
        <color theme="1"/>
        <rFont val="Aptos Narrow"/>
        <family val="2"/>
        <scheme val="minor"/>
      </rPr>
      <t xml:space="preserve"> Data Validation, Dynamic Named Ranges, Pivot Tables, and Complex Nested Formulas (VLOOKUP/XLOOKUP/INDEX-MATCH).</t>
    </r>
  </si>
  <si>
    <r>
      <t>Data Visualization:</t>
    </r>
    <r>
      <rPr>
        <sz val="11"/>
        <color theme="1"/>
        <rFont val="Aptos Narrow"/>
        <family val="2"/>
        <scheme val="minor"/>
      </rPr>
      <t xml:space="preserve"> Custom UI design focusing on "Stakeholder Clarity" and real-time insight generation.</t>
    </r>
  </si>
  <si>
    <r>
      <t>Objective:</t>
    </r>
    <r>
      <rPr>
        <sz val="11"/>
        <color theme="1"/>
        <rFont val="Aptos Narrow"/>
        <family val="2"/>
        <scheme val="minor"/>
      </rPr>
      <t xml:space="preserve"> To provide a real-time, multi-currency (NGN/USD) dashboard for tracking portfolio performance and individual stock trends.</t>
    </r>
  </si>
  <si>
    <r>
      <t>3. Review Logic:</t>
    </r>
    <r>
      <rPr>
        <sz val="11"/>
        <color theme="1"/>
        <rFont val="Aptos Narrow"/>
        <family val="2"/>
        <scheme val="minor"/>
      </rPr>
      <t xml:space="preserve"> All Investor Returns calculations (Percentage Gain, Portfolio Weights, and Currency Conversions) are processed on the </t>
    </r>
    <r>
      <rPr>
        <b/>
        <sz val="11"/>
        <color theme="1"/>
        <rFont val="Aptos Narrow"/>
        <family val="2"/>
        <scheme val="minor"/>
      </rPr>
      <t>Calculation Sheet</t>
    </r>
    <r>
      <rPr>
        <sz val="11"/>
        <color theme="1"/>
        <rFont val="Aptos Narrow"/>
        <family val="2"/>
        <scheme val="minor"/>
      </rPr>
      <t xml:space="preserve"> to maintain data integrity and dashboard performance.</t>
    </r>
  </si>
  <si>
    <r>
      <t>1. Input Data:</t>
    </r>
    <r>
      <rPr>
        <sz val="11"/>
        <color theme="1"/>
        <rFont val="Aptos Narrow"/>
        <family val="2"/>
        <scheme val="minor"/>
      </rPr>
      <t xml:space="preserve"> Use the </t>
    </r>
    <r>
      <rPr>
        <b/>
        <sz val="11"/>
        <color theme="1"/>
        <rFont val="Aptos Narrow"/>
        <family val="2"/>
        <scheme val="minor"/>
      </rPr>
      <t>Entries Tab</t>
    </r>
    <r>
      <rPr>
        <sz val="11"/>
        <color theme="1"/>
        <rFont val="Aptos Narrow"/>
        <family val="2"/>
        <scheme val="minor"/>
      </rPr>
      <t xml:space="preserve"> to log new investments. The system automatically calculates the days in portfoli</t>
    </r>
    <r>
      <rPr>
        <b/>
        <sz val="11"/>
        <color theme="1"/>
        <rFont val="Aptos Narrow"/>
        <family val="2"/>
        <scheme val="minor"/>
      </rPr>
      <t>o(Current date - Entry date)</t>
    </r>
  </si>
  <si>
    <r>
      <t>3. Toggle Filters:</t>
    </r>
    <r>
      <rPr>
        <sz val="11"/>
        <color theme="1"/>
        <rFont val="Aptos Narrow"/>
        <family val="2"/>
        <scheme val="minor"/>
      </rPr>
      <t xml:space="preserve"> On the </t>
    </r>
    <r>
      <rPr>
        <b/>
        <sz val="11"/>
        <color theme="1"/>
        <rFont val="Aptos Narrow"/>
        <family val="2"/>
        <scheme val="minor"/>
      </rPr>
      <t>Dashboard Tab</t>
    </r>
    <r>
      <rPr>
        <sz val="11"/>
        <color theme="1"/>
        <rFont val="Aptos Narrow"/>
        <family val="2"/>
        <scheme val="minor"/>
      </rPr>
      <t>, use the dropdown menus (Data Validation) to select a specific stock or timeframe.</t>
    </r>
  </si>
  <si>
    <r>
      <t>VBA Automation:</t>
    </r>
    <r>
      <rPr>
        <sz val="11"/>
        <color theme="1"/>
        <rFont val="Aptos Narrow"/>
        <family val="2"/>
        <scheme val="minor"/>
      </rPr>
      <t xml:space="preserve"> Custom scripts for dynamic chart updates.</t>
    </r>
  </si>
  <si>
    <r>
      <t>Automated Metrics:</t>
    </r>
    <r>
      <rPr>
        <sz val="11"/>
        <color theme="1"/>
        <rFont val="Aptos Narrow"/>
        <family val="2"/>
        <scheme val="minor"/>
      </rPr>
      <t xml:space="preserve"> The system calculates Units held, Current Price (Live Update Simulation), Profit/Loss, and Day Percentage Change.</t>
    </r>
  </si>
  <si>
    <r>
      <t>2. Input Investment:</t>
    </r>
    <r>
      <rPr>
        <sz val="11"/>
        <color theme="1"/>
        <rFont val="Aptos Narrow"/>
        <family val="2"/>
        <scheme val="minor"/>
      </rPr>
      <t xml:space="preserve"> Use the Table in the Dashboard</t>
    </r>
    <r>
      <rPr>
        <b/>
        <sz val="11"/>
        <color theme="1"/>
        <rFont val="Aptos Narrow"/>
        <family val="2"/>
        <scheme val="minor"/>
      </rPr>
      <t xml:space="preserve"> Tab</t>
    </r>
    <r>
      <rPr>
        <sz val="11"/>
        <color theme="1"/>
        <rFont val="Aptos Narrow"/>
        <family val="2"/>
        <scheme val="minor"/>
      </rPr>
      <t xml:space="preserve"> to log new investments. The system automatically gets the ticker symbol and aforementioned Automated Metrics from your entry price and instrument name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</si>
</sst>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46A]* #,##0.00_-;\-[$₦-46A]* #,##0.00_-;_-[$₦-46A]* &quot;-&quot;??_-;_-@_-"/>
    <numFmt numFmtId="165" formatCode="_([$$-409]* #,##0.00_);_([$$-409]* \(#,##0.00\);_([$$-409]* &quot;-&quot;??_);_(@_)"/>
    <numFmt numFmtId="166" formatCode="0.0000000"/>
  </numFmts>
  <fonts count="7" x14ac:knownFonts="1">
    <font>
      <sz val="11"/>
      <color theme="1"/>
      <name val="Aptos Narrow"/>
      <family val="2"/>
      <scheme val="minor"/>
    </font>
    <font>
      <sz val="11"/>
      <color theme="1"/>
      <name val="Aptos Narrow"/>
      <family val="2"/>
      <scheme val="minor"/>
    </font>
    <font>
      <sz val="11"/>
      <color theme="1"/>
      <name val="ADLaM Display"/>
    </font>
    <font>
      <b/>
      <sz val="11"/>
      <color theme="1"/>
      <name val="Aptos Narrow"/>
      <family val="2"/>
      <scheme val="minor"/>
    </font>
    <font>
      <b/>
      <sz val="26"/>
      <color theme="1"/>
      <name val="Aptos Narrow"/>
      <family val="2"/>
      <scheme val="minor"/>
    </font>
    <font>
      <b/>
      <sz val="18"/>
      <color theme="1"/>
      <name val="Aptos Narrow"/>
      <family val="2"/>
      <scheme val="minor"/>
    </font>
    <font>
      <b/>
      <sz val="13.5"/>
      <color theme="1"/>
      <name val="Aptos Narrow"/>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2"/>
        <bgColor indexed="64"/>
      </patternFill>
    </fill>
    <fill>
      <patternFill patternType="solid">
        <fgColor theme="0" tint="-0.34998626667073579"/>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42">
    <xf numFmtId="0" fontId="0" fillId="0" borderId="0" xfId="0"/>
    <xf numFmtId="14" fontId="0" fillId="0" borderId="0" xfId="0" applyNumberFormat="1"/>
    <xf numFmtId="164" fontId="0" fillId="0" borderId="0" xfId="0" applyNumberFormat="1"/>
    <xf numFmtId="0" fontId="2" fillId="0" borderId="0" xfId="0" applyFont="1"/>
    <xf numFmtId="165" fontId="0" fillId="0" borderId="0" xfId="0" applyNumberFormat="1"/>
    <xf numFmtId="0" fontId="3" fillId="0" borderId="0" xfId="0" applyFont="1" applyAlignment="1">
      <alignment wrapText="1"/>
    </xf>
    <xf numFmtId="0" fontId="3" fillId="0" borderId="0" xfId="0" applyFont="1"/>
    <xf numFmtId="164" fontId="3" fillId="0" borderId="0" xfId="0" applyNumberFormat="1" applyFont="1"/>
    <xf numFmtId="0" fontId="0" fillId="0" borderId="0" xfId="0" pivotButton="1"/>
    <xf numFmtId="0" fontId="0" fillId="0" borderId="0" xfId="0" applyAlignment="1">
      <alignment horizontal="left"/>
    </xf>
    <xf numFmtId="4" fontId="0" fillId="0" borderId="0" xfId="0" applyNumberFormat="1"/>
    <xf numFmtId="4" fontId="3" fillId="0" borderId="0" xfId="0" applyNumberFormat="1" applyFont="1"/>
    <xf numFmtId="4" fontId="0" fillId="0" borderId="0" xfId="2" applyNumberFormat="1" applyFont="1"/>
    <xf numFmtId="44" fontId="0" fillId="0" borderId="0" xfId="1" applyFont="1"/>
    <xf numFmtId="9" fontId="0" fillId="0" borderId="0" xfId="2" applyFont="1"/>
    <xf numFmtId="2" fontId="0" fillId="0" borderId="0" xfId="2" applyNumberFormat="1" applyFont="1"/>
    <xf numFmtId="2" fontId="0" fillId="0" borderId="0" xfId="0" applyNumberFormat="1"/>
    <xf numFmtId="0" fontId="0" fillId="2" borderId="0" xfId="0" applyFill="1"/>
    <xf numFmtId="4" fontId="0" fillId="2" borderId="0" xfId="0" applyNumberFormat="1" applyFill="1"/>
    <xf numFmtId="14" fontId="3" fillId="0" borderId="0" xfId="0" applyNumberFormat="1" applyFont="1"/>
    <xf numFmtId="44" fontId="0" fillId="0" borderId="0" xfId="0" applyNumberFormat="1"/>
    <xf numFmtId="0" fontId="3" fillId="3" borderId="0" xfId="0" applyFont="1" applyFill="1"/>
    <xf numFmtId="4" fontId="0" fillId="3" borderId="0" xfId="0" applyNumberFormat="1" applyFill="1"/>
    <xf numFmtId="4" fontId="0" fillId="4" borderId="0" xfId="0" applyNumberFormat="1" applyFill="1"/>
    <xf numFmtId="44" fontId="3" fillId="0" borderId="0" xfId="1" applyFont="1"/>
    <xf numFmtId="0" fontId="0" fillId="0" borderId="1" xfId="0" applyBorder="1"/>
    <xf numFmtId="14" fontId="0" fillId="0" borderId="1" xfId="0" applyNumberFormat="1" applyBorder="1"/>
    <xf numFmtId="164" fontId="0" fillId="0" borderId="1" xfId="0" applyNumberFormat="1" applyBorder="1"/>
    <xf numFmtId="166" fontId="0" fillId="0" borderId="0" xfId="0" applyNumberFormat="1"/>
    <xf numFmtId="0" fontId="4" fillId="4" borderId="0" xfId="0" applyFont="1" applyFill="1" applyAlignment="1">
      <alignment horizontal="left"/>
    </xf>
    <xf numFmtId="4" fontId="3" fillId="0" borderId="0" xfId="0" applyNumberFormat="1" applyFont="1" applyAlignment="1">
      <alignment horizontal="center"/>
    </xf>
    <xf numFmtId="4" fontId="4" fillId="4" borderId="0" xfId="0" applyNumberFormat="1" applyFont="1" applyFill="1"/>
    <xf numFmtId="4" fontId="3" fillId="4" borderId="0" xfId="0" applyNumberFormat="1" applyFont="1" applyFill="1" applyAlignment="1">
      <alignment horizontal="center"/>
    </xf>
    <xf numFmtId="0" fontId="0" fillId="0" borderId="0" xfId="0" applyNumberFormat="1"/>
    <xf numFmtId="0" fontId="5"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indent="1"/>
    </xf>
    <xf numFmtId="0" fontId="3" fillId="0" borderId="0" xfId="0" applyFont="1" applyAlignment="1">
      <alignment horizontal="left" vertical="center" indent="1"/>
    </xf>
    <xf numFmtId="0" fontId="3" fillId="0" borderId="0" xfId="0" applyFont="1"/>
    <xf numFmtId="0" fontId="6" fillId="0" borderId="0" xfId="0" applyFont="1" applyAlignment="1">
      <alignment vertical="center"/>
    </xf>
    <xf numFmtId="0" fontId="3" fillId="0" borderId="0" xfId="0" applyFont="1" applyAlignment="1">
      <alignment horizontal="left" vertical="center" indent="1"/>
    </xf>
    <xf numFmtId="44" fontId="3" fillId="0" borderId="2" xfId="1" applyFont="1" applyBorder="1"/>
  </cellXfs>
  <cellStyles count="3">
    <cellStyle name="Currency" xfId="1" builtinId="4"/>
    <cellStyle name="Normal" xfId="0" builtinId="0"/>
    <cellStyle name="Percent" xfId="2" builtinId="5"/>
  </cellStyles>
  <dxfs count="22">
    <dxf>
      <font>
        <color theme="9" tint="0.39994506668294322"/>
      </font>
      <fill>
        <patternFill patternType="none">
          <bgColor auto="1"/>
        </patternFill>
      </fill>
    </dxf>
    <dxf>
      <font>
        <color rgb="FFFF0000"/>
      </font>
      <fill>
        <patternFill patternType="none">
          <bgColor auto="1"/>
        </patternFill>
      </fill>
    </dxf>
    <dxf>
      <font>
        <color rgb="FF006100"/>
      </font>
      <fill>
        <patternFill>
          <bgColor rgb="FFC6EFCE"/>
        </patternFill>
      </fill>
    </dxf>
    <dxf>
      <numFmt numFmtId="2" formatCode="0.00"/>
    </dxf>
    <dxf>
      <font>
        <b/>
      </font>
    </dxf>
    <dxf>
      <numFmt numFmtId="4" formatCode="#,##0.00"/>
    </dxf>
    <dxf>
      <numFmt numFmtId="4" formatCode="#,##0.00"/>
    </dxf>
    <dxf>
      <numFmt numFmtId="4" formatCode="#,##0.00"/>
    </dxf>
    <dxf>
      <numFmt numFmtId="4" formatCode="#,##0.00"/>
    </dxf>
    <dxf>
      <font>
        <b/>
      </font>
      <numFmt numFmtId="19" formatCode="m/d/yyyy"/>
    </dxf>
    <dxf>
      <numFmt numFmtId="4" formatCode="#,##0.00"/>
    </dxf>
    <dxf>
      <numFmt numFmtId="4" formatCode="#,##0.00"/>
    </dxf>
    <dxf>
      <font>
        <b/>
      </font>
      <numFmt numFmtId="164" formatCode="_-[$₦-46A]* #,##0.00_-;\-[$₦-46A]* #,##0.00_-;_-[$₦-46A]* &quot;-&quot;??_-;_-@_-"/>
    </dxf>
    <dxf>
      <numFmt numFmtId="164" formatCode="_-[$₦-46A]* #,##0.00_-;\-[$₦-46A]* #,##0.00_-;_-[$₦-46A]* &quot;-&quot;??_-;_-@_-"/>
    </dxf>
    <dxf>
      <font>
        <b/>
      </font>
    </dxf>
    <dxf>
      <numFmt numFmtId="0" formatCode="Genera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6A]* #,##0.00_-;\-[$₦-46A]* #,##0.00_-;_-[$₦-46A]*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Array" Target="richData/rdarray.xml"/><Relationship Id="rId10" Type="http://schemas.openxmlformats.org/officeDocument/2006/relationships/styles" Target="style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[Fund Tracker.xlsm]Rough but Essential!Donut Chart</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dk1">
              <a:tint val="885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
        <c:idx val="9"/>
        <c:spPr>
          <a:solidFill>
            <a:schemeClr val="dk1">
              <a:tint val="88500"/>
            </a:schemeClr>
          </a:solidFill>
          <a:ln w="19050">
            <a:solidFill>
              <a:schemeClr val="lt1"/>
            </a:solidFill>
          </a:ln>
          <a:effectLst/>
        </c:spPr>
      </c:pivotFmt>
      <c:pivotFmt>
        <c:idx val="10"/>
        <c:spPr>
          <a:solidFill>
            <a:schemeClr val="dk1">
              <a:tint val="88500"/>
            </a:schemeClr>
          </a:solidFill>
          <a:ln w="19050">
            <a:solidFill>
              <a:schemeClr val="lt1"/>
            </a:solidFill>
          </a:ln>
          <a:effectLst/>
        </c:spPr>
      </c:pivotFmt>
      <c:pivotFmt>
        <c:idx val="11"/>
        <c:spPr>
          <a:solidFill>
            <a:schemeClr val="dk1">
              <a:tint val="88500"/>
            </a:schemeClr>
          </a:solidFill>
          <a:ln w="19050">
            <a:solidFill>
              <a:schemeClr val="lt1"/>
            </a:solidFill>
          </a:ln>
          <a:effectLst/>
        </c:spPr>
      </c:pivotFmt>
    </c:pivotFmts>
    <c:plotArea>
      <c:layout/>
      <c:doughnutChart>
        <c:varyColors val="1"/>
        <c:ser>
          <c:idx val="0"/>
          <c:order val="0"/>
          <c:tx>
            <c:strRef>
              <c:f>'Rough but Essential'!$B$3</c:f>
              <c:strCache>
                <c:ptCount val="1"/>
                <c:pt idx="0">
                  <c:v>Total</c:v>
                </c:pt>
              </c:strCache>
            </c:strRef>
          </c:tx>
          <c:dPt>
            <c:idx val="0"/>
            <c:bubble3D val="0"/>
            <c:explosion val="5"/>
            <c:spPr>
              <a:solidFill>
                <a:schemeClr val="dk1">
                  <a:tint val="88500"/>
                </a:schemeClr>
              </a:solidFill>
              <a:ln w="19050">
                <a:solidFill>
                  <a:schemeClr val="lt1"/>
                </a:solidFill>
              </a:ln>
              <a:effectLst/>
            </c:spPr>
            <c:extLst>
              <c:ext xmlns:c16="http://schemas.microsoft.com/office/drawing/2014/chart" uri="{C3380CC4-5D6E-409C-BE32-E72D297353CC}">
                <c16:uniqueId val="{00000001-F7F0-446F-8286-C7C4D90E877D}"/>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F7F0-446F-8286-C7C4D90E877D}"/>
              </c:ext>
            </c:extLst>
          </c:dPt>
          <c:dPt>
            <c:idx val="2"/>
            <c:bubble3D val="0"/>
            <c:explosion val="8"/>
            <c:spPr>
              <a:solidFill>
                <a:schemeClr val="dk1">
                  <a:tint val="75000"/>
                </a:schemeClr>
              </a:solidFill>
              <a:ln w="19050">
                <a:solidFill>
                  <a:schemeClr val="lt1"/>
                </a:solidFill>
              </a:ln>
              <a:effectLst/>
            </c:spPr>
            <c:extLst>
              <c:ext xmlns:c16="http://schemas.microsoft.com/office/drawing/2014/chart" uri="{C3380CC4-5D6E-409C-BE32-E72D297353CC}">
                <c16:uniqueId val="{00000005-F7F0-446F-8286-C7C4D90E877D}"/>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704A-4331-9998-049BA4014535}"/>
              </c:ext>
            </c:extLst>
          </c:dPt>
          <c:dPt>
            <c:idx val="4"/>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09-E3C7-49B6-BD16-39FBB9E5365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'Rough but Essential'!$A$4:$A$9</c:f>
              <c:strCache>
                <c:ptCount val="5"/>
                <c:pt idx="0">
                  <c:v>Nigerian Stocks</c:v>
                </c:pt>
                <c:pt idx="1">
                  <c:v>US Stocks</c:v>
                </c:pt>
                <c:pt idx="2">
                  <c:v>Crypto</c:v>
                </c:pt>
                <c:pt idx="3">
                  <c:v>ETFs</c:v>
                </c:pt>
                <c:pt idx="4">
                  <c:v>Chinese Stocks</c:v>
                </c:pt>
              </c:strCache>
            </c:strRef>
          </c:cat>
          <c:val>
            <c:numRef>
              <c:f>'Rough but Essential'!$B$4:$B$9</c:f>
              <c:numCache>
                <c:formatCode>General</c:formatCode>
                <c:ptCount val="5"/>
                <c:pt idx="0">
                  <c:v>1</c:v>
                </c:pt>
                <c:pt idx="1">
                  <c:v>5</c:v>
                </c:pt>
                <c:pt idx="2">
                  <c:v>1</c:v>
                </c:pt>
                <c:pt idx="3">
                  <c:v>1</c:v>
                </c:pt>
                <c:pt idx="4">
                  <c:v>2</c:v>
                </c:pt>
              </c:numCache>
            </c:numRef>
          </c:val>
          <c:extLst>
            <c:ext xmlns:c16="http://schemas.microsoft.com/office/drawing/2014/chart" uri="{C3380CC4-5D6E-409C-BE32-E72D297353CC}">
              <c16:uniqueId val="{00000006-F7F0-446F-8286-C7C4D90E877D}"/>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[Fund Tracker.xlsm]Rough but Essential!PivotTable3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Gain(Loss)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dLbl>
          <c:idx val="0"/>
          <c:layout>
            <c:manualLayout>
              <c:x val="-0.10374638199998756"/>
              <c:y val="1.2030073288722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dLbl>
          <c:idx val="0"/>
          <c:layout>
            <c:manualLayout>
              <c:x val="-0.10374638199998756"/>
              <c:y val="1.2030073288722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a:noFill/>
          </a:ln>
          <a:effectLst/>
        </c:spPr>
        <c:dLbl>
          <c:idx val="0"/>
          <c:layout>
            <c:manualLayout>
              <c:x val="-0.10374638199998756"/>
              <c:y val="1.2030073288722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27858127352094E-2"/>
          <c:y val="0.24219379279793293"/>
          <c:w val="0.87710547150527574"/>
          <c:h val="0.64213764946048413"/>
        </c:manualLayout>
      </c:layout>
      <c:barChart>
        <c:barDir val="bar"/>
        <c:grouping val="clustered"/>
        <c:varyColors val="0"/>
        <c:ser>
          <c:idx val="0"/>
          <c:order val="0"/>
          <c:tx>
            <c:strRef>
              <c:f>'Rough but Essential'!$B$27</c:f>
              <c:strCache>
                <c:ptCount val="1"/>
                <c:pt idx="0">
                  <c:v>Total</c:v>
                </c:pt>
              </c:strCache>
            </c:strRef>
          </c:tx>
          <c:spPr>
            <a:solidFill>
              <a:schemeClr val="dk1">
                <a:tint val="88500"/>
              </a:schemeClr>
            </a:solidFill>
            <a:ln>
              <a:noFill/>
            </a:ln>
            <a:effectLst/>
          </c:spPr>
          <c:invertIfNegative val="0"/>
          <c:dPt>
            <c:idx val="0"/>
            <c:invertIfNegative val="0"/>
            <c:bubble3D val="0"/>
            <c:extLst>
              <c:ext xmlns:c16="http://schemas.microsoft.com/office/drawing/2014/chart" uri="{C3380CC4-5D6E-409C-BE32-E72D297353CC}">
                <c16:uniqueId val="{00000001-4507-4C3D-8545-D2C4EB1387B4}"/>
              </c:ext>
            </c:extLst>
          </c:dPt>
          <c:dPt>
            <c:idx val="1"/>
            <c:invertIfNegative val="0"/>
            <c:bubble3D val="0"/>
            <c:spPr>
              <a:solidFill>
                <a:schemeClr val="dk1">
                  <a:tint val="88500"/>
                </a:schemeClr>
              </a:solidFill>
              <a:ln>
                <a:noFill/>
              </a:ln>
              <a:effectLst/>
            </c:spPr>
          </c:dPt>
          <c:dPt>
            <c:idx val="3"/>
            <c:invertIfNegative val="0"/>
            <c:bubble3D val="0"/>
            <c:extLst>
              <c:ext xmlns:c16="http://schemas.microsoft.com/office/drawing/2014/chart" uri="{C3380CC4-5D6E-409C-BE32-E72D297353CC}">
                <c16:uniqueId val="{00000000-EEA8-4E6E-BD07-CDBE93E92B65}"/>
              </c:ext>
            </c:extLst>
          </c:dPt>
          <c:dLbls>
            <c:dLbl>
              <c:idx val="1"/>
              <c:layout>
                <c:manualLayout>
                  <c:x val="-0.10374638199998756"/>
                  <c:y val="1.2030073288722075E-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'Rough but Essential'!$A$28:$A$33</c:f>
              <c:strCache>
                <c:ptCount val="5"/>
                <c:pt idx="0">
                  <c:v>Chinese Stocks</c:v>
                </c:pt>
                <c:pt idx="1">
                  <c:v>ETFs</c:v>
                </c:pt>
                <c:pt idx="2">
                  <c:v>Crypto</c:v>
                </c:pt>
                <c:pt idx="3">
                  <c:v>Nigerian Stocks</c:v>
                </c:pt>
                <c:pt idx="4">
                  <c:v>US Stocks</c:v>
                </c:pt>
              </c:strCache>
            </c:strRef>
          </c:cat>
          <c:val>
            <c:numRef>
              <c:f>'Rough but Essential'!$B$28:$B$33</c:f>
              <c:numCache>
                <c:formatCode>_([$$-409]* #,##0.00_);_([$$-409]* \(#,##0.00\);_([$$-409]* "-"??_);_(@_)</c:formatCode>
                <c:ptCount val="5"/>
                <c:pt idx="0">
                  <c:v>-292.49999999999989</c:v>
                </c:pt>
                <c:pt idx="1">
                  <c:v>61.111111111111086</c:v>
                </c:pt>
                <c:pt idx="2">
                  <c:v>210.66666666666674</c:v>
                </c:pt>
                <c:pt idx="3">
                  <c:v>354.28571428571433</c:v>
                </c:pt>
                <c:pt idx="4">
                  <c:v>4247.8919134944526</c:v>
                </c:pt>
              </c:numCache>
            </c:numRef>
          </c:val>
          <c:extLst>
            <c:ext xmlns:c16="http://schemas.microsoft.com/office/drawing/2014/chart" uri="{C3380CC4-5D6E-409C-BE32-E72D297353CC}">
              <c16:uniqueId val="{00000001-EEA8-4E6E-BD07-CDBE93E92B65}"/>
            </c:ext>
          </c:extLst>
        </c:ser>
        <c:dLbls>
          <c:showLegendKey val="0"/>
          <c:showVal val="0"/>
          <c:showCatName val="0"/>
          <c:showSerName val="0"/>
          <c:showPercent val="0"/>
          <c:showBubbleSize val="0"/>
        </c:dLbls>
        <c:gapWidth val="182"/>
        <c:axId val="1547767280"/>
        <c:axId val="1547766320"/>
      </c:barChart>
      <c:catAx>
        <c:axId val="1547767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66320"/>
        <c:crosses val="autoZero"/>
        <c:auto val="1"/>
        <c:lblAlgn val="ctr"/>
        <c:lblOffset val="1000"/>
        <c:noMultiLvlLbl val="0"/>
      </c:catAx>
      <c:valAx>
        <c:axId val="1547766320"/>
        <c:scaling>
          <c:orientation val="minMax"/>
          <c:min val="-1000"/>
        </c:scaling>
        <c:delete val="0"/>
        <c:axPos val="b"/>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67280"/>
        <c:crosses val="autoZero"/>
        <c:crossBetween val="between"/>
        <c:majorUnit val="1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tx>
            <c:strRef>
              <c:f>'Rough but Essential'!$R$6</c:f>
              <c:strCache>
                <c:ptCount val="1"/>
                <c:pt idx="0">
                  <c:v>Gain/Loss</c:v>
                </c:pt>
              </c:strCache>
            </c:strRef>
          </c:tx>
          <c:spPr>
            <a:ln w="28575" cap="rnd">
              <a:solidFill>
                <a:schemeClr val="dk1">
                  <a:tint val="88500"/>
                </a:schemeClr>
              </a:solidFill>
              <a:round/>
            </a:ln>
            <a:effectLst/>
          </c:spPr>
          <c:marker>
            <c:symbol val="none"/>
          </c:marker>
          <c:cat>
            <c:numRef>
              <c:f>'Rough but Essential'!$N$7:$N$255</c:f>
              <c:numCache>
                <c:formatCode>m/d/yyyy</c:formatCode>
                <c:ptCount val="249"/>
                <c:pt idx="0">
                  <c:v>45929</c:v>
                </c:pt>
                <c:pt idx="1">
                  <c:v>45930</c:v>
                </c:pt>
                <c:pt idx="2">
                  <c:v>45931</c:v>
                </c:pt>
                <c:pt idx="3">
                  <c:v>45932</c:v>
                </c:pt>
                <c:pt idx="4">
                  <c:v>45933</c:v>
                </c:pt>
                <c:pt idx="5">
                  <c:v>45936</c:v>
                </c:pt>
                <c:pt idx="6">
                  <c:v>45937</c:v>
                </c:pt>
                <c:pt idx="7">
                  <c:v>45938</c:v>
                </c:pt>
                <c:pt idx="8">
                  <c:v>45939</c:v>
                </c:pt>
                <c:pt idx="9">
                  <c:v>45940</c:v>
                </c:pt>
                <c:pt idx="10">
                  <c:v>45943</c:v>
                </c:pt>
                <c:pt idx="11">
                  <c:v>45944</c:v>
                </c:pt>
                <c:pt idx="12">
                  <c:v>45945</c:v>
                </c:pt>
                <c:pt idx="13">
                  <c:v>45946</c:v>
                </c:pt>
                <c:pt idx="14">
                  <c:v>45947</c:v>
                </c:pt>
                <c:pt idx="15">
                  <c:v>45950</c:v>
                </c:pt>
                <c:pt idx="16">
                  <c:v>45951</c:v>
                </c:pt>
                <c:pt idx="17">
                  <c:v>45952</c:v>
                </c:pt>
                <c:pt idx="18">
                  <c:v>45953</c:v>
                </c:pt>
                <c:pt idx="19">
                  <c:v>45954</c:v>
                </c:pt>
                <c:pt idx="20">
                  <c:v>45957</c:v>
                </c:pt>
                <c:pt idx="21">
                  <c:v>45958</c:v>
                </c:pt>
                <c:pt idx="22">
                  <c:v>45959</c:v>
                </c:pt>
                <c:pt idx="23">
                  <c:v>45960</c:v>
                </c:pt>
                <c:pt idx="24">
                  <c:v>45961</c:v>
                </c:pt>
                <c:pt idx="25">
                  <c:v>45964</c:v>
                </c:pt>
                <c:pt idx="26">
                  <c:v>45965</c:v>
                </c:pt>
                <c:pt idx="27">
                  <c:v>45966</c:v>
                </c:pt>
                <c:pt idx="28">
                  <c:v>45967</c:v>
                </c:pt>
                <c:pt idx="29">
                  <c:v>45968</c:v>
                </c:pt>
                <c:pt idx="30">
                  <c:v>45971</c:v>
                </c:pt>
                <c:pt idx="31">
                  <c:v>45972</c:v>
                </c:pt>
                <c:pt idx="32">
                  <c:v>45973</c:v>
                </c:pt>
                <c:pt idx="33">
                  <c:v>45974</c:v>
                </c:pt>
                <c:pt idx="34">
                  <c:v>45975</c:v>
                </c:pt>
                <c:pt idx="35">
                  <c:v>45978</c:v>
                </c:pt>
                <c:pt idx="36">
                  <c:v>45979</c:v>
                </c:pt>
                <c:pt idx="37">
                  <c:v>45980</c:v>
                </c:pt>
                <c:pt idx="38">
                  <c:v>45981</c:v>
                </c:pt>
                <c:pt idx="39">
                  <c:v>45982</c:v>
                </c:pt>
                <c:pt idx="40">
                  <c:v>45985</c:v>
                </c:pt>
                <c:pt idx="41">
                  <c:v>45986</c:v>
                </c:pt>
                <c:pt idx="42">
                  <c:v>45987</c:v>
                </c:pt>
                <c:pt idx="43">
                  <c:v>45989</c:v>
                </c:pt>
                <c:pt idx="44">
                  <c:v>45992</c:v>
                </c:pt>
                <c:pt idx="45">
                  <c:v>45993</c:v>
                </c:pt>
                <c:pt idx="46">
                  <c:v>45994</c:v>
                </c:pt>
                <c:pt idx="47">
                  <c:v>45995</c:v>
                </c:pt>
                <c:pt idx="48">
                  <c:v>45996</c:v>
                </c:pt>
                <c:pt idx="49">
                  <c:v>45999</c:v>
                </c:pt>
                <c:pt idx="50">
                  <c:v>46000</c:v>
                </c:pt>
                <c:pt idx="51">
                  <c:v>46001</c:v>
                </c:pt>
                <c:pt idx="52">
                  <c:v>46002</c:v>
                </c:pt>
                <c:pt idx="53">
                  <c:v>46003</c:v>
                </c:pt>
                <c:pt idx="54">
                  <c:v>46006</c:v>
                </c:pt>
                <c:pt idx="55">
                  <c:v>46007</c:v>
                </c:pt>
                <c:pt idx="56">
                  <c:v>46008</c:v>
                </c:pt>
                <c:pt idx="57">
                  <c:v>46009</c:v>
                </c:pt>
                <c:pt idx="58">
                  <c:v>46010</c:v>
                </c:pt>
                <c:pt idx="59">
                  <c:v>46013</c:v>
                </c:pt>
                <c:pt idx="60">
                  <c:v>46014</c:v>
                </c:pt>
                <c:pt idx="61">
                  <c:v>46015</c:v>
                </c:pt>
                <c:pt idx="62">
                  <c:v>46017</c:v>
                </c:pt>
              </c:numCache>
            </c:numRef>
          </c:cat>
          <c:val>
            <c:numRef>
              <c:f>'Rough but Essential'!$R$7:$R$255</c:f>
              <c:numCache>
                <c:formatCode>_("$"* #,##0.00_);_("$"* \(#,##0.00\);_("$"* "-"??_);_(@_)</c:formatCode>
                <c:ptCount val="249"/>
                <c:pt idx="0">
                  <c:v>147.28421052631575</c:v>
                </c:pt>
                <c:pt idx="1">
                  <c:v>143.91578947368424</c:v>
                </c:pt>
                <c:pt idx="2">
                  <c:v>137.68421052631578</c:v>
                </c:pt>
                <c:pt idx="3">
                  <c:v>140.92631578947368</c:v>
                </c:pt>
                <c:pt idx="4">
                  <c:v>142.48421052631579</c:v>
                </c:pt>
                <c:pt idx="5">
                  <c:v>141.01052631578949</c:v>
                </c:pt>
                <c:pt idx="6">
                  <c:v>148.42105263157893</c:v>
                </c:pt>
                <c:pt idx="7">
                  <c:v>143.30526315789473</c:v>
                </c:pt>
                <c:pt idx="8">
                  <c:v>140.39999999999998</c:v>
                </c:pt>
                <c:pt idx="9">
                  <c:v>130.46315789473684</c:v>
                </c:pt>
                <c:pt idx="10">
                  <c:v>140.37894736842105</c:v>
                </c:pt>
                <c:pt idx="11">
                  <c:v>142.56842105263163</c:v>
                </c:pt>
                <c:pt idx="12">
                  <c:v>150.52631578947367</c:v>
                </c:pt>
                <c:pt idx="13">
                  <c:v>145.74736842105267</c:v>
                </c:pt>
                <c:pt idx="14">
                  <c:v>150.21052631578951</c:v>
                </c:pt>
                <c:pt idx="15">
                  <c:v>152.18947368421055</c:v>
                </c:pt>
                <c:pt idx="16">
                  <c:v>147.95789473684204</c:v>
                </c:pt>
                <c:pt idx="17">
                  <c:v>138.02105263157895</c:v>
                </c:pt>
                <c:pt idx="18">
                  <c:v>135.85263157894735</c:v>
                </c:pt>
                <c:pt idx="19">
                  <c:v>137.09473684210528</c:v>
                </c:pt>
                <c:pt idx="20">
                  <c:v>135.30526315789476</c:v>
                </c:pt>
                <c:pt idx="21">
                  <c:v>129.62105263157892</c:v>
                </c:pt>
                <c:pt idx="22">
                  <c:v>129.95789473684206</c:v>
                </c:pt>
                <c:pt idx="23">
                  <c:v>132.16842105263157</c:v>
                </c:pt>
                <c:pt idx="24">
                  <c:v>139.72631578947369</c:v>
                </c:pt>
                <c:pt idx="25">
                  <c:v>138.21052631578948</c:v>
                </c:pt>
                <c:pt idx="26">
                  <c:v>131.43157894736842</c:v>
                </c:pt>
                <c:pt idx="27">
                  <c:v>136.33684210526314</c:v>
                </c:pt>
                <c:pt idx="28">
                  <c:v>131.36842105263159</c:v>
                </c:pt>
                <c:pt idx="29">
                  <c:v>88.421052631578945</c:v>
                </c:pt>
                <c:pt idx="30">
                  <c:v>92.757894736842104</c:v>
                </c:pt>
                <c:pt idx="31">
                  <c:v>106.73684210526312</c:v>
                </c:pt>
                <c:pt idx="32">
                  <c:v>105.97894736842106</c:v>
                </c:pt>
                <c:pt idx="33">
                  <c:v>100.10526315789475</c:v>
                </c:pt>
                <c:pt idx="34">
                  <c:v>94.8</c:v>
                </c:pt>
                <c:pt idx="35">
                  <c:v>91.747368421052656</c:v>
                </c:pt>
                <c:pt idx="36">
                  <c:v>103.34736842105264</c:v>
                </c:pt>
                <c:pt idx="37">
                  <c:v>106.23157894736843</c:v>
                </c:pt>
                <c:pt idx="38">
                  <c:v>95.515789473684208</c:v>
                </c:pt>
                <c:pt idx="39">
                  <c:v>95.726315789473674</c:v>
                </c:pt>
                <c:pt idx="40">
                  <c:v>103.30526315789471</c:v>
                </c:pt>
                <c:pt idx="41">
                  <c:v>109.13684210526316</c:v>
                </c:pt>
                <c:pt idx="42">
                  <c:v>112.90526315789472</c:v>
                </c:pt>
                <c:pt idx="43">
                  <c:v>118.04210526315788</c:v>
                </c:pt>
                <c:pt idx="44">
                  <c:v>124.92631578947369</c:v>
                </c:pt>
                <c:pt idx="45">
                  <c:v>119.64210526315792</c:v>
                </c:pt>
                <c:pt idx="46">
                  <c:v>115.68421052631575</c:v>
                </c:pt>
                <c:pt idx="47">
                  <c:v>121.0736842105263</c:v>
                </c:pt>
                <c:pt idx="48">
                  <c:v>121.85263157894735</c:v>
                </c:pt>
                <c:pt idx="49">
                  <c:v>120.58947368421052</c:v>
                </c:pt>
                <c:pt idx="50">
                  <c:v>123.64210526315787</c:v>
                </c:pt>
                <c:pt idx="51">
                  <c:v>117.93684210526317</c:v>
                </c:pt>
                <c:pt idx="52">
                  <c:v>110.33684210526314</c:v>
                </c:pt>
                <c:pt idx="53">
                  <c:v>108.3578947368421</c:v>
                </c:pt>
                <c:pt idx="54">
                  <c:v>114.86315789473684</c:v>
                </c:pt>
                <c:pt idx="55">
                  <c:v>114.8</c:v>
                </c:pt>
                <c:pt idx="56">
                  <c:v>106.42105263157896</c:v>
                </c:pt>
                <c:pt idx="57">
                  <c:v>119.26315789473685</c:v>
                </c:pt>
                <c:pt idx="58">
                  <c:v>120.8421052631579</c:v>
                </c:pt>
                <c:pt idx="59">
                  <c:v>123.32631578947371</c:v>
                </c:pt>
                <c:pt idx="60">
                  <c:v>124.69473684210523</c:v>
                </c:pt>
                <c:pt idx="61">
                  <c:v>129.68421052631578</c:v>
                </c:pt>
                <c:pt idx="62">
                  <c:v>139.1368421052631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numCache>
            </c:numRef>
          </c:val>
          <c:smooth val="0"/>
          <c:extLst>
            <c:ext xmlns:c16="http://schemas.microsoft.com/office/drawing/2014/chart" uri="{C3380CC4-5D6E-409C-BE32-E72D297353CC}">
              <c16:uniqueId val="{00000000-DA18-4E4F-B58E-A633DB8DE71B}"/>
            </c:ext>
          </c:extLst>
        </c:ser>
        <c:dLbls>
          <c:showLegendKey val="0"/>
          <c:showVal val="0"/>
          <c:showCatName val="0"/>
          <c:showSerName val="0"/>
          <c:showPercent val="0"/>
          <c:showBubbleSize val="0"/>
        </c:dLbls>
        <c:smooth val="0"/>
        <c:axId val="721790352"/>
        <c:axId val="721790832"/>
      </c:lineChart>
      <c:dateAx>
        <c:axId val="721790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790832"/>
        <c:crosses val="autoZero"/>
        <c:auto val="1"/>
        <c:lblOffset val="100"/>
        <c:baseTimeUnit val="days"/>
        <c:majorUnit val="7"/>
        <c:majorTimeUnit val="days"/>
      </c:dateAx>
      <c:valAx>
        <c:axId val="7217908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790352"/>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[Fund Tracker.xlsm]Rough but Essential!Donut Chart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dk1">
              <a:tint val="88500"/>
            </a:schemeClr>
          </a:solidFill>
          <a:ln w="19050">
            <a:solidFill>
              <a:schemeClr val="lt1"/>
            </a:solidFill>
          </a:ln>
          <a:effectLst/>
        </c:spPr>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s>
    <c:plotArea>
      <c:layout/>
      <c:doughnutChart>
        <c:varyColors val="1"/>
        <c:ser>
          <c:idx val="0"/>
          <c:order val="0"/>
          <c:tx>
            <c:strRef>
              <c:f>'Rough but Essential'!$B$3</c:f>
              <c:strCache>
                <c:ptCount val="1"/>
                <c:pt idx="0">
                  <c:v>Total</c:v>
                </c:pt>
              </c:strCache>
            </c:strRef>
          </c:tx>
          <c:dPt>
            <c:idx val="0"/>
            <c:bubble3D val="0"/>
            <c:explosion val="5"/>
            <c:spPr>
              <a:solidFill>
                <a:schemeClr val="dk1">
                  <a:tint val="88500"/>
                </a:schemeClr>
              </a:solidFill>
              <a:ln w="19050">
                <a:solidFill>
                  <a:schemeClr val="lt1"/>
                </a:solidFill>
              </a:ln>
              <a:effectLst/>
            </c:spPr>
            <c:extLst>
              <c:ext xmlns:c16="http://schemas.microsoft.com/office/drawing/2014/chart" uri="{C3380CC4-5D6E-409C-BE32-E72D297353CC}">
                <c16:uniqueId val="{00000003-413A-49D1-9512-1F79F469DFC7}"/>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5A30-40E0-B227-98A03BECA25C}"/>
              </c:ext>
            </c:extLst>
          </c:dPt>
          <c:dPt>
            <c:idx val="2"/>
            <c:bubble3D val="0"/>
            <c:explosion val="8"/>
            <c:spPr>
              <a:solidFill>
                <a:schemeClr val="dk1">
                  <a:tint val="75000"/>
                </a:schemeClr>
              </a:solidFill>
              <a:ln w="19050">
                <a:solidFill>
                  <a:schemeClr val="lt1"/>
                </a:solidFill>
              </a:ln>
              <a:effectLst/>
            </c:spPr>
            <c:extLst>
              <c:ext xmlns:c16="http://schemas.microsoft.com/office/drawing/2014/chart" uri="{C3380CC4-5D6E-409C-BE32-E72D297353CC}">
                <c16:uniqueId val="{00000002-413A-49D1-9512-1F79F469DFC7}"/>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F4D6-4865-98FA-A2D6CD881DDF}"/>
              </c:ext>
            </c:extLst>
          </c:dPt>
          <c:dPt>
            <c:idx val="4"/>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09-F29F-4A87-8139-FFAFAB1ECEF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'Rough but Essential'!$A$4:$A$9</c:f>
              <c:strCache>
                <c:ptCount val="5"/>
                <c:pt idx="0">
                  <c:v>Nigerian Stocks</c:v>
                </c:pt>
                <c:pt idx="1">
                  <c:v>US Stocks</c:v>
                </c:pt>
                <c:pt idx="2">
                  <c:v>Crypto</c:v>
                </c:pt>
                <c:pt idx="3">
                  <c:v>ETFs</c:v>
                </c:pt>
                <c:pt idx="4">
                  <c:v>Chinese Stocks</c:v>
                </c:pt>
              </c:strCache>
            </c:strRef>
          </c:cat>
          <c:val>
            <c:numRef>
              <c:f>'Rough but Essential'!$B$4:$B$9</c:f>
              <c:numCache>
                <c:formatCode>General</c:formatCode>
                <c:ptCount val="5"/>
                <c:pt idx="0">
                  <c:v>1</c:v>
                </c:pt>
                <c:pt idx="1">
                  <c:v>5</c:v>
                </c:pt>
                <c:pt idx="2">
                  <c:v>1</c:v>
                </c:pt>
                <c:pt idx="3">
                  <c:v>1</c:v>
                </c:pt>
                <c:pt idx="4">
                  <c:v>2</c:v>
                </c:pt>
              </c:numCache>
            </c:numRef>
          </c:val>
          <c:extLst>
            <c:ext xmlns:c16="http://schemas.microsoft.com/office/drawing/2014/chart" uri="{C3380CC4-5D6E-409C-BE32-E72D297353CC}">
              <c16:uniqueId val="{00000000-413A-49D1-9512-1F79F469DFC7}"/>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82291141732283468"/>
          <c:y val="0.44320501603966173"/>
          <c:w val="0.14375524934383205"/>
          <c:h val="0.41493219597550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[Fund Tracker.xlsm]Rough but Essential!PivotTable3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Gain(Loss)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dLbl>
          <c:idx val="0"/>
          <c:layout>
            <c:manualLayout>
              <c:x val="-0.10374638199998756"/>
              <c:y val="1.2030073288722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27858127352094E-2"/>
          <c:y val="0.24219379279793293"/>
          <c:w val="0.87710547150527574"/>
          <c:h val="0.64213764946048413"/>
        </c:manualLayout>
      </c:layout>
      <c:barChart>
        <c:barDir val="bar"/>
        <c:grouping val="clustered"/>
        <c:varyColors val="0"/>
        <c:ser>
          <c:idx val="0"/>
          <c:order val="0"/>
          <c:tx>
            <c:strRef>
              <c:f>'Rough but Essential'!$B$27</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A94-4A6D-B28F-318FA88B3B6C}"/>
              </c:ext>
            </c:extLst>
          </c:dPt>
          <c:dPt>
            <c:idx val="3"/>
            <c:invertIfNegative val="0"/>
            <c:bubble3D val="0"/>
            <c:extLst>
              <c:ext xmlns:c16="http://schemas.microsoft.com/office/drawing/2014/chart" uri="{C3380CC4-5D6E-409C-BE32-E72D297353CC}">
                <c16:uniqueId val="{00000002-A16F-47D8-BF83-49B981840667}"/>
              </c:ext>
            </c:extLst>
          </c:dPt>
          <c:dLbls>
            <c:dLbl>
              <c:idx val="0"/>
              <c:layout>
                <c:manualLayout>
                  <c:x val="-0.10374638199998756"/>
                  <c:y val="1.20300732887220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A94-4A6D-B28F-318FA88B3B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'Rough but Essential'!$A$28:$A$33</c:f>
              <c:strCache>
                <c:ptCount val="5"/>
                <c:pt idx="0">
                  <c:v>Chinese Stocks</c:v>
                </c:pt>
                <c:pt idx="1">
                  <c:v>ETFs</c:v>
                </c:pt>
                <c:pt idx="2">
                  <c:v>Crypto</c:v>
                </c:pt>
                <c:pt idx="3">
                  <c:v>Nigerian Stocks</c:v>
                </c:pt>
                <c:pt idx="4">
                  <c:v>US Stocks</c:v>
                </c:pt>
              </c:strCache>
            </c:strRef>
          </c:cat>
          <c:val>
            <c:numRef>
              <c:f>'Rough but Essential'!$B$28:$B$33</c:f>
              <c:numCache>
                <c:formatCode>_([$$-409]* #,##0.00_);_([$$-409]* \(#,##0.00\);_([$$-409]* "-"??_);_(@_)</c:formatCode>
                <c:ptCount val="5"/>
                <c:pt idx="0">
                  <c:v>-292.49999999999989</c:v>
                </c:pt>
                <c:pt idx="1">
                  <c:v>61.111111111111086</c:v>
                </c:pt>
                <c:pt idx="2">
                  <c:v>210.66666666666674</c:v>
                </c:pt>
                <c:pt idx="3">
                  <c:v>354.28571428571433</c:v>
                </c:pt>
                <c:pt idx="4">
                  <c:v>4247.8919134944526</c:v>
                </c:pt>
              </c:numCache>
            </c:numRef>
          </c:val>
          <c:extLst>
            <c:ext xmlns:c16="http://schemas.microsoft.com/office/drawing/2014/chart" uri="{C3380CC4-5D6E-409C-BE32-E72D297353CC}">
              <c16:uniqueId val="{00000000-A16F-47D8-BF83-49B981840667}"/>
            </c:ext>
          </c:extLst>
        </c:ser>
        <c:dLbls>
          <c:showLegendKey val="0"/>
          <c:showVal val="0"/>
          <c:showCatName val="0"/>
          <c:showSerName val="0"/>
          <c:showPercent val="0"/>
          <c:showBubbleSize val="0"/>
        </c:dLbls>
        <c:gapWidth val="182"/>
        <c:axId val="1547767280"/>
        <c:axId val="1547766320"/>
      </c:barChart>
      <c:catAx>
        <c:axId val="1547767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66320"/>
        <c:crosses val="autoZero"/>
        <c:auto val="1"/>
        <c:lblAlgn val="ctr"/>
        <c:lblOffset val="100"/>
        <c:noMultiLvlLbl val="0"/>
      </c:catAx>
      <c:valAx>
        <c:axId val="1547766320"/>
        <c:scaling>
          <c:orientation val="minMax"/>
        </c:scaling>
        <c:delete val="0"/>
        <c:axPos val="b"/>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67280"/>
        <c:crosses val="autoZero"/>
        <c:crossBetween val="between"/>
        <c:majorUnit val="5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'Rough but Essential'!$R$6</c:f>
              <c:strCache>
                <c:ptCount val="1"/>
                <c:pt idx="0">
                  <c:v>Gain/Loss</c:v>
                </c:pt>
              </c:strCache>
            </c:strRef>
          </c:tx>
          <c:spPr>
            <a:ln w="28575" cap="rnd">
              <a:solidFill>
                <a:schemeClr val="accent1"/>
              </a:solidFill>
              <a:round/>
            </a:ln>
            <a:effectLst/>
          </c:spPr>
          <c:marker>
            <c:symbol val="none"/>
          </c:marker>
          <c:cat>
            <c:numRef>
              <c:f>'Rough but Essential'!$N$7:$N$255</c:f>
              <c:numCache>
                <c:formatCode>m/d/yyyy</c:formatCode>
                <c:ptCount val="249"/>
                <c:pt idx="0">
                  <c:v>45929</c:v>
                </c:pt>
                <c:pt idx="1">
                  <c:v>45930</c:v>
                </c:pt>
                <c:pt idx="2">
                  <c:v>45931</c:v>
                </c:pt>
                <c:pt idx="3">
                  <c:v>45932</c:v>
                </c:pt>
                <c:pt idx="4">
                  <c:v>45933</c:v>
                </c:pt>
                <c:pt idx="5">
                  <c:v>45936</c:v>
                </c:pt>
                <c:pt idx="6">
                  <c:v>45937</c:v>
                </c:pt>
                <c:pt idx="7">
                  <c:v>45938</c:v>
                </c:pt>
                <c:pt idx="8">
                  <c:v>45939</c:v>
                </c:pt>
                <c:pt idx="9">
                  <c:v>45940</c:v>
                </c:pt>
                <c:pt idx="10">
                  <c:v>45943</c:v>
                </c:pt>
                <c:pt idx="11">
                  <c:v>45944</c:v>
                </c:pt>
                <c:pt idx="12">
                  <c:v>45945</c:v>
                </c:pt>
                <c:pt idx="13">
                  <c:v>45946</c:v>
                </c:pt>
                <c:pt idx="14">
                  <c:v>45947</c:v>
                </c:pt>
                <c:pt idx="15">
                  <c:v>45950</c:v>
                </c:pt>
                <c:pt idx="16">
                  <c:v>45951</c:v>
                </c:pt>
                <c:pt idx="17">
                  <c:v>45952</c:v>
                </c:pt>
                <c:pt idx="18">
                  <c:v>45953</c:v>
                </c:pt>
                <c:pt idx="19">
                  <c:v>45954</c:v>
                </c:pt>
                <c:pt idx="20">
                  <c:v>45957</c:v>
                </c:pt>
                <c:pt idx="21">
                  <c:v>45958</c:v>
                </c:pt>
                <c:pt idx="22">
                  <c:v>45959</c:v>
                </c:pt>
                <c:pt idx="23">
                  <c:v>45960</c:v>
                </c:pt>
                <c:pt idx="24">
                  <c:v>45961</c:v>
                </c:pt>
                <c:pt idx="25">
                  <c:v>45964</c:v>
                </c:pt>
                <c:pt idx="26">
                  <c:v>45965</c:v>
                </c:pt>
                <c:pt idx="27">
                  <c:v>45966</c:v>
                </c:pt>
                <c:pt idx="28">
                  <c:v>45967</c:v>
                </c:pt>
                <c:pt idx="29">
                  <c:v>45968</c:v>
                </c:pt>
                <c:pt idx="30">
                  <c:v>45971</c:v>
                </c:pt>
                <c:pt idx="31">
                  <c:v>45972</c:v>
                </c:pt>
                <c:pt idx="32">
                  <c:v>45973</c:v>
                </c:pt>
                <c:pt idx="33">
                  <c:v>45974</c:v>
                </c:pt>
                <c:pt idx="34">
                  <c:v>45975</c:v>
                </c:pt>
                <c:pt idx="35">
                  <c:v>45978</c:v>
                </c:pt>
                <c:pt idx="36">
                  <c:v>45979</c:v>
                </c:pt>
                <c:pt idx="37">
                  <c:v>45980</c:v>
                </c:pt>
                <c:pt idx="38">
                  <c:v>45981</c:v>
                </c:pt>
                <c:pt idx="39">
                  <c:v>45982</c:v>
                </c:pt>
                <c:pt idx="40">
                  <c:v>45985</c:v>
                </c:pt>
                <c:pt idx="41">
                  <c:v>45986</c:v>
                </c:pt>
                <c:pt idx="42">
                  <c:v>45987</c:v>
                </c:pt>
                <c:pt idx="43">
                  <c:v>45989</c:v>
                </c:pt>
                <c:pt idx="44">
                  <c:v>45992</c:v>
                </c:pt>
                <c:pt idx="45">
                  <c:v>45993</c:v>
                </c:pt>
                <c:pt idx="46">
                  <c:v>45994</c:v>
                </c:pt>
                <c:pt idx="47">
                  <c:v>45995</c:v>
                </c:pt>
                <c:pt idx="48">
                  <c:v>45996</c:v>
                </c:pt>
                <c:pt idx="49">
                  <c:v>45999</c:v>
                </c:pt>
                <c:pt idx="50">
                  <c:v>46000</c:v>
                </c:pt>
                <c:pt idx="51">
                  <c:v>46001</c:v>
                </c:pt>
                <c:pt idx="52">
                  <c:v>46002</c:v>
                </c:pt>
                <c:pt idx="53">
                  <c:v>46003</c:v>
                </c:pt>
                <c:pt idx="54">
                  <c:v>46006</c:v>
                </c:pt>
                <c:pt idx="55">
                  <c:v>46007</c:v>
                </c:pt>
                <c:pt idx="56">
                  <c:v>46008</c:v>
                </c:pt>
                <c:pt idx="57">
                  <c:v>46009</c:v>
                </c:pt>
                <c:pt idx="58">
                  <c:v>46010</c:v>
                </c:pt>
                <c:pt idx="59">
                  <c:v>46013</c:v>
                </c:pt>
                <c:pt idx="60">
                  <c:v>46014</c:v>
                </c:pt>
                <c:pt idx="61">
                  <c:v>46015</c:v>
                </c:pt>
                <c:pt idx="62">
                  <c:v>46017</c:v>
                </c:pt>
              </c:numCache>
            </c:numRef>
          </c:cat>
          <c:val>
            <c:numRef>
              <c:f>'Rough but Essential'!$R$7:$R$255</c:f>
              <c:numCache>
                <c:formatCode>_("$"* #,##0.00_);_("$"* \(#,##0.00\);_("$"* "-"??_);_(@_)</c:formatCode>
                <c:ptCount val="249"/>
                <c:pt idx="0">
                  <c:v>147.28421052631575</c:v>
                </c:pt>
                <c:pt idx="1">
                  <c:v>143.91578947368424</c:v>
                </c:pt>
                <c:pt idx="2">
                  <c:v>137.68421052631578</c:v>
                </c:pt>
                <c:pt idx="3">
                  <c:v>140.92631578947368</c:v>
                </c:pt>
                <c:pt idx="4">
                  <c:v>142.48421052631579</c:v>
                </c:pt>
                <c:pt idx="5">
                  <c:v>141.01052631578949</c:v>
                </c:pt>
                <c:pt idx="6">
                  <c:v>148.42105263157893</c:v>
                </c:pt>
                <c:pt idx="7">
                  <c:v>143.30526315789473</c:v>
                </c:pt>
                <c:pt idx="8">
                  <c:v>140.39999999999998</c:v>
                </c:pt>
                <c:pt idx="9">
                  <c:v>130.46315789473684</c:v>
                </c:pt>
                <c:pt idx="10">
                  <c:v>140.37894736842105</c:v>
                </c:pt>
                <c:pt idx="11">
                  <c:v>142.56842105263163</c:v>
                </c:pt>
                <c:pt idx="12">
                  <c:v>150.52631578947367</c:v>
                </c:pt>
                <c:pt idx="13">
                  <c:v>145.74736842105267</c:v>
                </c:pt>
                <c:pt idx="14">
                  <c:v>150.21052631578951</c:v>
                </c:pt>
                <c:pt idx="15">
                  <c:v>152.18947368421055</c:v>
                </c:pt>
                <c:pt idx="16">
                  <c:v>147.95789473684204</c:v>
                </c:pt>
                <c:pt idx="17">
                  <c:v>138.02105263157895</c:v>
                </c:pt>
                <c:pt idx="18">
                  <c:v>135.85263157894735</c:v>
                </c:pt>
                <c:pt idx="19">
                  <c:v>137.09473684210528</c:v>
                </c:pt>
                <c:pt idx="20">
                  <c:v>135.30526315789476</c:v>
                </c:pt>
                <c:pt idx="21">
                  <c:v>129.62105263157892</c:v>
                </c:pt>
                <c:pt idx="22">
                  <c:v>129.95789473684206</c:v>
                </c:pt>
                <c:pt idx="23">
                  <c:v>132.16842105263157</c:v>
                </c:pt>
                <c:pt idx="24">
                  <c:v>139.72631578947369</c:v>
                </c:pt>
                <c:pt idx="25">
                  <c:v>138.21052631578948</c:v>
                </c:pt>
                <c:pt idx="26">
                  <c:v>131.43157894736842</c:v>
                </c:pt>
                <c:pt idx="27">
                  <c:v>136.33684210526314</c:v>
                </c:pt>
                <c:pt idx="28">
                  <c:v>131.36842105263159</c:v>
                </c:pt>
                <c:pt idx="29">
                  <c:v>88.421052631578945</c:v>
                </c:pt>
                <c:pt idx="30">
                  <c:v>92.757894736842104</c:v>
                </c:pt>
                <c:pt idx="31">
                  <c:v>106.73684210526312</c:v>
                </c:pt>
                <c:pt idx="32">
                  <c:v>105.97894736842106</c:v>
                </c:pt>
                <c:pt idx="33">
                  <c:v>100.10526315789475</c:v>
                </c:pt>
                <c:pt idx="34">
                  <c:v>94.8</c:v>
                </c:pt>
                <c:pt idx="35">
                  <c:v>91.747368421052656</c:v>
                </c:pt>
                <c:pt idx="36">
                  <c:v>103.34736842105264</c:v>
                </c:pt>
                <c:pt idx="37">
                  <c:v>106.23157894736843</c:v>
                </c:pt>
                <c:pt idx="38">
                  <c:v>95.515789473684208</c:v>
                </c:pt>
                <c:pt idx="39">
                  <c:v>95.726315789473674</c:v>
                </c:pt>
                <c:pt idx="40">
                  <c:v>103.30526315789471</c:v>
                </c:pt>
                <c:pt idx="41">
                  <c:v>109.13684210526316</c:v>
                </c:pt>
                <c:pt idx="42">
                  <c:v>112.90526315789472</c:v>
                </c:pt>
                <c:pt idx="43">
                  <c:v>118.04210526315788</c:v>
                </c:pt>
                <c:pt idx="44">
                  <c:v>124.92631578947369</c:v>
                </c:pt>
                <c:pt idx="45">
                  <c:v>119.64210526315792</c:v>
                </c:pt>
                <c:pt idx="46">
                  <c:v>115.68421052631575</c:v>
                </c:pt>
                <c:pt idx="47">
                  <c:v>121.0736842105263</c:v>
                </c:pt>
                <c:pt idx="48">
                  <c:v>121.85263157894735</c:v>
                </c:pt>
                <c:pt idx="49">
                  <c:v>120.58947368421052</c:v>
                </c:pt>
                <c:pt idx="50">
                  <c:v>123.64210526315787</c:v>
                </c:pt>
                <c:pt idx="51">
                  <c:v>117.93684210526317</c:v>
                </c:pt>
                <c:pt idx="52">
                  <c:v>110.33684210526314</c:v>
                </c:pt>
                <c:pt idx="53">
                  <c:v>108.3578947368421</c:v>
                </c:pt>
                <c:pt idx="54">
                  <c:v>114.86315789473684</c:v>
                </c:pt>
                <c:pt idx="55">
                  <c:v>114.8</c:v>
                </c:pt>
                <c:pt idx="56">
                  <c:v>106.42105263157896</c:v>
                </c:pt>
                <c:pt idx="57">
                  <c:v>119.26315789473685</c:v>
                </c:pt>
                <c:pt idx="58">
                  <c:v>120.8421052631579</c:v>
                </c:pt>
                <c:pt idx="59">
                  <c:v>123.32631578947371</c:v>
                </c:pt>
                <c:pt idx="60">
                  <c:v>124.69473684210523</c:v>
                </c:pt>
                <c:pt idx="61">
                  <c:v>129.68421052631578</c:v>
                </c:pt>
                <c:pt idx="62">
                  <c:v>139.1368421052631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numCache>
            </c:numRef>
          </c:val>
          <c:smooth val="0"/>
          <c:extLst>
            <c:ext xmlns:c16="http://schemas.microsoft.com/office/drawing/2014/chart" uri="{C3380CC4-5D6E-409C-BE32-E72D297353CC}">
              <c16:uniqueId val="{00000000-3B5A-4CDE-AF4F-C7E1BC280131}"/>
            </c:ext>
          </c:extLst>
        </c:ser>
        <c:dLbls>
          <c:showLegendKey val="0"/>
          <c:showVal val="0"/>
          <c:showCatName val="0"/>
          <c:showSerName val="0"/>
          <c:showPercent val="0"/>
          <c:showBubbleSize val="0"/>
        </c:dLbls>
        <c:smooth val="0"/>
        <c:axId val="721790352"/>
        <c:axId val="721790832"/>
      </c:lineChart>
      <c:dateAx>
        <c:axId val="721790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790832"/>
        <c:crosses val="autoZero"/>
        <c:auto val="1"/>
        <c:lblOffset val="100"/>
        <c:baseTimeUnit val="days"/>
      </c:dateAx>
      <c:valAx>
        <c:axId val="7217908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790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41868</xdr:colOff>
      <xdr:row>3</xdr:row>
      <xdr:rowOff>93908</xdr:rowOff>
    </xdr:from>
    <xdr:to>
      <xdr:col>3</xdr:col>
      <xdr:colOff>565219</xdr:colOff>
      <xdr:row>19</xdr:row>
      <xdr:rowOff>0</xdr:rowOff>
    </xdr:to>
    <xdr:graphicFrame macro="">
      <xdr:nvGraphicFramePr>
        <xdr:cNvPr id="5" name="Chart 4">
          <a:extLst>
            <a:ext uri="{FF2B5EF4-FFF2-40B4-BE49-F238E27FC236}">
              <a16:creationId xmlns:a16="http://schemas.microsoft.com/office/drawing/2014/main" id="{A25C5DBB-FD9E-4E57-A07C-EAE64C69E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789877</xdr:colOff>
      <xdr:row>3</xdr:row>
      <xdr:rowOff>93908</xdr:rowOff>
    </xdr:from>
    <xdr:to>
      <xdr:col>8</xdr:col>
      <xdr:colOff>615639</xdr:colOff>
      <xdr:row>19</xdr:row>
      <xdr:rowOff>588</xdr:rowOff>
    </xdr:to>
    <xdr:graphicFrame macro="">
      <xdr:nvGraphicFramePr>
        <xdr:cNvPr id="2" name="Chart 1">
          <a:extLst>
            <a:ext uri="{FF2B5EF4-FFF2-40B4-BE49-F238E27FC236}">
              <a16:creationId xmlns:a16="http://schemas.microsoft.com/office/drawing/2014/main" id="{BF9A7961-3FDF-4BD5-BB0F-6C4C1D0321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818555</xdr:colOff>
      <xdr:row>6</xdr:row>
      <xdr:rowOff>53663</xdr:rowOff>
    </xdr:from>
    <xdr:to>
      <xdr:col>13</xdr:col>
      <xdr:colOff>348803</xdr:colOff>
      <xdr:row>19</xdr:row>
      <xdr:rowOff>26831</xdr:rowOff>
    </xdr:to>
    <xdr:graphicFrame macro="">
      <xdr:nvGraphicFramePr>
        <xdr:cNvPr id="4" name="Chart 3">
          <a:extLst>
            <a:ext uri="{FF2B5EF4-FFF2-40B4-BE49-F238E27FC236}">
              <a16:creationId xmlns:a16="http://schemas.microsoft.com/office/drawing/2014/main" id="{BF24F9F0-A536-43CF-8F0A-3B1DCBACF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419100</xdr:colOff>
      <xdr:row>2</xdr:row>
      <xdr:rowOff>23812</xdr:rowOff>
    </xdr:from>
    <xdr:to>
      <xdr:col>10</xdr:col>
      <xdr:colOff>114300</xdr:colOff>
      <xdr:row>16</xdr:row>
      <xdr:rowOff>100012</xdr:rowOff>
    </xdr:to>
    <xdr:graphicFrame macro="">
      <xdr:nvGraphicFramePr>
        <xdr:cNvPr id="2" name="Chart 1">
          <a:extLst>
            <a:ext uri="{FF2B5EF4-FFF2-40B4-BE49-F238E27FC236}">
              <a16:creationId xmlns:a16="http://schemas.microsoft.com/office/drawing/2014/main" id="{0B4B01F6-6A0D-58EB-3D24-AA3CF3A152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95249</xdr:colOff>
      <xdr:row>21</xdr:row>
      <xdr:rowOff>61911</xdr:rowOff>
    </xdr:from>
    <xdr:to>
      <xdr:col>12</xdr:col>
      <xdr:colOff>771525</xdr:colOff>
      <xdr:row>37</xdr:row>
      <xdr:rowOff>133350</xdr:rowOff>
    </xdr:to>
    <xdr:graphicFrame macro="">
      <xdr:nvGraphicFramePr>
        <xdr:cNvPr id="3" name="Chart 2">
          <a:extLst>
            <a:ext uri="{FF2B5EF4-FFF2-40B4-BE49-F238E27FC236}">
              <a16:creationId xmlns:a16="http://schemas.microsoft.com/office/drawing/2014/main" id="{02A0A696-6FA5-BAC5-20DB-04CB54464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219075</xdr:colOff>
      <xdr:row>5</xdr:row>
      <xdr:rowOff>4762</xdr:rowOff>
    </xdr:from>
    <xdr:to>
      <xdr:col>25</xdr:col>
      <xdr:colOff>523875</xdr:colOff>
      <xdr:row>19</xdr:row>
      <xdr:rowOff>80962</xdr:rowOff>
    </xdr:to>
    <xdr:graphicFrame macro="">
      <xdr:nvGraphicFramePr>
        <xdr:cNvPr id="4" name="Chart 3">
          <a:extLst>
            <a:ext uri="{FF2B5EF4-FFF2-40B4-BE49-F238E27FC236}">
              <a16:creationId xmlns:a16="http://schemas.microsoft.com/office/drawing/2014/main" id="{0FA0B308-1A9F-10EA-2012-8A4BC63E47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JESSE" refreshedDate="46018.709595486114" createdVersion="8" refreshedVersion="8" minRefreshableVersion="3" recordCount="984" xr:uid="{3EDAF858-07BE-42FF-9FB3-8DA4509FCBA0}">
  <cacheSource type="worksheet">
    <worksheetSource name="FundManager"/>
  </cacheSource>
  <cacheFields count="12">
    <cacheField name="Date" numFmtId="14">
      <sharedItems containsNonDate="0" containsDate="1" containsString="0" containsBlank="1" minDate="2025-03-12T00:00:00" maxDate="2025-03-16T00:00:00"/>
    </cacheField>
    <cacheField name="Name" numFmtId="4">
      <sharedItems containsNonDate="0" containsBlank="1"/>
    </cacheField>
    <cacheField name="Ticker" numFmtId="4">
      <sharedItems containsBlank="1"/>
    </cacheField>
    <cacheField name="Type" numFmtId="4">
      <sharedItems containsBlank="1" count="6">
        <s v="ETFs"/>
        <s v="Chinese Stocks"/>
        <s v="US Stocks"/>
        <s v="Crypto"/>
        <s v="Nigerian Stocks"/>
        <m/>
      </sharedItems>
    </cacheField>
    <cacheField name="Entry Price" numFmtId="44">
      <sharedItems containsString="0" containsBlank="1" containsNumber="1" minValue="0.9" maxValue="197"/>
    </cacheField>
    <cacheField name="Current Price" numFmtId="44">
      <sharedItems containsBlank="1" containsMixedTypes="1" containsNumber="1" minValue="1.01" maxValue="273.39999999999998"/>
    </cacheField>
    <cacheField name="Units Held" numFmtId="4">
      <sharedItems containsMixedTypes="1" containsNumber="1" minValue="2.1052631578947367" maxValue="555.55555555555554"/>
    </cacheField>
    <cacheField name="Amount Invested" numFmtId="44">
      <sharedItems containsString="0" containsBlank="1" containsNumber="1" containsInteger="1" minValue="400" maxValue="1000"/>
    </cacheField>
    <cacheField name="Current Value" numFmtId="44">
      <sharedItems containsString="0" containsBlank="1" containsNumber="1" minValue="539.1368421052631" maxValue="2984"/>
    </cacheField>
    <cacheField name="Gain(Loss)" numFmtId="44">
      <sharedItems containsString="0" containsBlank="1" containsNumber="1" minValue="-249.33333333333326" maxValue="2584"/>
    </cacheField>
    <cacheField name="Gain(%)" numFmtId="9">
      <sharedItems containsBlank="1" containsMixedTypes="1" containsNumber="1" minValue="-0.24933333333333327" maxValue="6.46"/>
    </cacheField>
    <cacheField name="Day % Change" numFmtId="2">
      <sharedItems containsBlank="1"/>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3EDAF858-07BE-42FF-9FB3-8DA4509FCBA0}" pivotIgnoreInvalidCache="1" r:id="rId1"/>
    </ext>
  </extLst>
</pivotCacheDefinition>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4">
  <r>
    <d v="2025-03-14T00:00:00"/>
    <s v="IONICS, INC. (XPHS:ION)"/>
    <s v="ION"/>
    <x v="0"/>
    <n v="0.9"/>
    <n v="1.01"/>
    <n v="555.55555555555554"/>
    <n v="500"/>
    <n v="561.11111111111109"/>
    <n v="61.111111111111086"/>
    <n v="0.12222222222222218"/>
    <s v="0.01%"/>
  </r>
  <r>
    <d v="2025-03-12T00:00:00"/>
    <s v="Gorilla Technology Group Inc. (XNAS:GRRR)"/>
    <s v="GRRR"/>
    <x v="1"/>
    <n v="12"/>
    <n v="11.26"/>
    <n v="58.333333333333336"/>
    <n v="700"/>
    <n v="656.83333333333337"/>
    <n v="-43.166666666666629"/>
    <n v="-6.1666666666666613E-2"/>
    <s v="-0.027%"/>
  </r>
  <r>
    <d v="2025-03-15T00:00:00"/>
    <s v="Gorilla Technology Group Inc. (XNAS:GRRR)"/>
    <s v="GRRR"/>
    <x v="1"/>
    <n v="15"/>
    <n v="11.26"/>
    <n v="66.666666666666671"/>
    <n v="1000"/>
    <n v="750.66666666666674"/>
    <n v="-249.33333333333326"/>
    <n v="-0.24933333333333327"/>
    <s v="-0.027%"/>
  </r>
  <r>
    <d v="2025-03-14T00:00:00"/>
    <s v="TAKE-TWO INTERACTIVE SOFTWARE, INC. (XNAS:TTWO)"/>
    <s v="TTWO"/>
    <x v="2"/>
    <n v="190"/>
    <n v="256.08999999999997"/>
    <n v="2.1052631578947367"/>
    <n v="400"/>
    <n v="539.1368421052631"/>
    <n v="139.1368421052631"/>
    <n v="0.34784210526315773"/>
    <s v="0.018%"/>
  </r>
  <r>
    <d v="2025-03-14T00:00:00"/>
    <s v="APPLE INC. (XNAS:AAPL)"/>
    <s v="AAPL"/>
    <x v="2"/>
    <n v="197"/>
    <n v="273.39999999999998"/>
    <n v="2.5380710659898478"/>
    <n v="500"/>
    <n v="693.90862944162427"/>
    <n v="193.90862944162427"/>
    <n v="0.38781725888324853"/>
    <s v="-0.001%"/>
  </r>
  <r>
    <d v="2025-03-14T00:00:00"/>
    <s v="QUANTUM COMPUTING INC. (XNAS:QUBT)"/>
    <s v="QUBT"/>
    <x v="3"/>
    <n v="7.5"/>
    <n v="10.66"/>
    <n v="66.666666666666671"/>
    <n v="500"/>
    <n v="710.66666666666674"/>
    <n v="210.66666666666674"/>
    <n v="0.4213333333333335"/>
    <s v="-0.067%"/>
  </r>
  <r>
    <d v="2025-03-14T00:00:00"/>
    <s v="RIGETTI COMPUTING, INC (XNAS:RGTI)"/>
    <s v="RGTI"/>
    <x v="2"/>
    <n v="3"/>
    <n v="22.38"/>
    <n v="133.33333333333334"/>
    <n v="400"/>
    <n v="2984"/>
    <n v="2584"/>
    <n v="6.46"/>
    <s v="-0.087%"/>
  </r>
  <r>
    <d v="2025-03-14T00:00:00"/>
    <s v="D-WAVE QUANTUM INC. (XNYS:QBTS)"/>
    <s v="QBTS"/>
    <x v="2"/>
    <n v="8.9"/>
    <n v="25.28"/>
    <n v="44.943820224719097"/>
    <n v="400"/>
    <n v="1136.1797752808989"/>
    <n v="736.17977528089887"/>
    <n v="1.8404494382022472"/>
    <s v="-0.081%"/>
  </r>
  <r>
    <d v="2025-03-14T00:00:00"/>
    <s v="GUARANTY TRUST HOLDING COMPANY PLC (XLON:GTCO)"/>
    <s v="GTCO"/>
    <x v="4"/>
    <n v="1.4"/>
    <n v="2.64"/>
    <n v="285.71428571428572"/>
    <n v="400"/>
    <n v="754.28571428571433"/>
    <n v="354.28571428571433"/>
    <n v="0.88571428571428579"/>
    <s v="0.008%"/>
  </r>
  <r>
    <d v="2025-03-14T00:00:00"/>
    <s v="RIGETTI COMPUTING, INC (XNAS:RGTI)"/>
    <s v="RGTI"/>
    <x v="2"/>
    <n v="9"/>
    <n v="22.38"/>
    <n v="44.444444444444443"/>
    <n v="400"/>
    <n v="994.66666666666663"/>
    <n v="594.66666666666663"/>
    <n v="1.4866666666666666"/>
    <s v="-0.087%"/>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s v=" "/>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s v=" "/>
    <x v="5"/>
    <m/>
    <m/>
    <s v=" "/>
    <m/>
    <m/>
    <n v="0"/>
    <s v=" "/>
    <s v=" "/>
  </r>
  <r>
    <m/>
    <m/>
    <m/>
    <x v="5"/>
    <m/>
    <m/>
    <s v=" "/>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79C20C-789E-440B-B642-C795F86503F2}" name="Donut Chart" cacheId="168" applyNumberFormats="0" applyBorderFormats="0" applyFontFormats="0" applyPatternFormats="0" applyAlignmentFormats="0" applyWidthHeightFormats="1" dataCaption="Values" updatedVersion="8" minRefreshableVersion="3" useAutoFormatting="1" itemPrintTitles="1" createdVersion="8" outline="1" outlineData="1" multipleFieldFilters="0" chartFormat="14">
  <location ref="A3:B9" firstHeaderRow="1" firstDataRow="1" firstDataCol="1"/>
  <pivotFields count="12">
    <pivotField showAll="0"/>
    <pivotField showAll="0"/>
    <pivotField showAll="0"/>
    <pivotField axis="axisRow" dataField="1" showAll="0">
      <items count="7">
        <item x="4"/>
        <item x="2"/>
        <item h="1" x="5"/>
        <item x="3"/>
        <item x="0"/>
        <item x="1"/>
        <item t="default"/>
      </items>
    </pivotField>
    <pivotField showAll="0"/>
    <pivotField showAll="0"/>
    <pivotField showAll="0"/>
    <pivotField showAll="0"/>
    <pivotField showAll="0"/>
    <pivotField numFmtId="165" showAll="0"/>
    <pivotField showAll="0"/>
    <pivotField showAll="0"/>
  </pivotFields>
  <rowFields count="1">
    <field x="3"/>
  </rowFields>
  <rowItems count="6">
    <i>
      <x/>
    </i>
    <i>
      <x v="1"/>
    </i>
    <i>
      <x v="3"/>
    </i>
    <i>
      <x v="4"/>
    </i>
    <i>
      <x v="5"/>
    </i>
    <i t="grand">
      <x/>
    </i>
  </rowItems>
  <colItems count="1">
    <i/>
  </colItems>
  <dataFields count="1">
    <dataField name="Count of Type" fld="3" subtotal="count" baseField="0" baseItem="0"/>
  </dataFields>
  <chartFormats count="12">
    <chartFormat chart="1" format="0"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3" count="1" selected="0">
            <x v="0"/>
          </reference>
        </references>
      </pivotArea>
    </chartFormat>
    <chartFormat chart="13" format="7">
      <pivotArea type="data" outline="0" fieldPosition="0">
        <references count="2">
          <reference field="4294967294" count="1" selected="0">
            <x v="0"/>
          </reference>
          <reference field="3" count="1" selected="0">
            <x v="1"/>
          </reference>
        </references>
      </pivotArea>
    </chartFormat>
    <chartFormat chart="13" format="8">
      <pivotArea type="data" outline="0" fieldPosition="0">
        <references count="2">
          <reference field="4294967294" count="1" selected="0">
            <x v="0"/>
          </reference>
          <reference field="3" count="1" selected="0">
            <x v="3"/>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3"/>
          </reference>
        </references>
      </pivotArea>
    </chartFormat>
    <chartFormat chart="13" format="10">
      <pivotArea type="data" outline="0" fieldPosition="0">
        <references count="2">
          <reference field="4294967294" count="1" selected="0">
            <x v="0"/>
          </reference>
          <reference field="3" count="1" selected="0">
            <x v="4"/>
          </reference>
        </references>
      </pivotArea>
    </chartFormat>
    <chartFormat chart="1" format="5">
      <pivotArea type="data" outline="0" fieldPosition="0">
        <references count="2">
          <reference field="4294967294" count="1" selected="0">
            <x v="0"/>
          </reference>
          <reference field="3" count="1" selected="0">
            <x v="4"/>
          </reference>
        </references>
      </pivotArea>
    </chartFormat>
    <chartFormat chart="13" format="11">
      <pivotArea type="data" outline="0" fieldPosition="0">
        <references count="2">
          <reference field="4294967294" count="1" selected="0">
            <x v="0"/>
          </reference>
          <reference field="3" count="1" selected="0">
            <x v="5"/>
          </reference>
        </references>
      </pivotArea>
    </chartFormat>
    <chartFormat chart="1" format="7">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198B2A-31C9-4D10-BFC5-8664118EAB88}" name="PivotTable3" cacheId="1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7:B33" firstHeaderRow="1" firstDataRow="1" firstDataCol="1"/>
  <pivotFields count="12">
    <pivotField showAll="0"/>
    <pivotField showAll="0"/>
    <pivotField showAll="0"/>
    <pivotField axis="axisRow" showAll="0" sortType="ascending">
      <items count="7">
        <item x="3"/>
        <item x="4"/>
        <item x="2"/>
        <item h="1" x="5"/>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numFmtId="165" showAll="0"/>
    <pivotField showAll="0"/>
    <pivotField showAll="0"/>
  </pivotFields>
  <rowFields count="1">
    <field x="3"/>
  </rowFields>
  <rowItems count="6">
    <i>
      <x v="5"/>
    </i>
    <i>
      <x v="4"/>
    </i>
    <i>
      <x/>
    </i>
    <i>
      <x v="1"/>
    </i>
    <i>
      <x v="2"/>
    </i>
    <i t="grand">
      <x/>
    </i>
  </rowItems>
  <colItems count="1">
    <i/>
  </colItems>
  <dataFields count="1">
    <dataField name="Sum of Gain(Loss)" fld="9" baseField="0" baseItem="0" numFmtId="165"/>
  </dataFields>
  <chartFormats count="5">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4"/>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3" count="1" selected="0">
            <x v="4"/>
          </reference>
        </references>
      </pivotArea>
    </chartFormat>
    <chartFormat chart="2" format="2">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3D9837E-087B-4C54-962F-6E68DFA7255C}" autoFormatId="16" applyNumberFormats="0" applyBorderFormats="0" applyFontFormats="0" applyPatternFormats="0" applyAlignmentFormats="0" applyWidthHeightFormats="0">
  <queryTableRefresh nextId="2">
    <queryTableFields count="1">
      <queryTableField id="1" name="Query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EB0FF61-8D46-4EC7-9A71-203594E3E264}" autoFormatId="16" applyNumberFormats="0" applyBorderFormats="0" applyFontFormats="0" applyPatternFormats="0" applyAlignmentFormats="0" applyWidthHeightFormats="0">
  <queryTableRefresh nextId="2">
    <queryTableFields count="1">
      <queryTableField id="1" name="Query1" tableColumnId="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63">
    <v t="i">2</v>
    <v t="i">3</v>
    <v t="i">4</v>
    <v t="i">5</v>
    <v t="i">6</v>
    <v t="i">9</v>
    <v t="i">10</v>
    <v t="i">11</v>
    <v t="i">12</v>
    <v t="i">13</v>
    <v t="i">16</v>
    <v t="i">17</v>
    <v t="i">18</v>
    <v t="i">19</v>
    <v t="i">20</v>
    <v t="i">23</v>
    <v t="i">24</v>
    <v t="i">25</v>
    <v t="i">26</v>
    <v t="i">27</v>
    <v t="i">30</v>
    <v t="i">31</v>
    <v t="i">32</v>
    <v t="i">33</v>
    <v t="i">34</v>
    <v t="i">37</v>
    <v t="i">38</v>
    <v t="i">39</v>
    <v t="i">40</v>
    <v t="i">41</v>
    <v t="i">44</v>
    <v t="i">45</v>
    <v t="i">46</v>
    <v t="i">47</v>
    <v t="i">48</v>
    <v t="i">51</v>
    <v t="i">52</v>
    <v t="i">53</v>
    <v t="i">54</v>
    <v t="i">55</v>
    <v t="i">58</v>
    <v t="i">59</v>
    <v t="i">60</v>
    <v t="i">62</v>
    <v t="i">65</v>
    <v t="i">66</v>
    <v t="i">67</v>
    <v t="i">68</v>
    <v t="i">69</v>
    <v t="i">72</v>
    <v t="i">73</v>
    <v t="i">74</v>
    <v t="i">75</v>
    <v t="i">76</v>
    <v t="i">79</v>
    <v t="i">80</v>
    <v t="i">81</v>
    <v t="i">82</v>
    <v t="i">83</v>
    <v t="i">86</v>
    <v t="i">87</v>
    <v t="i">88</v>
    <v t="i">90</v>
  </a>
  <a r="1" c="63">
    <v>259.95999999999998</v>
    <v>258.36</v>
    <v>255.4</v>
    <v>256.94</v>
    <v>257.68</v>
    <v>256.98</v>
    <v>260.5</v>
    <v>258.07</v>
    <v>256.69</v>
    <v>251.97</v>
    <v>256.68</v>
    <v>257.72000000000003</v>
    <v>261.5</v>
    <v>259.23</v>
    <v>261.35000000000002</v>
    <v>262.29000000000002</v>
    <v>260.27999999999997</v>
    <v>255.56</v>
    <v>254.53</v>
    <v>255.12</v>
    <v>254.27</v>
    <v>251.57</v>
    <v>251.73</v>
    <v>252.78</v>
    <v>256.37</v>
    <v>255.65</v>
    <v>252.43</v>
    <v>254.76</v>
    <v>252.4</v>
    <v>232</v>
    <v>234.06</v>
    <v>240.7</v>
    <v>240.34</v>
    <v>237.55</v>
    <v>235.03</v>
    <v>233.58</v>
    <v>239.09</v>
    <v>240.46</v>
    <v>235.37</v>
    <v>235.47</v>
    <v>239.07</v>
    <v>241.84</v>
    <v>243.63</v>
    <v>246.07</v>
    <v>249.34</v>
    <v>246.83</v>
    <v>244.95</v>
    <v>247.51</v>
    <v>247.88</v>
    <v>247.28</v>
    <v>248.73</v>
    <v>246.02</v>
    <v>242.41</v>
    <v>241.47</v>
    <v>244.56</v>
    <v>244.53</v>
    <v>240.55</v>
    <v>246.65</v>
    <v>247.4</v>
    <v>248.58</v>
    <v>249.23</v>
    <v>251.6</v>
    <v>256.08999999999997</v>
  </a>
  <a r="985">
    <v t="r">2</v>
    <v t="r">5</v>
    <v t="r">5</v>
    <v t="r">8</v>
    <v t="r">11</v>
    <v t="r">14</v>
    <v t="r">17</v>
    <v t="r">20</v>
    <v t="r">23</v>
    <v t="r">17</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2</v>
  </a>
</arrayData>
</file>

<file path=xl/richData/rdrichvalue.xml><?xml version="1.0" encoding="utf-8"?>
<rvData xmlns="http://schemas.microsoft.com/office/spreadsheetml/2017/richdata" count="153">
  <rv s="0">
    <v>https://www.bing.com/financeapi/forcetrigger?t=alvu9c&amp;q=XPHS%3aION&amp;form=skydnc</v>
    <v>Learn more on Bing</v>
  </rv>
  <rv s="1">
    <v>en-US</v>
    <v>alvu9c</v>
    <v>268435456</v>
    <v>1</v>
    <v>Powered by Refinitiv</v>
    <v>0</v>
    <v>IONICS, INC. (XPHS:ION)</v>
    <v>2</v>
    <v>3</v>
    <v>Finance</v>
    <v>4</v>
    <v>1.08</v>
    <v>0.71</v>
    <v>0.53639999999999999</v>
    <v>0.01</v>
    <v>0.01</v>
    <v>PHP</v>
    <v>Ionics, Inc. is a Philippines-based holding company. The Company, through its subsidiaries, is engaged in product design and electronics manufacturing, precision-engineered plastic injection molding, core-technology venture capital investment, property holdings and management. The Company’s subsidiaries include Ionics EMS, Inc., Ionics Properties, Inc. (IPI), Ionics Circuits, Limited (ICL) and Iomni Precision, Inc. (Iomni). Ionics EMS, Inc. offers a range of services, including original design manufacturing, engineering, supply chain management and reverse logistics in the fields of computer and peripherals, telecommunications, automotive, consumer, medical and industrial. IPI owns and manages land and buildings and other structures for the Company. ICL is engaged in venture capital investment in core technologies globally for glimpses of future techscapes. Iomni is involved in molds engineered plastic products and parts through injection with high degrees of complexity and precision.</v>
    <v>2649</v>
    <v>Philippine Stock Exchange</v>
    <v>XPHS</v>
    <v>XPHS</v>
    <v>Circuit Street, Light Industry and Science Park of the Philippines I, Bo. Diezmo, CABUYAO, LAGUNA, 4025 PH</v>
    <v>1.02</v>
    <v>Semiconductors &amp; Semiconductor Equipment</v>
    <v>Stock</v>
    <v>46017.291666666664</v>
    <v>0</v>
    <v>1</v>
    <v>837131000</v>
    <v>IONICS, INC.</v>
    <v>IONICS, INC.</v>
    <v>1</v>
    <v>4.7732000000000001</v>
    <v>1</v>
    <v>1.01</v>
    <v>837131000</v>
    <v>ION</v>
    <v>IONICS, INC. (XPHS:ION)</v>
    <v>165000</v>
    <v>298100</v>
    <v>1982</v>
  </rv>
  <rv s="2">
    <v>1</v>
  </rv>
  <rv s="0">
    <v>https://www.bing.com/financeapi/forcetrigger?t=c23wk2&amp;q=XNAS%3aGRRR&amp;form=skydnc</v>
    <v>Learn more on Bing</v>
  </rv>
  <rv s="3">
    <v>en-US</v>
    <v>c23wk2</v>
    <v>268435456</v>
    <v>1</v>
    <v>Powered by Refinitiv</v>
    <v>5</v>
    <v>Gorilla Technology Group Inc. (XNAS:GRRR)</v>
    <v>2</v>
    <v>6</v>
    <v>Finance</v>
    <v>7</v>
    <v>44.15</v>
    <v>10.85</v>
    <v>-0.27629999999999999</v>
    <v>-0.31</v>
    <v>-7.1050000000000002E-3</v>
    <v>-2.6793000000000001E-2</v>
    <v>-0.08</v>
    <v>USD</v>
    <v>Gorilla Technology Group Inc. (Gorilla) is a global solution provider in security intelligence, network intelligence, business intelligence and Internet of things (IoT) technology. The Company provides a wide range of solutions, including Smart City, Network, Video, Security Convergence and IoT, across Government &amp; Public Services, Manufacturing, Telecom, Retail, Transportation &amp; Logistics, Healthcare and Education, by using artificial intelligence (AI) and Deep Learning Technologies. It offers products and services, such as Video Analytics, Cybersecurity, Big Data Analytics: Transforming Insights into Action, and Gorilla’s AI-Driven Infrastructure. Its core Video Analytics products include Intelligent Video Analytics Recorder, Event &amp; Video Management System Appliances, Post Event, and iCCTV. The Cybersecurity product portfolio includes Security Convergence Platform, Host-Based Malware Detection, Facial Recognition-Mobile One Time Password, Security Operations Center, and others.</v>
    <v>143</v>
    <v>Nasdaq Stock Market</v>
    <v>XNAS</v>
    <v>XNAS</v>
    <v>Meridien House, 42 Upper Berkeley Street, Marble Arch,, LONDON, W1H 5QJ GB</v>
    <v>11.6</v>
    <v>Software &amp; IT Services</v>
    <v>Stock</v>
    <v>46018.038378275</v>
    <v>3</v>
    <v>11.19</v>
    <v>255253165</v>
    <v>Gorilla Technology Group Inc.</v>
    <v>Gorilla Technology Group Inc.</v>
    <v>11.43</v>
    <v>0</v>
    <v>11.57</v>
    <v>11.26</v>
    <v>11.18</v>
    <v>22669020</v>
    <v>GRRR</v>
    <v>Gorilla Technology Group Inc. (XNAS:GRRR)</v>
    <v>918131</v>
    <v>896424</v>
  </rv>
  <rv s="2">
    <v>4</v>
  </rv>
  <rv s="0">
    <v>https://www.bing.com/financeapi/forcetrigger?t=a24mnm&amp;q=XNAS%3aTTWO&amp;form=skydnc</v>
    <v>Learn more on Bing</v>
  </rv>
  <rv s="4">
    <v>en-US</v>
    <v>a24mnm</v>
    <v>268435456</v>
    <v>1</v>
    <v>Powered by Refinitiv</v>
    <v>8</v>
    <v>TAKE-TWO INTERACTIVE SOFTWARE, INC. (XNAS:TTWO)</v>
    <v>2</v>
    <v>9</v>
    <v>Finance</v>
    <v>7</v>
    <v>264.78500000000003</v>
    <v>177.35</v>
    <v>0.92989999999999995</v>
    <v>4.49</v>
    <v>4.2950000000000003E-4</v>
    <v>1.7846000000000001E-2</v>
    <v>0.11</v>
    <v>USD</v>
    <v>Take-Two Interactive Software, Inc. is a developer, publisher, and marketer of interactive entertainment for consumers around the globe. The Company develops and publishes products principally through Rockstar Games, 2K, and Zynga. Its products are designed for console gaming systems, including, but not limited to, the Sony Computer Entertainment, Inc. (Sony) PlayStation4 (PS4) and PlayStation5 (PS5), the Microsoft Corporation (Microsoft) Xbox One (Xbox One) and Xbox Series XS (Xbox Series XS), and the Nintendo Switch (Switch), as well as mobile, including smartphones and tablets, and personal computers (PC). It delivers its products through physical retail, digital download, online platforms, and cloud streaming services. It sells software titles both digitally and physically through direct relationships with digital storefronts and platform partners, large retail customers, and third-party distributors. It also sells advertising within a number of its games, primarily in mobile.</v>
    <v>12928</v>
    <v>Nasdaq Stock Market</v>
    <v>XNAS</v>
    <v>XNAS</v>
    <v>110 West 44Th Street, NEW YORK, NY, 10036 US</v>
    <v>256.29000000000002</v>
    <v>Software &amp; IT Services</v>
    <v>Stock</v>
    <v>46018.04067328672</v>
    <v>6</v>
    <v>249.83500000000001</v>
    <v>47320002891</v>
    <v>TAKE-TWO INTERACTIVE SOFTWARE, INC.</v>
    <v>TAKE-TWO INTERACTIVE SOFTWARE, INC.</v>
    <v>250.74</v>
    <v>0</v>
    <v>251.6</v>
    <v>256.08999999999997</v>
    <v>256.2</v>
    <v>184778800</v>
    <v>TTWO</v>
    <v>TAKE-TWO INTERACTIVE SOFTWARE, INC. (XNAS:TTWO)</v>
    <v>920781</v>
    <v>1455450</v>
    <v>1993</v>
  </rv>
  <rv s="2">
    <v>7</v>
  </rv>
  <rv s="0">
    <v>https://www.bing.com/financeapi/forcetrigger?t=a1mou2&amp;q=XNAS%3aAAPL&amp;form=skydnc</v>
    <v>Learn more on Bing</v>
  </rv>
  <rv s="4">
    <v>en-US</v>
    <v>a1mou2</v>
    <v>268435456</v>
    <v>1</v>
    <v>Powered by Refinitiv</v>
    <v>8</v>
    <v>APPLE INC. (XNAS:AAPL)</v>
    <v>2</v>
    <v>9</v>
    <v>Finance</v>
    <v>7</v>
    <v>288.62</v>
    <v>169.21010000000001</v>
    <v>1.0902000000000001</v>
    <v>-0.41</v>
    <v>-1.2439999999999999E-3</v>
    <v>-1.4970000000000001E-3</v>
    <v>-0.3402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275.37</v>
    <v>Computers, Phones &amp; Household Electronics</v>
    <v>Stock</v>
    <v>46017.962372395312</v>
    <v>9</v>
    <v>272.86</v>
    <v>4039854089999</v>
    <v>APPLE INC.</v>
    <v>APPLE INC.</v>
    <v>274.16000000000003</v>
    <v>36.869</v>
    <v>273.81</v>
    <v>273.39999999999998</v>
    <v>273.0598</v>
    <v>14776350000</v>
    <v>AAPL</v>
    <v>APPLE INC. (XNAS:AAPL)</v>
    <v>21521802</v>
    <v>45648188</v>
    <v>1977</v>
  </rv>
  <rv s="2">
    <v>10</v>
  </rv>
  <rv s="0">
    <v>https://www.bing.com/financeapi/forcetrigger?t=bgr8c7&amp;q=XNAS%3aQUBT&amp;form=skydnc</v>
    <v>Learn more on Bing</v>
  </rv>
  <rv s="4">
    <v>en-US</v>
    <v>bgr8c7</v>
    <v>268435456</v>
    <v>1</v>
    <v>Powered by Refinitiv</v>
    <v>8</v>
    <v>QUANTUM COMPUTING INC. (XNAS:QUBT)</v>
    <v>2</v>
    <v>9</v>
    <v>Finance</v>
    <v>7</v>
    <v>25.84</v>
    <v>4.3731999999999998</v>
    <v>3.4679000000000002</v>
    <v>-0.76</v>
    <v>9.3810000000000009E-4</v>
    <v>-6.6549999999999998E-2</v>
    <v>0.01</v>
    <v>USD</v>
    <v>Quantum Computing Inc. is an integrated quantum optics and nanophotonic technology company. The Company is utilizing integrated photonics and non-linear quantum optics to develop and deliver machines for quantum computing, reservoir computing, and remote sensing, imaging and cybersecurity applications. Its products are designed to operate at room temperature and low power. Its Entropy Quantum Computer is a full-stack system, incorporating the Company’s custom user interface software Qatalyst, which allows users to avoid the complexity of software development kits at the circuit level and has evolved from the Company’s primary Software as a Service offering to the software that powers its offerings. Its Reservoir Computer is a device that uses an integrated circuit that can be reprogrammed after manufacturing and optimized for recurrent neural network applications. Its Quantum Photonic Vibrometer is a proprietary, instrument for remote vibration detection, sensing, and inspection.</v>
    <v>41</v>
    <v>Nasdaq Stock Market</v>
    <v>XNAS</v>
    <v>XNAS</v>
    <v>5 MARINE VIEW PLZ, SUITE 214, HOBOKEN, NJ, 07030 US</v>
    <v>11.37</v>
    <v>Software &amp; IT Services</v>
    <v>Stock</v>
    <v>46018.041196503909</v>
    <v>12</v>
    <v>10.62</v>
    <v>2389154378</v>
    <v>QUANTUM COMPUTING INC.</v>
    <v>QUANTUM COMPUTING INC.</v>
    <v>11.35</v>
    <v>0</v>
    <v>11.42</v>
    <v>10.66</v>
    <v>10.67</v>
    <v>224123300</v>
    <v>QUBT</v>
    <v>QUANTUM COMPUTING INC. (XNAS:QUBT)</v>
    <v>13626320</v>
    <v>19573969</v>
    <v>2018</v>
  </rv>
  <rv s="2">
    <v>13</v>
  </rv>
  <rv s="0">
    <v>https://www.bing.com/financeapi/forcetrigger?t=c1uvkr&amp;q=XNAS%3aRGTI&amp;form=skydnc</v>
    <v>Learn more on Bing</v>
  </rv>
  <rv s="4">
    <v>en-US</v>
    <v>c1uvkr</v>
    <v>268435456</v>
    <v>1</v>
    <v>Powered by Refinitiv</v>
    <v>8</v>
    <v>RIGETTI COMPUTING, INC (XNAS:RGTI)</v>
    <v>2</v>
    <v>9</v>
    <v>Finance</v>
    <v>7</v>
    <v>58.150100000000002</v>
    <v>5.95</v>
    <v>1.6867000000000001</v>
    <v>-2.13</v>
    <v>3.5699999999999998E-3</v>
    <v>-8.6903000000000008E-2</v>
    <v>7.9899999999999999E-2</v>
    <v>USD</v>
    <v>Rigetti Computing, Inc. is a full-stack quantum computing company. The Company operates quantum computers over the cloud and serves global enterprise, government, and research clients through its Rigetti Quantum Cloud Services platform. The Company’s quantum-classical infrastructure provides high-performance integration with public and private clouds for practical quantum computing. It has developed a multi-chip quantum processor for scalable quantum computing systems. Through the Company’s Quantum Computing as a Service (QCaaS) platform, its machines can be integrated into any public, private or hybrid cloud. It is also engaged in the sale of quantum processing units (QPUs) and custom computing components, and development contracts and other services. Its QPUs contain fabricated silicon-based chips featuring superconducting qubits. The Company designs and manufactures its chips in-house at Fab-1, an integrated quantum device manufacturing facility.</v>
    <v>137</v>
    <v>Nasdaq Stock Market</v>
    <v>XNAS</v>
    <v>XNAS</v>
    <v>775 Heinz Avenue, BERKELEY, CA, 94710 US</v>
    <v>24.37</v>
    <v>Semiconductors &amp; Semiconductor Equipment</v>
    <v>Stock</v>
    <v>46018.041587626562</v>
    <v>15</v>
    <v>22.33</v>
    <v>7385984118</v>
    <v>RIGETTI COMPUTING, INC</v>
    <v>RIGETTI COMPUTING, INC</v>
    <v>24.36</v>
    <v>0</v>
    <v>24.51</v>
    <v>22.38</v>
    <v>22.459900000000001</v>
    <v>330026100</v>
    <v>RGTI</v>
    <v>RIGETTI COMPUTING, INC (XNAS:RGTI)</v>
    <v>28311070</v>
    <v>37910069</v>
    <v>2022</v>
  </rv>
  <rv s="2">
    <v>16</v>
  </rv>
  <rv s="0">
    <v>https://www.bing.com/financeapi/forcetrigger?t=bx3ch7&amp;q=XNYS%3aXPOA&amp;form=skydnc</v>
    <v>Learn more on Bing</v>
  </rv>
  <rv s="5">
    <v>en-US</v>
    <v>bx3ch7</v>
    <v>268435456</v>
    <v>1</v>
    <v>Powered by Refinitiv</v>
    <v>10</v>
    <v>D-WAVE QUANTUM INC. (XNYS:QBTS)</v>
    <v>2</v>
    <v>11</v>
    <v>Finance</v>
    <v>12</v>
    <v>46.75</v>
    <v>3.74</v>
    <v>1.5642</v>
    <v>-2.2400000000000002</v>
    <v>-4.3690000000000005E-3</v>
    <v>-8.1394999999999995E-2</v>
    <v>-0.1105</v>
    <v>USD</v>
    <v>D-Wave Quantum Inc. is a quantum computing company, which is engaged in the development and delivery of quantum computing systems, software, and services. The Company builds and delivers systems, cloud services, application development tools, and professional services to support the end-to-end quantum computing journey for enterprises and developers. The Company's products include Cloud Platform, Systems, Professional Services, and others. Under its Cloud Platform, the Leap quantum cloud service delivers immediate, real-time access to its quantum computers and hybrid solvers services. Under its Systems, the Advantage quantum system is a quantum computer designed for business. It also offers quantum applications to a range of customers, including resource scheduling, factory scheduling, industrial construction design, drug discovery, and others. It offers solutions across workforce scheduling, production scheduling, vehicle routing, resource optimization, and cargo loading.</v>
    <v>220</v>
    <v>New York Stock Exchange</v>
    <v>XNYS</v>
    <v>XNYS</v>
    <v>2650 East Bayshore Road, PALO ALTO, CA, 94303 US</v>
    <v>27.5</v>
    <v>Software &amp; IT Services</v>
    <v>Stock</v>
    <v>46018.041647765625</v>
    <v>18</v>
    <v>24.765000000000001</v>
    <v>8851079104</v>
    <v>D-WAVE QUANTUM INC.</v>
    <v>D-WAVE QUANTUM INC.</v>
    <v>27.5</v>
    <v>27.52</v>
    <v>25.28</v>
    <v>25.179500000000001</v>
    <v>350121800</v>
    <v>QBTS</v>
    <v>D-WAVE QUANTUM INC. (XNYS:QBTS)</v>
    <v>33560823</v>
    <v>32096221</v>
    <v>2022</v>
  </rv>
  <rv s="2">
    <v>19</v>
  </rv>
  <rv s="0">
    <v>https://www.bing.com/financeapi/forcetrigger?t=c2mplh&amp;q=XLON%3aGTCO&amp;form=skydnc</v>
    <v>Learn more on Bing</v>
  </rv>
  <rv s="6">
    <v>en-US</v>
    <v>c2mplh</v>
    <v>268435456</v>
    <v>1</v>
    <v>1</v>
    <v>Powered by Refinitiv</v>
    <v>13</v>
    <v>GUARANTY TRUST HOLDING COMPANY PLC (XLON:GTCO)</v>
    <v>2</v>
    <v>14</v>
    <v>Finance</v>
    <v>15</v>
    <v>2.98</v>
    <v>1.7</v>
    <v>0.33779999999999999</v>
    <v>0.02</v>
    <v>7.6339999999999993E-3</v>
    <v>USD</v>
    <v>Guaranty Trust Holding Company Plc is a Nigeria-based financial holding company. The Company and its subsidiaries are involved in the provision of banking, payments, asset management, and pension management. The Company’s segments include the Payment Gateway segment, which is engaged in payments processed via virtual accounts, USSD, card, and bank transfer channels for merchants classified as tech startups, large corporates, small and medium enterprises, and micro merchants. The Switching Vertical segment is engaged in payments processed through the Company's payment switch, i.e., account-to-account bank transfers and card transactions. The Company’s subsidiaries include GTBank Nigeria Limited, Habari Pay, GT Fund Managers, and GT Pension Fund Administrator.</v>
    <v>5803</v>
    <v>London Stock Exchange</v>
    <v>XLON</v>
    <v>XLON</v>
    <v>Plot 635, Akin Adesola, VICTORIA ISLAND, LAGOS NG</v>
    <v>2.9</v>
    <v>Banking Services</v>
    <v>Stock</v>
    <v>45800.584773182811</v>
    <v>21</v>
    <v>2.64</v>
    <v>2389589000000</v>
    <v>GUARANTY TRUST HOLDING COMPANY PLC</v>
    <v>GUARANTY TRUST HOLDING COMPANY PLC</v>
    <v>2.9</v>
    <v>2.62</v>
    <v>2.64</v>
    <v>34136980000</v>
    <v>GTCO</v>
    <v>GUARANTY TRUST HOLDING COMPANY PLC (XLON:GTCO)</v>
    <v>1615</v>
    <v>22533560</v>
    <v>2020</v>
  </rv>
  <rv s="2">
    <v>22</v>
  </rv>
  <rv s="7">
    <fb>45929</fb>
    <v>16</v>
  </rv>
  <rv s="7">
    <fb>259.95999999999998</fb>
    <v>17</v>
  </rv>
  <rv s="7">
    <fb>45930</fb>
    <v>16</v>
  </rv>
  <rv s="7">
    <fb>258.36</fb>
    <v>17</v>
  </rv>
  <rv s="7">
    <fb>45931</fb>
    <v>16</v>
  </rv>
  <rv s="7">
    <fb>255.4</fb>
    <v>17</v>
  </rv>
  <rv s="7">
    <fb>45932</fb>
    <v>16</v>
  </rv>
  <rv s="7">
    <fb>256.94</fb>
    <v>17</v>
  </rv>
  <rv s="7">
    <fb>45933</fb>
    <v>16</v>
  </rv>
  <rv s="7">
    <fb>257.68</fb>
    <v>17</v>
  </rv>
  <rv s="7">
    <fb>45936</fb>
    <v>16</v>
  </rv>
  <rv s="7">
    <fb>256.98</fb>
    <v>17</v>
  </rv>
  <rv s="7">
    <fb>45937</fb>
    <v>16</v>
  </rv>
  <rv s="7">
    <fb>260.5</fb>
    <v>17</v>
  </rv>
  <rv s="7">
    <fb>45938</fb>
    <v>16</v>
  </rv>
  <rv s="7">
    <fb>258.07</fb>
    <v>17</v>
  </rv>
  <rv s="7">
    <fb>45939</fb>
    <v>16</v>
  </rv>
  <rv s="7">
    <fb>256.69</fb>
    <v>17</v>
  </rv>
  <rv s="7">
    <fb>45940</fb>
    <v>16</v>
  </rv>
  <rv s="7">
    <fb>251.97</fb>
    <v>17</v>
  </rv>
  <rv s="7">
    <fb>45943</fb>
    <v>16</v>
  </rv>
  <rv s="7">
    <fb>256.68</fb>
    <v>17</v>
  </rv>
  <rv s="7">
    <fb>45944</fb>
    <v>16</v>
  </rv>
  <rv s="7">
    <fb>257.72000000000003</fb>
    <v>17</v>
  </rv>
  <rv s="7">
    <fb>45945</fb>
    <v>16</v>
  </rv>
  <rv s="7">
    <fb>261.5</fb>
    <v>17</v>
  </rv>
  <rv s="7">
    <fb>45946</fb>
    <v>16</v>
  </rv>
  <rv s="7">
    <fb>259.23</fb>
    <v>17</v>
  </rv>
  <rv s="7">
    <fb>45947</fb>
    <v>16</v>
  </rv>
  <rv s="7">
    <fb>261.35000000000002</fb>
    <v>17</v>
  </rv>
  <rv s="7">
    <fb>45950</fb>
    <v>16</v>
  </rv>
  <rv s="7">
    <fb>262.29000000000002</fb>
    <v>17</v>
  </rv>
  <rv s="7">
    <fb>45951</fb>
    <v>16</v>
  </rv>
  <rv s="7">
    <fb>260.27999999999997</fb>
    <v>17</v>
  </rv>
  <rv s="7">
    <fb>45952</fb>
    <v>16</v>
  </rv>
  <rv s="7">
    <fb>255.56</fb>
    <v>17</v>
  </rv>
  <rv s="7">
    <fb>45953</fb>
    <v>16</v>
  </rv>
  <rv s="7">
    <fb>254.53</fb>
    <v>17</v>
  </rv>
  <rv s="7">
    <fb>45954</fb>
    <v>16</v>
  </rv>
  <rv s="7">
    <fb>255.12</fb>
    <v>17</v>
  </rv>
  <rv s="7">
    <fb>45957</fb>
    <v>16</v>
  </rv>
  <rv s="7">
    <fb>254.27</fb>
    <v>17</v>
  </rv>
  <rv s="7">
    <fb>45958</fb>
    <v>16</v>
  </rv>
  <rv s="7">
    <fb>251.57</fb>
    <v>17</v>
  </rv>
  <rv s="7">
    <fb>45959</fb>
    <v>16</v>
  </rv>
  <rv s="7">
    <fb>251.73</fb>
    <v>17</v>
  </rv>
  <rv s="7">
    <fb>45960</fb>
    <v>16</v>
  </rv>
  <rv s="7">
    <fb>252.78</fb>
    <v>17</v>
  </rv>
  <rv s="7">
    <fb>45961</fb>
    <v>16</v>
  </rv>
  <rv s="7">
    <fb>256.37</fb>
    <v>17</v>
  </rv>
  <rv s="7">
    <fb>45964</fb>
    <v>16</v>
  </rv>
  <rv s="7">
    <fb>255.65</fb>
    <v>17</v>
  </rv>
  <rv s="7">
    <fb>45965</fb>
    <v>16</v>
  </rv>
  <rv s="7">
    <fb>252.43</fb>
    <v>17</v>
  </rv>
  <rv s="7">
    <fb>45966</fb>
    <v>16</v>
  </rv>
  <rv s="7">
    <fb>254.76</fb>
    <v>17</v>
  </rv>
  <rv s="7">
    <fb>45967</fb>
    <v>16</v>
  </rv>
  <rv s="7">
    <fb>252.4</fb>
    <v>17</v>
  </rv>
  <rv s="7">
    <fb>45968</fb>
    <v>16</v>
  </rv>
  <rv s="7">
    <fb>232</fb>
    <v>17</v>
  </rv>
  <rv s="7">
    <fb>45971</fb>
    <v>16</v>
  </rv>
  <rv s="7">
    <fb>234.06</fb>
    <v>17</v>
  </rv>
  <rv s="7">
    <fb>45972</fb>
    <v>16</v>
  </rv>
  <rv s="7">
    <fb>240.7</fb>
    <v>17</v>
  </rv>
  <rv s="7">
    <fb>45973</fb>
    <v>16</v>
  </rv>
  <rv s="7">
    <fb>240.34</fb>
    <v>17</v>
  </rv>
  <rv s="7">
    <fb>45974</fb>
    <v>16</v>
  </rv>
  <rv s="7">
    <fb>237.55</fb>
    <v>17</v>
  </rv>
  <rv s="7">
    <fb>45975</fb>
    <v>16</v>
  </rv>
  <rv s="7">
    <fb>235.03</fb>
    <v>17</v>
  </rv>
  <rv s="7">
    <fb>45978</fb>
    <v>16</v>
  </rv>
  <rv s="7">
    <fb>233.58</fb>
    <v>17</v>
  </rv>
  <rv s="7">
    <fb>45979</fb>
    <v>16</v>
  </rv>
  <rv s="7">
    <fb>239.09</fb>
    <v>17</v>
  </rv>
  <rv s="7">
    <fb>45980</fb>
    <v>16</v>
  </rv>
  <rv s="7">
    <fb>240.46</fb>
    <v>17</v>
  </rv>
  <rv s="7">
    <fb>45981</fb>
    <v>16</v>
  </rv>
  <rv s="7">
    <fb>235.37</fb>
    <v>17</v>
  </rv>
  <rv s="7">
    <fb>45982</fb>
    <v>16</v>
  </rv>
  <rv s="7">
    <fb>235.47</fb>
    <v>17</v>
  </rv>
  <rv s="7">
    <fb>45985</fb>
    <v>16</v>
  </rv>
  <rv s="7">
    <fb>239.07</fb>
    <v>17</v>
  </rv>
  <rv s="7">
    <fb>45986</fb>
    <v>16</v>
  </rv>
  <rv s="7">
    <fb>241.84</fb>
    <v>17</v>
  </rv>
  <rv s="7">
    <fb>45987</fb>
    <v>16</v>
  </rv>
  <rv s="7">
    <fb>243.63</fb>
    <v>17</v>
  </rv>
  <rv s="7">
    <fb>45989</fb>
    <v>16</v>
  </rv>
  <rv s="7">
    <fb>246.07</fb>
    <v>17</v>
  </rv>
  <rv s="7">
    <fb>45992</fb>
    <v>16</v>
  </rv>
  <rv s="7">
    <fb>249.34</fb>
    <v>17</v>
  </rv>
  <rv s="7">
    <fb>45993</fb>
    <v>16</v>
  </rv>
  <rv s="7">
    <fb>246.83</fb>
    <v>17</v>
  </rv>
  <rv s="7">
    <fb>45994</fb>
    <v>16</v>
  </rv>
  <rv s="7">
    <fb>244.95</fb>
    <v>17</v>
  </rv>
  <rv s="7">
    <fb>45995</fb>
    <v>16</v>
  </rv>
  <rv s="7">
    <fb>247.51</fb>
    <v>17</v>
  </rv>
  <rv s="7">
    <fb>45996</fb>
    <v>16</v>
  </rv>
  <rv s="7">
    <fb>247.88</fb>
    <v>17</v>
  </rv>
  <rv s="7">
    <fb>45999</fb>
    <v>16</v>
  </rv>
  <rv s="7">
    <fb>247.28</fb>
    <v>17</v>
  </rv>
  <rv s="7">
    <fb>46000</fb>
    <v>16</v>
  </rv>
  <rv s="7">
    <fb>248.73</fb>
    <v>17</v>
  </rv>
  <rv s="7">
    <fb>46001</fb>
    <v>16</v>
  </rv>
  <rv s="7">
    <fb>246.02</fb>
    <v>17</v>
  </rv>
  <rv s="7">
    <fb>46002</fb>
    <v>16</v>
  </rv>
  <rv s="7">
    <fb>242.41</fb>
    <v>17</v>
  </rv>
  <rv s="7">
    <fb>46003</fb>
    <v>16</v>
  </rv>
  <rv s="7">
    <fb>241.47</fb>
    <v>17</v>
  </rv>
  <rv s="7">
    <fb>46006</fb>
    <v>16</v>
  </rv>
  <rv s="7">
    <fb>244.56</fb>
    <v>17</v>
  </rv>
  <rv s="7">
    <fb>46007</fb>
    <v>16</v>
  </rv>
  <rv s="7">
    <fb>244.53</fb>
    <v>17</v>
  </rv>
  <rv s="7">
    <fb>46008</fb>
    <v>16</v>
  </rv>
  <rv s="7">
    <fb>240.55</fb>
    <v>17</v>
  </rv>
  <rv s="7">
    <fb>46009</fb>
    <v>16</v>
  </rv>
  <rv s="7">
    <fb>246.65</fb>
    <v>17</v>
  </rv>
  <rv s="7">
    <fb>46010</fb>
    <v>16</v>
  </rv>
  <rv s="7">
    <fb>247.4</fb>
    <v>17</v>
  </rv>
  <rv s="7">
    <fb>46013</fb>
    <v>16</v>
  </rv>
  <rv s="7">
    <fb>248.58</fb>
    <v>17</v>
  </rv>
  <rv s="7">
    <fb>46014</fb>
    <v>16</v>
  </rv>
  <rv s="7">
    <fb>249.23</fb>
    <v>17</v>
  </rv>
  <rv s="7">
    <fb>46015</fb>
    <v>16</v>
  </rv>
  <rv s="7">
    <fb>251.6</fb>
    <v>17</v>
  </rv>
  <rv s="7">
    <fb>46017</fb>
    <v>16</v>
  </rv>
  <rv s="7">
    <fb>256.08999999999997</fb>
    <v>17</v>
  </rv>
  <rv s="8">
    <v>18</v>
    <v>TTWO</v>
    <v>Daily</v>
    <v>45927</v>
    <v>46018</v>
    <v>0</v>
    <v>1</v>
    <v>639023040000000000,639024375948508696,0</v>
    <v>0</v>
    <v>a24mnm</v>
    <v>XNAS:TTWO</v>
    <v>1</v>
  </rv>
  <rv s="9">
    <v>2</v>
  </rv>
  <rv s="10">
    <v>{3EDAF858-07BE-42FF-9FB3-8DA4509FCBA0}</v>
    <v>0</v>
    <v>19</v>
    <v>151</v>
  </rv>
</rvData>
</file>

<file path=xl/richData/rdrichvaluestructure.xml><?xml version="1.0" encoding="utf-8"?>
<rvStructures xmlns="http://schemas.microsoft.com/office/spreadsheetml/2017/richdata" count="11">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s t="_array">
    <k n="array" t="a"/>
  </s>
  <s t="_datasourcecontainer">
    <k n="%XLUID" t="s"/>
    <k n="_CRID" t="i"/>
    <k n="_Display" t="spb"/>
    <k n="Name" t="r"/>
  </s>
</rvStructures>
</file>

<file path=xl/richData/rdsupportingpropertybag.xml><?xml version="1.0" encoding="utf-8"?>
<supportingPropertyBags xmlns="http://schemas.microsoft.com/office/spreadsheetml/2017/richdata2">
  <spbArrays count="6">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
      <v t="s">Name</v>
      <v t="s">_CRID</v>
      <v t="s">%XLUID</v>
      <v t="s">_Display</v>
    </a>
  </spbArrays>
  <spbData count="20">
    <spb s="0">
      <v>0</v>
      <v>Name</v>
      <v>LearnMoreOnLink</v>
    </spb>
    <spb s="1">
      <v>0</v>
      <v>0</v>
      <v>0</v>
    </spb>
    <spb s="2">
      <v>1</v>
      <v>1</v>
      <v>1</v>
      <v>1</v>
    </spb>
    <spb s="3">
      <v>1</v>
      <v>2</v>
      <v>2</v>
      <v>1</v>
      <v>3</v>
      <v>1</v>
      <v>1</v>
      <v>1</v>
      <v>4</v>
      <v>4</v>
      <v>5</v>
      <v>6</v>
      <v>1</v>
      <v>1</v>
      <v>1</v>
      <v>4</v>
      <v>7</v>
      <v>8</v>
      <v>9</v>
      <v>4</v>
    </spb>
    <spb s="4">
      <v>Delayed 15 minutes</v>
      <v>from previous close</v>
      <v>from previous close</v>
      <v>PSE</v>
      <v>GMT</v>
    </spb>
    <spb s="0">
      <v>1</v>
      <v>Name</v>
      <v>LearnMoreOnLink</v>
    </spb>
    <spb s="5">
      <v>10</v>
      <v>2</v>
      <v>2</v>
      <v>10</v>
      <v>3</v>
      <v>10</v>
      <v>10</v>
      <v>10</v>
      <v>4</v>
      <v>4</v>
      <v>5</v>
      <v>11</v>
      <v>10</v>
      <v>10</v>
      <v>10</v>
      <v>4</v>
      <v>7</v>
      <v>9</v>
      <v>4</v>
      <v>10</v>
      <v>10</v>
      <v>5</v>
    </spb>
    <spb s="6">
      <v>at close</v>
      <v>from previous close</v>
      <v>from previous close</v>
      <v>Source: Nasdaq</v>
      <v>GMT</v>
      <v>Delayed 15 minutes</v>
      <v>from close</v>
      <v>from close</v>
    </spb>
    <spb s="0">
      <v>2</v>
      <v>Name</v>
      <v>LearnMoreOnLink</v>
    </spb>
    <spb s="7">
      <v>10</v>
      <v>2</v>
      <v>2</v>
      <v>10</v>
      <v>3</v>
      <v>10</v>
      <v>10</v>
      <v>10</v>
      <v>4</v>
      <v>4</v>
      <v>5</v>
      <v>11</v>
      <v>10</v>
      <v>10</v>
      <v>10</v>
      <v>4</v>
      <v>7</v>
      <v>8</v>
      <v>9</v>
      <v>4</v>
      <v>10</v>
      <v>10</v>
      <v>5</v>
    </spb>
    <spb s="0">
      <v>3</v>
      <v>Name</v>
      <v>LearnMoreOnLink</v>
    </spb>
    <spb s="8">
      <v>10</v>
      <v>2</v>
      <v>10</v>
      <v>3</v>
      <v>10</v>
      <v>10</v>
      <v>10</v>
      <v>4</v>
      <v>4</v>
      <v>5</v>
      <v>11</v>
      <v>10</v>
      <v>10</v>
      <v>10</v>
      <v>4</v>
      <v>7</v>
      <v>8</v>
      <v>9</v>
      <v>4</v>
      <v>10</v>
      <v>10</v>
      <v>5</v>
    </spb>
    <spb s="6">
      <v>at close</v>
      <v>from previous close</v>
      <v>from previous close</v>
      <v>Source: Nasdaq Last Sale</v>
      <v>GMT</v>
      <v>Real-Time Nasdaq Last Sale</v>
      <v>from close</v>
      <v>from close</v>
    </spb>
    <spb s="0">
      <v>4</v>
      <v>Name</v>
      <v>LearnMoreOnLink</v>
    </spb>
    <spb s="9">
      <v>10</v>
      <v>2</v>
      <v>10</v>
      <v>3</v>
      <v>10</v>
      <v>10</v>
      <v>10</v>
      <v>4</v>
      <v>4</v>
      <v>5</v>
      <v>12</v>
      <v>10</v>
      <v>10</v>
      <v>10</v>
      <v>4</v>
      <v>7</v>
      <v>8</v>
      <v>9</v>
      <v>4</v>
    </spb>
    <spb s="4">
      <v>Delayed 15 minutes</v>
      <v>from previous close</v>
      <v>from previous close</v>
      <v>LSE</v>
      <v>GMT</v>
    </spb>
    <spb s="10">
      <v>13</v>
    </spb>
    <spb s="10">
      <v>10</v>
    </spb>
    <spb s="11">
      <v>13</v>
      <v>10</v>
    </spb>
    <spb s="12">
      <v>5</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_Self" t="i"/>
  </s>
  <s>
    <k n="Date" t="i"/>
    <k n="Close" t="i"/>
  </s>
  <s>
    <k n="^Order" t="spba"/>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ichProperties>
  <richStyles>
    <rSty dxfid="1">
      <rpv i="0">_-[$₱-en-PH]* #,##0.00_-;-[$₱-en-PH]* #,##0.00_-;_-[$₱-en-PH]* "-"??_-;_-@_-</rpv>
    </rSty>
    <rSty dxfid="5">
      <rpv i="0">#,##0.00</rpv>
    </rSty>
    <rSty>
      <rpv i="1">1</rpv>
    </rSty>
    <rSty dxfid="4">
      <rpv i="0">#,##0</rpv>
    </rSty>
    <rSty dxfid="3"/>
    <rSty dxfid="1">
      <rpv i="0">_-[$₱-en-PH]* #,##0_-;-[$₱-en-PH]* #,##0_-;_-[$₱-en-PH]* "-"_-;_-@_-</rpv>
    </rSty>
    <rSty dxfid="2"/>
    <rSty dxfid="6">
      <rpv i="0">0</rpv>
    </rSty>
    <rSty dxfid="0">
      <rpv i="0">0.00</rpv>
    </rSty>
    <rSty dxfid="1">
      <rpv i="0">_([$$-en-US]* #,##0.00_);_([$$-en-US]* (#,##0.00);_([$$-en-US]* "-"??_);_(@_)</rpv>
    </rSty>
    <rSty dxfid="1">
      <rpv i="0">_([$$-en-US]* #,##0_);_([$$-en-US]* (#,##0);_([$$-en-US]* "-"_);_(@_)</rpv>
    </rSty>
    <rSty dxfid="1">
      <rpv i="0">_-[$₦-bin-NG] * #,##0_-;-[$₦-bin-NG] * #,##0_-;_-[$₦-bin-NG] * "-"_-;_-@_-</rpv>
    </rSty>
    <rSty dxfid="7"/>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A9FBBDE-46B3-4DE2-96EB-088D271E4693}" name="Query1" displayName="Query1" ref="A1:A2" tableType="queryTable" totalsRowShown="0">
  <autoFilter ref="A1:A2" xr:uid="{2A9FBBDE-46B3-4DE2-96EB-088D271E4693}"/>
  <tableColumns count="1">
    <tableColumn id="1" xr3:uid="{49C24537-DD62-49F0-8401-F1D2FA900D88}" uniqueName="1" name="Query1" queryTableFieldId="1" dataDxf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45698E-876D-40D2-99FB-6A80BA1B2DC7}" name="Entries" displayName="Entries" ref="A5:E1000">
  <autoFilter ref="A5:E1000" xr:uid="{E645698E-876D-40D2-99FB-6A80BA1B2DC7}">
    <filterColumn colId="2">
      <filters>
        <filter val="David"/>
      </filters>
    </filterColumn>
  </autoFilter>
  <tableColumns count="5">
    <tableColumn id="1" xr3:uid="{0E22CD6A-FE5F-4162-95C8-A28CDD7A9100}" name="S/N" totalsRowLabel="Total" dataDxfId="20"/>
    <tableColumn id="2" xr3:uid="{BB3DE7C4-2837-44F4-A74E-09E585FD0A78}" name="Date" dataDxfId="19"/>
    <tableColumn id="3" xr3:uid="{36B39BC9-C747-4A84-9DEC-3CD08E76B735}" name="Investor Name " dataDxfId="18"/>
    <tableColumn id="4" xr3:uid="{371F74F1-E9C6-4FB5-A716-7A049A327AF7}" name="Deposit Amount" dataDxfId="17"/>
    <tableColumn id="5" xr3:uid="{B7B2BFD9-9B41-494B-97B3-2BB5F642553B}" name="Time in Fund(Days)" totalsRowFunction="sum" dataDxfId="16">
      <calculatedColumnFormula>IF(ISBLANK(Entries[[#This Row],[Date]])," ",IFERROR(TODAY()-B6," "))</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2F615E9-6E79-4AAF-820B-E94D6654E602}" name="Query17" displayName="Query17" ref="I7:I8" tableType="queryTable" totalsRowShown="0">
  <autoFilter ref="I7:I8" xr:uid="{C2F615E9-6E79-4AAF-820B-E94D6654E602}"/>
  <tableColumns count="1">
    <tableColumn id="1" xr3:uid="{EA2D83B0-3D0C-46FE-ABCE-ADD7E28CE845}" uniqueName="1" name="Conversion Rate" queryTableFieldId="1" dataDxfId="1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4301B6-3544-48A6-BDB0-3615C391AFF3}" name="Table3" displayName="Table3" ref="A2:D1000" totalsRowShown="0">
  <autoFilter ref="A2:D1000" xr:uid="{BB4301B6-3544-48A6-BDB0-3615C391AFF3}"/>
  <tableColumns count="4">
    <tableColumn id="1" xr3:uid="{A40AE8F2-0EA1-4D17-87ED-60EDC0CFF1BD}" name="S/N"/>
    <tableColumn id="2" xr3:uid="{DF82C2F2-7A4D-4009-9524-F401EB17B34C}" name="Investor" dataDxfId="14"/>
    <tableColumn id="3" xr3:uid="{03BCBFC0-4C15-41DF-8D22-3A67051A45AC}" name="Total Deposit" dataDxfId="13">
      <calculatedColumnFormula>IFERROR(SUMIF(Entries[[Investor Name ]],Calculations!B3,Entries[Deposit Amount])," ")</calculatedColumnFormula>
    </tableColumn>
    <tableColumn id="4" xr3:uid="{A06FB73B-721F-40AD-A6AD-24D965048C35}" name="Investor Position" dataDxfId="12">
      <calculatedColumnFormula array="1">IFERROR(C3 + SUM(Dashboard!J23:J1005)*Query17[Conversion Rate] * SUMPRODUCT((Entries[[Investor Name ]]=Calculations!B3) * (Entries[Deposit Amount]) *(Entries[Time in Fund(Days)]))/SUMPRODUCT(Entries[Deposit Amount],Entries[Time in Fund(Days)])," ")</calculatedColumnFormula>
    </tableColumn>
  </tableColumns>
  <tableStyleInfo name="TableStyleMedium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B371E9-1F00-4F32-B72A-2A49AB4A0039}" name="FundManager" displayName="FundManager" ref="A22:L1006" totalsRowShown="0" headerRowDxfId="11" dataDxfId="10">
  <autoFilter ref="A22:L1006" xr:uid="{FEB371E9-1F00-4F32-B72A-2A49AB4A0039}">
    <filterColumn colId="3">
      <customFilters>
        <customFilter operator="notEqual" val=" "/>
      </customFilters>
    </filterColumn>
  </autoFilter>
  <sortState xmlns:xlrd2="http://schemas.microsoft.com/office/spreadsheetml/2017/richdata2" ref="A23:L1006">
    <sortCondition ref="A22:A1006"/>
  </sortState>
  <tableColumns count="12">
    <tableColumn id="11" xr3:uid="{0FE03CBE-CB1D-4C86-9A6E-79FD7B2E712E}" name="Date" dataDxfId="9"/>
    <tableColumn id="1" xr3:uid="{5A7ECB77-7ADA-496F-9663-420F0BDA23BE}" name="Name" dataDxfId="8"/>
    <tableColumn id="2" xr3:uid="{7A9A3A12-340D-43C7-AA54-794FAE568DF9}" name="Ticker" dataDxfId="7">
      <calculatedColumnFormula array="1">IFERROR(_FV(FundManager[[#This Row],[Name]],"Ticker symbol",TRUE)," ")</calculatedColumnFormula>
    </tableColumn>
    <tableColumn id="3" xr3:uid="{B715C94D-3D18-4970-B30B-57792073254C}" name="Type" dataDxfId="6"/>
    <tableColumn id="4" xr3:uid="{6599017A-3CFA-4852-9F9C-83148692C19C}" name="Entry Price" dataCellStyle="Currency"/>
    <tableColumn id="5" xr3:uid="{A67E837F-A2BD-4B63-AFBF-07B0AA1CCB7D}" name="Current Price" dataCellStyle="Currency"/>
    <tableColumn id="6" xr3:uid="{584DB8FF-C6F6-4910-A516-E81F086F9957}" name="Units Held" dataDxfId="5"/>
    <tableColumn id="7" xr3:uid="{F778D3BD-2D75-4751-AC7B-EEA85C816CE2}" name="Amount Invested" dataCellStyle="Currency"/>
    <tableColumn id="8" xr3:uid="{E0315564-919D-4AA0-A17C-18FF6F43B87B}" name="Current Value" dataDxfId="4" dataCellStyle="Currency"/>
    <tableColumn id="12" xr3:uid="{89ECD9E0-1C58-4336-8F35-E151E4CD6C8A}" name="Gain(Loss)" dataCellStyle="Currency">
      <calculatedColumnFormula>IFERROR(FundManager[[#This Row],[Current Value]]-FundManager[[#This Row],[Amount Invested]]," ")</calculatedColumnFormula>
    </tableColumn>
    <tableColumn id="9" xr3:uid="{D33ADE86-6B51-4DC3-BFBC-EA0B5559B536}" name="Gain(%)" dataCellStyle="Percent"/>
    <tableColumn id="10" xr3:uid="{1DDD265B-2AEC-4340-8AC9-A81A1A75CD21}" name="Day % Change" dataDxfId="3" dataCellStyle="Percent"/>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D71D3-6423-4F48-A2C2-210EAE3A919B}">
  <dimension ref="A1:A2"/>
  <sheetViews>
    <sheetView workbookViewId="0">
      <selection sqref="A1:A2"/>
    </sheetView>
  </sheetViews>
  <sheetFormatPr defaultRowHeight="15" x14ac:dyDescent="0.25"/>
  <cols>
    <col min="1" max="1" width="10" bestFit="1" customWidth="1"/>
  </cols>
  <sheetData>
    <row r="1" spans="1:1" x14ac:dyDescent="0.25">
      <c r="A1" t="s">
        <v>47</v>
      </c>
    </row>
    <row r="2" spans="1:1" x14ac:dyDescent="0.25">
      <c r="A2">
        <v>1607.4894999999999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2D1B-B39D-479B-A628-418748C6F4A2}">
  <dimension ref="A1:A31"/>
  <sheetViews>
    <sheetView tabSelected="1" topLeftCell="A14" workbookViewId="0">
      <selection activeCell="H17" sqref="H17"/>
    </sheetView>
  </sheetViews>
  <sheetFormatPr defaultRowHeight="15" x14ac:dyDescent="0.25"/>
  <sheetData>
    <row r="1" spans="1:1" ht="24" x14ac:dyDescent="0.25">
      <c r="A1" s="34" t="s">
        <v>49</v>
      </c>
    </row>
    <row r="3" spans="1:1" s="38" customFormat="1" x14ac:dyDescent="0.25">
      <c r="A3" s="38" t="s">
        <v>58</v>
      </c>
    </row>
    <row r="5" spans="1:1" s="39" customFormat="1" ht="18" x14ac:dyDescent="0.25">
      <c r="A5" s="39" t="s">
        <v>50</v>
      </c>
    </row>
    <row r="6" spans="1:1" x14ac:dyDescent="0.25">
      <c r="A6" s="36"/>
    </row>
    <row r="7" spans="1:1" x14ac:dyDescent="0.25">
      <c r="A7" s="37" t="s">
        <v>51</v>
      </c>
    </row>
    <row r="8" spans="1:1" x14ac:dyDescent="0.25">
      <c r="A8" s="36"/>
    </row>
    <row r="9" spans="1:1" x14ac:dyDescent="0.25">
      <c r="A9" s="37" t="s">
        <v>52</v>
      </c>
    </row>
    <row r="10" spans="1:1" x14ac:dyDescent="0.25">
      <c r="A10" s="36"/>
    </row>
    <row r="11" spans="1:1" x14ac:dyDescent="0.25">
      <c r="A11" s="37" t="s">
        <v>53</v>
      </c>
    </row>
    <row r="12" spans="1:1" x14ac:dyDescent="0.25">
      <c r="A12" s="36"/>
    </row>
    <row r="13" spans="1:1" x14ac:dyDescent="0.25">
      <c r="A13" s="37" t="s">
        <v>63</v>
      </c>
    </row>
    <row r="15" spans="1:1" ht="18" x14ac:dyDescent="0.25">
      <c r="A15" s="35" t="s">
        <v>54</v>
      </c>
    </row>
    <row r="16" spans="1:1" x14ac:dyDescent="0.25">
      <c r="A16" s="36"/>
    </row>
    <row r="17" spans="1:1" x14ac:dyDescent="0.25">
      <c r="A17" s="37" t="s">
        <v>60</v>
      </c>
    </row>
    <row r="18" spans="1:1" x14ac:dyDescent="0.25">
      <c r="A18" s="37"/>
    </row>
    <row r="19" spans="1:1" x14ac:dyDescent="0.25">
      <c r="A19" s="37" t="s">
        <v>64</v>
      </c>
    </row>
    <row r="20" spans="1:1" x14ac:dyDescent="0.25">
      <c r="A20" s="36"/>
    </row>
    <row r="21" spans="1:1" s="40" customFormat="1" x14ac:dyDescent="0.25">
      <c r="A21" s="40" t="s">
        <v>61</v>
      </c>
    </row>
    <row r="22" spans="1:1" x14ac:dyDescent="0.25">
      <c r="A22" s="36"/>
    </row>
    <row r="23" spans="1:1" s="40" customFormat="1" x14ac:dyDescent="0.25">
      <c r="A23" s="40" t="s">
        <v>59</v>
      </c>
    </row>
    <row r="25" spans="1:1" s="39" customFormat="1" ht="18" x14ac:dyDescent="0.25">
      <c r="A25" s="39" t="s">
        <v>55</v>
      </c>
    </row>
    <row r="26" spans="1:1" x14ac:dyDescent="0.25">
      <c r="A26" s="36"/>
    </row>
    <row r="27" spans="1:1" s="40" customFormat="1" x14ac:dyDescent="0.25">
      <c r="A27" s="40" t="s">
        <v>56</v>
      </c>
    </row>
    <row r="28" spans="1:1" x14ac:dyDescent="0.25">
      <c r="A28" s="36"/>
    </row>
    <row r="29" spans="1:1" s="40" customFormat="1" x14ac:dyDescent="0.25">
      <c r="A29" s="40" t="s">
        <v>62</v>
      </c>
    </row>
    <row r="30" spans="1:1" x14ac:dyDescent="0.25">
      <c r="A30" s="36"/>
    </row>
    <row r="31" spans="1:1" s="40" customFormat="1" x14ac:dyDescent="0.25">
      <c r="A31" s="40" t="s">
        <v>57</v>
      </c>
    </row>
  </sheetData>
  <mergeCells count="8">
    <mergeCell ref="A29:XFD29"/>
    <mergeCell ref="A31:XFD31"/>
    <mergeCell ref="A3:XFD3"/>
    <mergeCell ref="A5:XFD5"/>
    <mergeCell ref="A23:XFD23"/>
    <mergeCell ref="A21:XFD21"/>
    <mergeCell ref="A25:XFD25"/>
    <mergeCell ref="A27:XFD2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E3F02-D145-47C6-952C-4613A57E1966}">
  <sheetPr codeName="Sheet1"/>
  <dimension ref="A1:I1000"/>
  <sheetViews>
    <sheetView showGridLines="0" topLeftCell="A980" workbookViewId="0">
      <selection activeCell="H6" sqref="H6"/>
    </sheetView>
  </sheetViews>
  <sheetFormatPr defaultRowHeight="15" x14ac:dyDescent="0.25"/>
  <cols>
    <col min="2" max="2" width="9.42578125" style="1" bestFit="1" customWidth="1"/>
    <col min="3" max="3" width="16.7109375" customWidth="1"/>
    <col min="4" max="4" width="17.7109375" style="2" customWidth="1"/>
    <col min="5" max="5" width="20.42578125" customWidth="1"/>
    <col min="7" max="7" width="20.42578125" customWidth="1"/>
    <col min="8" max="8" width="15.42578125" bestFit="1" customWidth="1"/>
    <col min="9" max="10" width="18.42578125" bestFit="1" customWidth="1"/>
  </cols>
  <sheetData>
    <row r="1" spans="1:9" x14ac:dyDescent="0.25">
      <c r="A1" s="29" t="s">
        <v>8</v>
      </c>
      <c r="B1" s="29"/>
      <c r="C1" s="29"/>
      <c r="D1" s="29"/>
      <c r="E1" s="29"/>
      <c r="F1" s="29"/>
      <c r="G1" s="29"/>
      <c r="H1" s="29"/>
    </row>
    <row r="2" spans="1:9" x14ac:dyDescent="0.25">
      <c r="A2" s="29"/>
      <c r="B2" s="29"/>
      <c r="C2" s="29"/>
      <c r="D2" s="29"/>
      <c r="E2" s="29"/>
      <c r="F2" s="29"/>
      <c r="G2" s="29"/>
      <c r="H2" s="29"/>
    </row>
    <row r="3" spans="1:9" x14ac:dyDescent="0.25">
      <c r="A3" s="29"/>
      <c r="B3" s="29"/>
      <c r="C3" s="29"/>
      <c r="D3" s="29"/>
      <c r="E3" s="29"/>
      <c r="F3" s="29"/>
      <c r="G3" s="29"/>
      <c r="H3" s="29"/>
    </row>
    <row r="4" spans="1:9" ht="16.5" x14ac:dyDescent="0.3">
      <c r="B4" s="3"/>
      <c r="C4" s="3"/>
      <c r="D4" s="3"/>
      <c r="E4" s="3"/>
    </row>
    <row r="5" spans="1:9" x14ac:dyDescent="0.25">
      <c r="A5" t="s">
        <v>0</v>
      </c>
      <c r="B5" s="1" t="s">
        <v>2</v>
      </c>
      <c r="C5" t="s">
        <v>3</v>
      </c>
      <c r="D5" s="2" t="s">
        <v>7</v>
      </c>
      <c r="E5" t="s">
        <v>4</v>
      </c>
    </row>
    <row r="6" spans="1:9" ht="31.5" customHeight="1" x14ac:dyDescent="0.25">
      <c r="A6" s="25"/>
      <c r="B6" s="26">
        <v>44975</v>
      </c>
      <c r="C6" s="25" t="s">
        <v>9</v>
      </c>
      <c r="D6" s="27">
        <v>5000000</v>
      </c>
      <c r="E6" s="25">
        <f ca="1">IF(ISBLANK(Entries[[#This Row],[Date]])," ",IFERROR(TODAY()-B6," "))</f>
        <v>1043</v>
      </c>
      <c r="G6" s="5" t="s">
        <v>25</v>
      </c>
      <c r="H6" s="6">
        <f>COUNTA(Entries[[Investor Name ]])</f>
        <v>4</v>
      </c>
    </row>
    <row r="7" spans="1:9" ht="30" x14ac:dyDescent="0.25">
      <c r="A7" s="25"/>
      <c r="B7" s="26">
        <v>45750</v>
      </c>
      <c r="C7" s="25" t="s">
        <v>10</v>
      </c>
      <c r="D7" s="27">
        <v>5400000</v>
      </c>
      <c r="E7" s="25">
        <f ca="1">IF(ISBLANK(Entries[[#This Row],[Date]])," ",IFERROR(TODAY()-B7," "))</f>
        <v>268</v>
      </c>
      <c r="G7" s="5" t="s">
        <v>26</v>
      </c>
      <c r="H7" s="7">
        <f>SUM(Entries[Deposit Amount])</f>
        <v>45479999</v>
      </c>
      <c r="I7" t="s">
        <v>43</v>
      </c>
    </row>
    <row r="8" spans="1:9" x14ac:dyDescent="0.25">
      <c r="A8" s="25"/>
      <c r="B8" s="26">
        <v>45751</v>
      </c>
      <c r="C8" s="25" t="s">
        <v>9</v>
      </c>
      <c r="D8" s="27">
        <v>35000000</v>
      </c>
      <c r="E8" s="25">
        <f ca="1">IF(ISBLANK(Entries[[#This Row],[Date]])," ",IFERROR(TODAY()-B8," "))</f>
        <v>267</v>
      </c>
      <c r="G8" s="6" t="s">
        <v>44</v>
      </c>
      <c r="H8" s="24">
        <f>H7/#REF!</f>
        <v>28292.563652826349</v>
      </c>
      <c r="I8">
        <v>1607.4894999999999</v>
      </c>
    </row>
    <row r="9" spans="1:9" x14ac:dyDescent="0.25">
      <c r="A9" s="25"/>
      <c r="B9" s="26">
        <v>45020</v>
      </c>
      <c r="C9" s="25" t="s">
        <v>42</v>
      </c>
      <c r="D9" s="27">
        <v>79999</v>
      </c>
      <c r="E9" s="25">
        <f ca="1">IF(ISBLANK(Entries[[#This Row],[Date]])," ",IFERROR(TODAY()-B9," "))</f>
        <v>998</v>
      </c>
    </row>
    <row r="10" spans="1:9" x14ac:dyDescent="0.25">
      <c r="A10" s="25"/>
      <c r="B10" s="26"/>
      <c r="C10" s="25"/>
      <c r="D10" s="27"/>
      <c r="E10" s="25" t="str">
        <f ca="1">IF(ISBLANK(Entries[[#This Row],[Date]])," ",IFERROR(TODAY()-B10," "))</f>
        <v xml:space="preserve"> </v>
      </c>
    </row>
    <row r="11" spans="1:9" x14ac:dyDescent="0.25">
      <c r="A11" s="25"/>
      <c r="B11" s="26"/>
      <c r="C11" s="25"/>
      <c r="D11" s="27"/>
      <c r="E11" s="25" t="str">
        <f ca="1">IF(ISBLANK(Entries[[#This Row],[Date]])," ",IFERROR(TODAY()-B11," "))</f>
        <v xml:space="preserve"> </v>
      </c>
    </row>
    <row r="12" spans="1:9" x14ac:dyDescent="0.25">
      <c r="A12" s="25"/>
      <c r="B12" s="26"/>
      <c r="C12" s="25"/>
      <c r="D12" s="27"/>
      <c r="E12" s="25" t="str">
        <f ca="1">IF(ISBLANK(Entries[[#This Row],[Date]])," ",IFERROR(TODAY()-B12," "))</f>
        <v xml:space="preserve"> </v>
      </c>
    </row>
    <row r="13" spans="1:9" x14ac:dyDescent="0.25">
      <c r="A13" s="25"/>
      <c r="B13" s="26"/>
      <c r="C13" s="25"/>
      <c r="D13" s="27"/>
      <c r="E13" s="25" t="str">
        <f ca="1">IF(ISBLANK(Entries[[#This Row],[Date]])," ",IFERROR(TODAY()-B13," "))</f>
        <v xml:space="preserve"> </v>
      </c>
    </row>
    <row r="14" spans="1:9" x14ac:dyDescent="0.25">
      <c r="A14" s="25"/>
      <c r="B14" s="26"/>
      <c r="C14" s="25"/>
      <c r="D14" s="27"/>
      <c r="E14" s="25" t="str">
        <f ca="1">IF(ISBLANK(Entries[[#This Row],[Date]])," ",IFERROR(TODAY()-B14," "))</f>
        <v xml:space="preserve"> </v>
      </c>
    </row>
    <row r="15" spans="1:9" x14ac:dyDescent="0.25">
      <c r="A15" s="25"/>
      <c r="B15" s="26"/>
      <c r="C15" s="25"/>
      <c r="D15" s="27"/>
      <c r="E15" s="25" t="str">
        <f ca="1">IF(ISBLANK(Entries[[#This Row],[Date]])," ",IFERROR(TODAY()-B15," "))</f>
        <v xml:space="preserve"> </v>
      </c>
    </row>
    <row r="16" spans="1:9" x14ac:dyDescent="0.25">
      <c r="A16" s="25"/>
      <c r="B16" s="26"/>
      <c r="C16" s="25"/>
      <c r="D16" s="27"/>
      <c r="E16" s="25" t="str">
        <f ca="1">IF(ISBLANK(Entries[[#This Row],[Date]])," ",IFERROR(TODAY()-B16," "))</f>
        <v xml:space="preserve"> </v>
      </c>
    </row>
    <row r="17" spans="1:5" x14ac:dyDescent="0.25">
      <c r="A17" s="25"/>
      <c r="B17" s="26"/>
      <c r="C17" s="25"/>
      <c r="D17" s="27"/>
      <c r="E17" s="25" t="str">
        <f ca="1">IF(ISBLANK(Entries[[#This Row],[Date]])," ",IFERROR(TODAY()-B17," "))</f>
        <v xml:space="preserve"> </v>
      </c>
    </row>
    <row r="18" spans="1:5" x14ac:dyDescent="0.25">
      <c r="A18" s="25"/>
      <c r="B18" s="26"/>
      <c r="C18" s="25"/>
      <c r="D18" s="27"/>
      <c r="E18" s="25" t="str">
        <f ca="1">IF(ISBLANK(Entries[[#This Row],[Date]])," ",IFERROR(TODAY()-B18," "))</f>
        <v xml:space="preserve"> </v>
      </c>
    </row>
    <row r="19" spans="1:5" x14ac:dyDescent="0.25">
      <c r="A19" s="25"/>
      <c r="B19" s="26"/>
      <c r="C19" s="25"/>
      <c r="D19" s="27"/>
      <c r="E19" s="25" t="str">
        <f ca="1">IF(ISBLANK(Entries[[#This Row],[Date]])," ",IFERROR(TODAY()-B19," "))</f>
        <v xml:space="preserve"> </v>
      </c>
    </row>
    <row r="20" spans="1:5" x14ac:dyDescent="0.25">
      <c r="A20" s="25"/>
      <c r="B20" s="26"/>
      <c r="C20" s="25"/>
      <c r="D20" s="27"/>
      <c r="E20" s="25" t="str">
        <f ca="1">IF(ISBLANK(Entries[[#This Row],[Date]])," ",IFERROR(TODAY()-B20," "))</f>
        <v xml:space="preserve"> </v>
      </c>
    </row>
    <row r="21" spans="1:5" x14ac:dyDescent="0.25">
      <c r="A21" s="25"/>
      <c r="B21" s="26"/>
      <c r="C21" s="25"/>
      <c r="D21" s="27"/>
      <c r="E21" s="25" t="str">
        <f ca="1">IF(ISBLANK(Entries[[#This Row],[Date]])," ",IFERROR(TODAY()-B21," "))</f>
        <v xml:space="preserve"> </v>
      </c>
    </row>
    <row r="22" spans="1:5" x14ac:dyDescent="0.25">
      <c r="A22" s="25"/>
      <c r="B22" s="26"/>
      <c r="C22" s="25"/>
      <c r="D22" s="27"/>
      <c r="E22" s="25" t="str">
        <f ca="1">IF(ISBLANK(Entries[[#This Row],[Date]])," ",IFERROR(TODAY()-B22," "))</f>
        <v xml:space="preserve"> </v>
      </c>
    </row>
    <row r="23" spans="1:5" x14ac:dyDescent="0.25">
      <c r="A23" s="25"/>
      <c r="B23" s="26"/>
      <c r="C23" s="25"/>
      <c r="D23" s="27"/>
      <c r="E23" s="25" t="str">
        <f ca="1">IF(ISBLANK(Entries[[#This Row],[Date]])," ",IFERROR(TODAY()-B23," "))</f>
        <v xml:space="preserve"> </v>
      </c>
    </row>
    <row r="24" spans="1:5" x14ac:dyDescent="0.25">
      <c r="A24" s="25"/>
      <c r="B24" s="26"/>
      <c r="C24" s="25"/>
      <c r="D24" s="27"/>
      <c r="E24" s="25" t="str">
        <f ca="1">IF(ISBLANK(Entries[[#This Row],[Date]])," ",IFERROR(TODAY()-B24," "))</f>
        <v xml:space="preserve"> </v>
      </c>
    </row>
    <row r="25" spans="1:5" x14ac:dyDescent="0.25">
      <c r="A25" s="25"/>
      <c r="B25" s="26"/>
      <c r="C25" s="25"/>
      <c r="D25" s="27"/>
      <c r="E25" s="25" t="str">
        <f ca="1">IF(ISBLANK(Entries[[#This Row],[Date]])," ",IFERROR(TODAY()-B25," "))</f>
        <v xml:space="preserve"> </v>
      </c>
    </row>
    <row r="26" spans="1:5" x14ac:dyDescent="0.25">
      <c r="A26" s="25"/>
      <c r="B26" s="26"/>
      <c r="C26" s="25"/>
      <c r="D26" s="27"/>
      <c r="E26" s="25" t="str">
        <f ca="1">IF(ISBLANK(Entries[[#This Row],[Date]])," ",IFERROR(TODAY()-B26," "))</f>
        <v xml:space="preserve"> </v>
      </c>
    </row>
    <row r="27" spans="1:5" x14ac:dyDescent="0.25">
      <c r="A27" s="25"/>
      <c r="B27" s="26"/>
      <c r="C27" s="25"/>
      <c r="D27" s="27"/>
      <c r="E27" s="25" t="str">
        <f ca="1">IF(ISBLANK(Entries[[#This Row],[Date]])," ",IFERROR(TODAY()-B27," "))</f>
        <v xml:space="preserve"> </v>
      </c>
    </row>
    <row r="28" spans="1:5" x14ac:dyDescent="0.25">
      <c r="A28" s="25"/>
      <c r="B28" s="26"/>
      <c r="C28" s="25"/>
      <c r="D28" s="27"/>
      <c r="E28" s="25" t="str">
        <f ca="1">IF(ISBLANK(Entries[[#This Row],[Date]])," ",IFERROR(TODAY()-B28," "))</f>
        <v xml:space="preserve"> </v>
      </c>
    </row>
    <row r="29" spans="1:5" x14ac:dyDescent="0.25">
      <c r="A29" s="25"/>
      <c r="B29" s="26"/>
      <c r="C29" s="25"/>
      <c r="D29" s="27"/>
      <c r="E29" s="25" t="str">
        <f ca="1">IF(ISBLANK(Entries[[#This Row],[Date]])," ",IFERROR(TODAY()-B29," "))</f>
        <v xml:space="preserve"> </v>
      </c>
    </row>
    <row r="30" spans="1:5" x14ac:dyDescent="0.25">
      <c r="A30" s="25"/>
      <c r="B30" s="26"/>
      <c r="C30" s="25"/>
      <c r="D30" s="27"/>
      <c r="E30" s="25" t="str">
        <f ca="1">IF(ISBLANK(Entries[[#This Row],[Date]])," ",IFERROR(TODAY()-B30," "))</f>
        <v xml:space="preserve"> </v>
      </c>
    </row>
    <row r="31" spans="1:5" x14ac:dyDescent="0.25">
      <c r="A31" s="25"/>
      <c r="B31" s="26"/>
      <c r="C31" s="25"/>
      <c r="D31" s="27"/>
      <c r="E31" s="25" t="str">
        <f ca="1">IF(ISBLANK(Entries[[#This Row],[Date]])," ",IFERROR(TODAY()-B31," "))</f>
        <v xml:space="preserve"> </v>
      </c>
    </row>
    <row r="32" spans="1:5" x14ac:dyDescent="0.25">
      <c r="A32" s="25"/>
      <c r="B32" s="26"/>
      <c r="C32" s="25"/>
      <c r="D32" s="27"/>
      <c r="E32" s="25" t="str">
        <f ca="1">IF(ISBLANK(Entries[[#This Row],[Date]])," ",IFERROR(TODAY()-B32," "))</f>
        <v xml:space="preserve"> </v>
      </c>
    </row>
    <row r="33" spans="1:5" x14ac:dyDescent="0.25">
      <c r="A33" s="25"/>
      <c r="B33" s="26"/>
      <c r="C33" s="25"/>
      <c r="D33" s="27"/>
      <c r="E33" s="25" t="str">
        <f ca="1">IF(ISBLANK(Entries[[#This Row],[Date]])," ",IFERROR(TODAY()-B33," "))</f>
        <v xml:space="preserve"> </v>
      </c>
    </row>
    <row r="34" spans="1:5" x14ac:dyDescent="0.25">
      <c r="A34" s="25"/>
      <c r="B34" s="26"/>
      <c r="C34" s="25"/>
      <c r="D34" s="27"/>
      <c r="E34" s="25" t="str">
        <f ca="1">IF(ISBLANK(Entries[[#This Row],[Date]])," ",IFERROR(TODAY()-B34," "))</f>
        <v xml:space="preserve"> </v>
      </c>
    </row>
    <row r="35" spans="1:5" x14ac:dyDescent="0.25">
      <c r="A35" s="25"/>
      <c r="B35" s="26"/>
      <c r="C35" s="25"/>
      <c r="D35" s="27"/>
      <c r="E35" s="25" t="str">
        <f ca="1">IF(ISBLANK(Entries[[#This Row],[Date]])," ",IFERROR(TODAY()-B35," "))</f>
        <v xml:space="preserve"> </v>
      </c>
    </row>
    <row r="36" spans="1:5" x14ac:dyDescent="0.25">
      <c r="A36" s="25"/>
      <c r="B36" s="26"/>
      <c r="C36" s="25"/>
      <c r="D36" s="27"/>
      <c r="E36" s="25" t="str">
        <f ca="1">IF(ISBLANK(Entries[[#This Row],[Date]])," ",IFERROR(TODAY()-B36," "))</f>
        <v xml:space="preserve"> </v>
      </c>
    </row>
    <row r="37" spans="1:5" x14ac:dyDescent="0.25">
      <c r="A37" s="25"/>
      <c r="B37" s="26"/>
      <c r="C37" s="25"/>
      <c r="D37" s="27"/>
      <c r="E37" s="25" t="str">
        <f ca="1">IF(ISBLANK(Entries[[#This Row],[Date]])," ",IFERROR(TODAY()-B37," "))</f>
        <v xml:space="preserve"> </v>
      </c>
    </row>
    <row r="38" spans="1:5" x14ac:dyDescent="0.25">
      <c r="A38" s="25"/>
      <c r="B38" s="26"/>
      <c r="C38" s="25"/>
      <c r="D38" s="27"/>
      <c r="E38" s="25" t="str">
        <f ca="1">IF(ISBLANK(Entries[[#This Row],[Date]])," ",IFERROR(TODAY()-B38," "))</f>
        <v xml:space="preserve"> </v>
      </c>
    </row>
    <row r="39" spans="1:5" x14ac:dyDescent="0.25">
      <c r="A39" s="25"/>
      <c r="B39" s="26"/>
      <c r="C39" s="25"/>
      <c r="D39" s="27"/>
      <c r="E39" s="25" t="str">
        <f ca="1">IF(ISBLANK(Entries[[#This Row],[Date]])," ",IFERROR(TODAY()-B39," "))</f>
        <v xml:space="preserve"> </v>
      </c>
    </row>
    <row r="40" spans="1:5" x14ac:dyDescent="0.25">
      <c r="A40" s="25"/>
      <c r="B40" s="26"/>
      <c r="C40" s="25"/>
      <c r="D40" s="27"/>
      <c r="E40" s="25" t="str">
        <f ca="1">IF(ISBLANK(Entries[[#This Row],[Date]])," ",IFERROR(TODAY()-B40," "))</f>
        <v xml:space="preserve"> </v>
      </c>
    </row>
    <row r="41" spans="1:5" x14ac:dyDescent="0.25">
      <c r="A41" s="25"/>
      <c r="B41" s="26"/>
      <c r="C41" s="25"/>
      <c r="D41" s="27"/>
      <c r="E41" s="25" t="str">
        <f ca="1">IF(ISBLANK(Entries[[#This Row],[Date]])," ",IFERROR(TODAY()-B41," "))</f>
        <v xml:space="preserve"> </v>
      </c>
    </row>
    <row r="42" spans="1:5" x14ac:dyDescent="0.25">
      <c r="A42" s="25"/>
      <c r="B42" s="26"/>
      <c r="C42" s="25"/>
      <c r="D42" s="27"/>
      <c r="E42" s="25" t="str">
        <f ca="1">IF(ISBLANK(Entries[[#This Row],[Date]])," ",IFERROR(TODAY()-B42," "))</f>
        <v xml:space="preserve"> </v>
      </c>
    </row>
    <row r="43" spans="1:5" x14ac:dyDescent="0.25">
      <c r="A43" s="25"/>
      <c r="B43" s="26"/>
      <c r="C43" s="25"/>
      <c r="D43" s="27"/>
      <c r="E43" s="25" t="str">
        <f ca="1">IF(ISBLANK(Entries[[#This Row],[Date]])," ",IFERROR(TODAY()-B43," "))</f>
        <v xml:space="preserve"> </v>
      </c>
    </row>
    <row r="44" spans="1:5" x14ac:dyDescent="0.25">
      <c r="A44" s="25"/>
      <c r="B44" s="26"/>
      <c r="C44" s="25"/>
      <c r="D44" s="27"/>
      <c r="E44" s="25" t="str">
        <f ca="1">IF(ISBLANK(Entries[[#This Row],[Date]])," ",IFERROR(TODAY()-B44," "))</f>
        <v xml:space="preserve"> </v>
      </c>
    </row>
    <row r="45" spans="1:5" x14ac:dyDescent="0.25">
      <c r="A45" s="25"/>
      <c r="B45" s="26"/>
      <c r="C45" s="25"/>
      <c r="D45" s="27"/>
      <c r="E45" s="25" t="str">
        <f ca="1">IF(ISBLANK(Entries[[#This Row],[Date]])," ",IFERROR(TODAY()-B45," "))</f>
        <v xml:space="preserve"> </v>
      </c>
    </row>
    <row r="46" spans="1:5" x14ac:dyDescent="0.25">
      <c r="A46" s="25"/>
      <c r="B46" s="26"/>
      <c r="C46" s="25"/>
      <c r="D46" s="27"/>
      <c r="E46" s="25" t="str">
        <f ca="1">IF(ISBLANK(Entries[[#This Row],[Date]])," ",IFERROR(TODAY()-B46," "))</f>
        <v xml:space="preserve"> </v>
      </c>
    </row>
    <row r="47" spans="1:5" x14ac:dyDescent="0.25">
      <c r="A47" s="25"/>
      <c r="B47" s="26"/>
      <c r="C47" s="25"/>
      <c r="D47" s="27"/>
      <c r="E47" s="25" t="str">
        <f ca="1">IF(ISBLANK(Entries[[#This Row],[Date]])," ",IFERROR(TODAY()-B47," "))</f>
        <v xml:space="preserve"> </v>
      </c>
    </row>
    <row r="48" spans="1:5" x14ac:dyDescent="0.25">
      <c r="A48" s="25"/>
      <c r="B48" s="26"/>
      <c r="C48" s="25"/>
      <c r="D48" s="27"/>
      <c r="E48" s="25" t="str">
        <f ca="1">IF(ISBLANK(Entries[[#This Row],[Date]])," ",IFERROR(TODAY()-B48," "))</f>
        <v xml:space="preserve"> </v>
      </c>
    </row>
    <row r="49" spans="1:5" x14ac:dyDescent="0.25">
      <c r="A49" s="25"/>
      <c r="B49" s="26"/>
      <c r="C49" s="25"/>
      <c r="D49" s="27"/>
      <c r="E49" s="25" t="str">
        <f ca="1">IF(ISBLANK(Entries[[#This Row],[Date]])," ",IFERROR(TODAY()-B49," "))</f>
        <v xml:space="preserve"> </v>
      </c>
    </row>
    <row r="50" spans="1:5" x14ac:dyDescent="0.25">
      <c r="A50" s="25"/>
      <c r="B50" s="26"/>
      <c r="C50" s="25"/>
      <c r="D50" s="27"/>
      <c r="E50" s="25" t="str">
        <f ca="1">IF(ISBLANK(Entries[[#This Row],[Date]])," ",IFERROR(TODAY()-B50," "))</f>
        <v xml:space="preserve"> </v>
      </c>
    </row>
    <row r="51" spans="1:5" x14ac:dyDescent="0.25">
      <c r="A51" s="25"/>
      <c r="B51" s="26"/>
      <c r="C51" s="25"/>
      <c r="D51" s="27"/>
      <c r="E51" s="25" t="str">
        <f ca="1">IF(ISBLANK(Entries[[#This Row],[Date]])," ",IFERROR(TODAY()-B51," "))</f>
        <v xml:space="preserve"> </v>
      </c>
    </row>
    <row r="52" spans="1:5" x14ac:dyDescent="0.25">
      <c r="A52" s="25"/>
      <c r="B52" s="26"/>
      <c r="C52" s="25"/>
      <c r="D52" s="27"/>
      <c r="E52" s="25" t="str">
        <f ca="1">IF(ISBLANK(Entries[[#This Row],[Date]])," ",IFERROR(TODAY()-B52," "))</f>
        <v xml:space="preserve"> </v>
      </c>
    </row>
    <row r="53" spans="1:5" x14ac:dyDescent="0.25">
      <c r="A53" s="25"/>
      <c r="B53" s="26"/>
      <c r="C53" s="25"/>
      <c r="D53" s="27"/>
      <c r="E53" s="25" t="str">
        <f ca="1">IF(ISBLANK(Entries[[#This Row],[Date]])," ",IFERROR(TODAY()-B53," "))</f>
        <v xml:space="preserve"> </v>
      </c>
    </row>
    <row r="54" spans="1:5" x14ac:dyDescent="0.25">
      <c r="A54" s="25"/>
      <c r="B54" s="26"/>
      <c r="C54" s="25"/>
      <c r="D54" s="27"/>
      <c r="E54" s="25" t="str">
        <f ca="1">IF(ISBLANK(Entries[[#This Row],[Date]])," ",IFERROR(TODAY()-B54," "))</f>
        <v xml:space="preserve"> </v>
      </c>
    </row>
    <row r="55" spans="1:5" x14ac:dyDescent="0.25">
      <c r="A55" s="25"/>
      <c r="B55" s="26"/>
      <c r="C55" s="25"/>
      <c r="D55" s="27"/>
      <c r="E55" s="25" t="str">
        <f ca="1">IF(ISBLANK(Entries[[#This Row],[Date]])," ",IFERROR(TODAY()-B55," "))</f>
        <v xml:space="preserve"> </v>
      </c>
    </row>
    <row r="56" spans="1:5" x14ac:dyDescent="0.25">
      <c r="A56" s="25"/>
      <c r="B56" s="26"/>
      <c r="C56" s="25"/>
      <c r="D56" s="27"/>
      <c r="E56" s="25" t="str">
        <f ca="1">IF(ISBLANK(Entries[[#This Row],[Date]])," ",IFERROR(TODAY()-B56," "))</f>
        <v xml:space="preserve"> </v>
      </c>
    </row>
    <row r="57" spans="1:5" x14ac:dyDescent="0.25">
      <c r="A57" s="25"/>
      <c r="B57" s="26"/>
      <c r="C57" s="25"/>
      <c r="D57" s="27"/>
      <c r="E57" s="25" t="str">
        <f ca="1">IF(ISBLANK(Entries[[#This Row],[Date]])," ",IFERROR(TODAY()-B57," "))</f>
        <v xml:space="preserve"> </v>
      </c>
    </row>
    <row r="58" spans="1:5" x14ac:dyDescent="0.25">
      <c r="A58" s="25"/>
      <c r="B58" s="26"/>
      <c r="C58" s="25"/>
      <c r="D58" s="27"/>
      <c r="E58" s="25" t="str">
        <f ca="1">IF(ISBLANK(Entries[[#This Row],[Date]])," ",IFERROR(TODAY()-B58," "))</f>
        <v xml:space="preserve"> </v>
      </c>
    </row>
    <row r="59" spans="1:5" x14ac:dyDescent="0.25">
      <c r="A59" s="25"/>
      <c r="B59" s="26"/>
      <c r="C59" s="25"/>
      <c r="D59" s="27"/>
      <c r="E59" s="25" t="str">
        <f ca="1">IF(ISBLANK(Entries[[#This Row],[Date]])," ",IFERROR(TODAY()-B59," "))</f>
        <v xml:space="preserve"> </v>
      </c>
    </row>
    <row r="60" spans="1:5" x14ac:dyDescent="0.25">
      <c r="A60" s="25"/>
      <c r="B60" s="26"/>
      <c r="C60" s="25"/>
      <c r="D60" s="27"/>
      <c r="E60" s="25" t="str">
        <f ca="1">IF(ISBLANK(Entries[[#This Row],[Date]])," ",IFERROR(TODAY()-B60," "))</f>
        <v xml:space="preserve"> </v>
      </c>
    </row>
    <row r="61" spans="1:5" x14ac:dyDescent="0.25">
      <c r="A61" s="25"/>
      <c r="B61" s="26"/>
      <c r="C61" s="25"/>
      <c r="D61" s="27"/>
      <c r="E61" s="25" t="str">
        <f ca="1">IF(ISBLANK(Entries[[#This Row],[Date]])," ",IFERROR(TODAY()-B61," "))</f>
        <v xml:space="preserve"> </v>
      </c>
    </row>
    <row r="62" spans="1:5" x14ac:dyDescent="0.25">
      <c r="A62" s="25"/>
      <c r="B62" s="26"/>
      <c r="C62" s="25"/>
      <c r="D62" s="27"/>
      <c r="E62" s="25" t="str">
        <f ca="1">IF(ISBLANK(Entries[[#This Row],[Date]])," ",IFERROR(TODAY()-B62," "))</f>
        <v xml:space="preserve"> </v>
      </c>
    </row>
    <row r="63" spans="1:5" x14ac:dyDescent="0.25">
      <c r="A63" s="25"/>
      <c r="B63" s="26"/>
      <c r="C63" s="25"/>
      <c r="D63" s="27"/>
      <c r="E63" s="25" t="str">
        <f ca="1">IF(ISBLANK(Entries[[#This Row],[Date]])," ",IFERROR(TODAY()-B63," "))</f>
        <v xml:space="preserve"> </v>
      </c>
    </row>
    <row r="64" spans="1:5" x14ac:dyDescent="0.25">
      <c r="A64" s="25"/>
      <c r="B64" s="26"/>
      <c r="C64" s="25"/>
      <c r="D64" s="27"/>
      <c r="E64" s="25" t="str">
        <f ca="1">IF(ISBLANK(Entries[[#This Row],[Date]])," ",IFERROR(TODAY()-B64," "))</f>
        <v xml:space="preserve"> </v>
      </c>
    </row>
    <row r="65" spans="1:5" x14ac:dyDescent="0.25">
      <c r="A65" s="25"/>
      <c r="B65" s="26"/>
      <c r="C65" s="25"/>
      <c r="D65" s="27"/>
      <c r="E65" s="25" t="str">
        <f ca="1">IF(ISBLANK(Entries[[#This Row],[Date]])," ",IFERROR(TODAY()-B65," "))</f>
        <v xml:space="preserve"> </v>
      </c>
    </row>
    <row r="66" spans="1:5" x14ac:dyDescent="0.25">
      <c r="A66" s="25"/>
      <c r="B66" s="26"/>
      <c r="C66" s="25"/>
      <c r="D66" s="27"/>
      <c r="E66" s="25" t="str">
        <f ca="1">IF(ISBLANK(Entries[[#This Row],[Date]])," ",IFERROR(TODAY()-B66," "))</f>
        <v xml:space="preserve"> </v>
      </c>
    </row>
    <row r="67" spans="1:5" x14ac:dyDescent="0.25">
      <c r="A67" s="25"/>
      <c r="B67" s="26"/>
      <c r="C67" s="25"/>
      <c r="D67" s="27"/>
      <c r="E67" s="25" t="str">
        <f ca="1">IF(ISBLANK(Entries[[#This Row],[Date]])," ",IFERROR(TODAY()-B67," "))</f>
        <v xml:space="preserve"> </v>
      </c>
    </row>
    <row r="68" spans="1:5" x14ac:dyDescent="0.25">
      <c r="A68" s="25"/>
      <c r="B68" s="26"/>
      <c r="C68" s="25"/>
      <c r="D68" s="27"/>
      <c r="E68" s="25" t="str">
        <f ca="1">IF(ISBLANK(Entries[[#This Row],[Date]])," ",IFERROR(TODAY()-B68," "))</f>
        <v xml:space="preserve"> </v>
      </c>
    </row>
    <row r="69" spans="1:5" x14ac:dyDescent="0.25">
      <c r="A69" s="25"/>
      <c r="B69" s="26"/>
      <c r="C69" s="25"/>
      <c r="D69" s="27"/>
      <c r="E69" s="25" t="str">
        <f ca="1">IF(ISBLANK(Entries[[#This Row],[Date]])," ",IFERROR(TODAY()-B69," "))</f>
        <v xml:space="preserve"> </v>
      </c>
    </row>
    <row r="70" spans="1:5" x14ac:dyDescent="0.25">
      <c r="A70" s="25"/>
      <c r="B70" s="26"/>
      <c r="C70" s="25"/>
      <c r="D70" s="27"/>
      <c r="E70" s="25" t="str">
        <f ca="1">IF(ISBLANK(Entries[[#This Row],[Date]])," ",IFERROR(TODAY()-B70," "))</f>
        <v xml:space="preserve"> </v>
      </c>
    </row>
    <row r="71" spans="1:5" x14ac:dyDescent="0.25">
      <c r="A71" s="25"/>
      <c r="B71" s="26"/>
      <c r="C71" s="25"/>
      <c r="D71" s="27"/>
      <c r="E71" s="25" t="str">
        <f ca="1">IF(ISBLANK(Entries[[#This Row],[Date]])," ",IFERROR(TODAY()-B71," "))</f>
        <v xml:space="preserve"> </v>
      </c>
    </row>
    <row r="72" spans="1:5" x14ac:dyDescent="0.25">
      <c r="A72" s="25"/>
      <c r="B72" s="26"/>
      <c r="C72" s="25"/>
      <c r="D72" s="27"/>
      <c r="E72" s="25" t="str">
        <f ca="1">IF(ISBLANK(Entries[[#This Row],[Date]])," ",IFERROR(TODAY()-B72," "))</f>
        <v xml:space="preserve"> </v>
      </c>
    </row>
    <row r="73" spans="1:5" x14ac:dyDescent="0.25">
      <c r="A73" s="25"/>
      <c r="B73" s="26"/>
      <c r="C73" s="25"/>
      <c r="D73" s="27"/>
      <c r="E73" s="25" t="str">
        <f ca="1">IF(ISBLANK(Entries[[#This Row],[Date]])," ",IFERROR(TODAY()-B73," "))</f>
        <v xml:space="preserve"> </v>
      </c>
    </row>
    <row r="74" spans="1:5" x14ac:dyDescent="0.25">
      <c r="A74" s="25"/>
      <c r="B74" s="26"/>
      <c r="C74" s="25"/>
      <c r="D74" s="27"/>
      <c r="E74" s="25" t="str">
        <f ca="1">IF(ISBLANK(Entries[[#This Row],[Date]])," ",IFERROR(TODAY()-B74," "))</f>
        <v xml:space="preserve"> </v>
      </c>
    </row>
    <row r="75" spans="1:5" x14ac:dyDescent="0.25">
      <c r="A75" s="25"/>
      <c r="B75" s="26"/>
      <c r="C75" s="25"/>
      <c r="D75" s="27"/>
      <c r="E75" s="25" t="str">
        <f ca="1">IF(ISBLANK(Entries[[#This Row],[Date]])," ",IFERROR(TODAY()-B75," "))</f>
        <v xml:space="preserve"> </v>
      </c>
    </row>
    <row r="76" spans="1:5" x14ac:dyDescent="0.25">
      <c r="A76" s="25"/>
      <c r="B76" s="26"/>
      <c r="C76" s="25"/>
      <c r="D76" s="27"/>
      <c r="E76" s="25" t="str">
        <f ca="1">IF(ISBLANK(Entries[[#This Row],[Date]])," ",IFERROR(TODAY()-B76," "))</f>
        <v xml:space="preserve"> </v>
      </c>
    </row>
    <row r="77" spans="1:5" x14ac:dyDescent="0.25">
      <c r="A77" s="25"/>
      <c r="B77" s="26"/>
      <c r="C77" s="25"/>
      <c r="D77" s="27"/>
      <c r="E77" s="25" t="str">
        <f ca="1">IF(ISBLANK(Entries[[#This Row],[Date]])," ",IFERROR(TODAY()-B77," "))</f>
        <v xml:space="preserve"> </v>
      </c>
    </row>
    <row r="78" spans="1:5" x14ac:dyDescent="0.25">
      <c r="A78" s="25"/>
      <c r="B78" s="26"/>
      <c r="C78" s="25"/>
      <c r="D78" s="27"/>
      <c r="E78" s="25" t="str">
        <f ca="1">IF(ISBLANK(Entries[[#This Row],[Date]])," ",IFERROR(TODAY()-B78," "))</f>
        <v xml:space="preserve"> </v>
      </c>
    </row>
    <row r="79" spans="1:5" x14ac:dyDescent="0.25">
      <c r="A79" s="25"/>
      <c r="B79" s="26"/>
      <c r="C79" s="25"/>
      <c r="D79" s="27"/>
      <c r="E79" s="25" t="str">
        <f ca="1">IF(ISBLANK(Entries[[#This Row],[Date]])," ",IFERROR(TODAY()-B79," "))</f>
        <v xml:space="preserve"> </v>
      </c>
    </row>
    <row r="80" spans="1:5" x14ac:dyDescent="0.25">
      <c r="A80" s="25"/>
      <c r="B80" s="26"/>
      <c r="C80" s="25"/>
      <c r="D80" s="27"/>
      <c r="E80" s="25" t="str">
        <f ca="1">IF(ISBLANK(Entries[[#This Row],[Date]])," ",IFERROR(TODAY()-B80," "))</f>
        <v xml:space="preserve"> </v>
      </c>
    </row>
    <row r="81" spans="1:5" x14ac:dyDescent="0.25">
      <c r="A81" s="25"/>
      <c r="B81" s="26"/>
      <c r="C81" s="25"/>
      <c r="D81" s="27"/>
      <c r="E81" s="25" t="str">
        <f ca="1">IF(ISBLANK(Entries[[#This Row],[Date]])," ",IFERROR(TODAY()-B81," "))</f>
        <v xml:space="preserve"> </v>
      </c>
    </row>
    <row r="82" spans="1:5" x14ac:dyDescent="0.25">
      <c r="A82" s="25"/>
      <c r="B82" s="26"/>
      <c r="C82" s="25"/>
      <c r="D82" s="27"/>
      <c r="E82" s="25" t="str">
        <f ca="1">IF(ISBLANK(Entries[[#This Row],[Date]])," ",IFERROR(TODAY()-B82," "))</f>
        <v xml:space="preserve"> </v>
      </c>
    </row>
    <row r="83" spans="1:5" x14ac:dyDescent="0.25">
      <c r="A83" s="25"/>
      <c r="B83" s="26"/>
      <c r="C83" s="25"/>
      <c r="D83" s="27"/>
      <c r="E83" s="25" t="str">
        <f ca="1">IF(ISBLANK(Entries[[#This Row],[Date]])," ",IFERROR(TODAY()-B83," "))</f>
        <v xml:space="preserve"> </v>
      </c>
    </row>
    <row r="84" spans="1:5" x14ac:dyDescent="0.25">
      <c r="A84" s="25"/>
      <c r="B84" s="26"/>
      <c r="C84" s="25"/>
      <c r="D84" s="27"/>
      <c r="E84" s="25" t="str">
        <f ca="1">IF(ISBLANK(Entries[[#This Row],[Date]])," ",IFERROR(TODAY()-B84," "))</f>
        <v xml:space="preserve"> </v>
      </c>
    </row>
    <row r="85" spans="1:5" x14ac:dyDescent="0.25">
      <c r="A85" s="25"/>
      <c r="B85" s="26"/>
      <c r="C85" s="25"/>
      <c r="D85" s="27"/>
      <c r="E85" s="25" t="str">
        <f ca="1">IF(ISBLANK(Entries[[#This Row],[Date]])," ",IFERROR(TODAY()-B85," "))</f>
        <v xml:space="preserve"> </v>
      </c>
    </row>
    <row r="86" spans="1:5" x14ac:dyDescent="0.25">
      <c r="A86" s="25"/>
      <c r="B86" s="26"/>
      <c r="C86" s="25"/>
      <c r="D86" s="27"/>
      <c r="E86" s="25" t="str">
        <f ca="1">IF(ISBLANK(Entries[[#This Row],[Date]])," ",IFERROR(TODAY()-B86," "))</f>
        <v xml:space="preserve"> </v>
      </c>
    </row>
    <row r="87" spans="1:5" x14ac:dyDescent="0.25">
      <c r="A87" s="25"/>
      <c r="B87" s="26"/>
      <c r="C87" s="25"/>
      <c r="D87" s="27"/>
      <c r="E87" s="25" t="str">
        <f ca="1">IF(ISBLANK(Entries[[#This Row],[Date]])," ",IFERROR(TODAY()-B87," "))</f>
        <v xml:space="preserve"> </v>
      </c>
    </row>
    <row r="88" spans="1:5" x14ac:dyDescent="0.25">
      <c r="A88" s="25"/>
      <c r="B88" s="26"/>
      <c r="C88" s="25"/>
      <c r="D88" s="27"/>
      <c r="E88" s="25" t="str">
        <f ca="1">IF(ISBLANK(Entries[[#This Row],[Date]])," ",IFERROR(TODAY()-B88," "))</f>
        <v xml:space="preserve"> </v>
      </c>
    </row>
    <row r="89" spans="1:5" x14ac:dyDescent="0.25">
      <c r="A89" s="25"/>
      <c r="B89" s="26"/>
      <c r="C89" s="25"/>
      <c r="D89" s="27"/>
      <c r="E89" s="25" t="str">
        <f ca="1">IF(ISBLANK(Entries[[#This Row],[Date]])," ",IFERROR(TODAY()-B89," "))</f>
        <v xml:space="preserve"> </v>
      </c>
    </row>
    <row r="90" spans="1:5" x14ac:dyDescent="0.25">
      <c r="A90" s="25"/>
      <c r="B90" s="26"/>
      <c r="C90" s="25"/>
      <c r="D90" s="27"/>
      <c r="E90" s="25" t="str">
        <f ca="1">IF(ISBLANK(Entries[[#This Row],[Date]])," ",IFERROR(TODAY()-B90," "))</f>
        <v xml:space="preserve"> </v>
      </c>
    </row>
    <row r="91" spans="1:5" x14ac:dyDescent="0.25">
      <c r="A91" s="25"/>
      <c r="B91" s="26"/>
      <c r="C91" s="25"/>
      <c r="D91" s="27"/>
      <c r="E91" s="25" t="str">
        <f ca="1">IF(ISBLANK(Entries[[#This Row],[Date]])," ",IFERROR(TODAY()-B91," "))</f>
        <v xml:space="preserve"> </v>
      </c>
    </row>
    <row r="92" spans="1:5" x14ac:dyDescent="0.25">
      <c r="A92" s="25"/>
      <c r="B92" s="26"/>
      <c r="C92" s="25"/>
      <c r="D92" s="27"/>
      <c r="E92" s="25" t="str">
        <f ca="1">IF(ISBLANK(Entries[[#This Row],[Date]])," ",IFERROR(TODAY()-B92," "))</f>
        <v xml:space="preserve"> </v>
      </c>
    </row>
    <row r="93" spans="1:5" x14ac:dyDescent="0.25">
      <c r="A93" s="25"/>
      <c r="B93" s="26"/>
      <c r="C93" s="25"/>
      <c r="D93" s="27"/>
      <c r="E93" s="25" t="str">
        <f ca="1">IF(ISBLANK(Entries[[#This Row],[Date]])," ",IFERROR(TODAY()-B93," "))</f>
        <v xml:space="preserve"> </v>
      </c>
    </row>
    <row r="94" spans="1:5" x14ac:dyDescent="0.25">
      <c r="A94" s="25"/>
      <c r="B94" s="26"/>
      <c r="C94" s="25"/>
      <c r="D94" s="27"/>
      <c r="E94" s="25" t="str">
        <f ca="1">IF(ISBLANK(Entries[[#This Row],[Date]])," ",IFERROR(TODAY()-B94," "))</f>
        <v xml:space="preserve"> </v>
      </c>
    </row>
    <row r="95" spans="1:5" x14ac:dyDescent="0.25">
      <c r="A95" s="25"/>
      <c r="B95" s="26"/>
      <c r="C95" s="25"/>
      <c r="D95" s="27"/>
      <c r="E95" s="25" t="str">
        <f ca="1">IF(ISBLANK(Entries[[#This Row],[Date]])," ",IFERROR(TODAY()-B95," "))</f>
        <v xml:space="preserve"> </v>
      </c>
    </row>
    <row r="96" spans="1:5" x14ac:dyDescent="0.25">
      <c r="A96" s="25"/>
      <c r="B96" s="26"/>
      <c r="C96" s="25"/>
      <c r="D96" s="27"/>
      <c r="E96" s="25" t="str">
        <f ca="1">IF(ISBLANK(Entries[[#This Row],[Date]])," ",IFERROR(TODAY()-B96," "))</f>
        <v xml:space="preserve"> </v>
      </c>
    </row>
    <row r="97" spans="1:5" x14ac:dyDescent="0.25">
      <c r="A97" s="25"/>
      <c r="B97" s="26"/>
      <c r="C97" s="25"/>
      <c r="D97" s="27"/>
      <c r="E97" s="25" t="str">
        <f ca="1">IF(ISBLANK(Entries[[#This Row],[Date]])," ",IFERROR(TODAY()-B97," "))</f>
        <v xml:space="preserve"> </v>
      </c>
    </row>
    <row r="98" spans="1:5" x14ac:dyDescent="0.25">
      <c r="A98" s="25"/>
      <c r="B98" s="26"/>
      <c r="C98" s="25"/>
      <c r="D98" s="27"/>
      <c r="E98" s="25" t="str">
        <f ca="1">IF(ISBLANK(Entries[[#This Row],[Date]])," ",IFERROR(TODAY()-B98," "))</f>
        <v xml:space="preserve"> </v>
      </c>
    </row>
    <row r="99" spans="1:5" x14ac:dyDescent="0.25">
      <c r="A99" s="25"/>
      <c r="B99" s="26"/>
      <c r="C99" s="25"/>
      <c r="D99" s="27"/>
      <c r="E99" s="25" t="str">
        <f ca="1">IF(ISBLANK(Entries[[#This Row],[Date]])," ",IFERROR(TODAY()-B99," "))</f>
        <v xml:space="preserve"> </v>
      </c>
    </row>
    <row r="100" spans="1:5" x14ac:dyDescent="0.25">
      <c r="A100" s="25"/>
      <c r="B100" s="26"/>
      <c r="C100" s="25"/>
      <c r="D100" s="27"/>
      <c r="E100" s="25" t="str">
        <f ca="1">IF(ISBLANK(Entries[[#This Row],[Date]])," ",IFERROR(TODAY()-B100," "))</f>
        <v xml:space="preserve"> </v>
      </c>
    </row>
    <row r="101" spans="1:5" x14ac:dyDescent="0.25">
      <c r="A101" s="25"/>
      <c r="B101" s="26"/>
      <c r="C101" s="25"/>
      <c r="D101" s="27"/>
      <c r="E101" s="25" t="str">
        <f ca="1">IF(ISBLANK(Entries[[#This Row],[Date]])," ",IFERROR(TODAY()-B101," "))</f>
        <v xml:space="preserve"> </v>
      </c>
    </row>
    <row r="102" spans="1:5" x14ac:dyDescent="0.25">
      <c r="A102" s="25"/>
      <c r="B102" s="26"/>
      <c r="C102" s="25"/>
      <c r="D102" s="27"/>
      <c r="E102" s="25" t="str">
        <f ca="1">IF(ISBLANK(Entries[[#This Row],[Date]])," ",IFERROR(TODAY()-B102," "))</f>
        <v xml:space="preserve"> </v>
      </c>
    </row>
    <row r="103" spans="1:5" x14ac:dyDescent="0.25">
      <c r="A103" s="25"/>
      <c r="B103" s="26"/>
      <c r="C103" s="25"/>
      <c r="D103" s="27"/>
      <c r="E103" s="25" t="str">
        <f ca="1">IF(ISBLANK(Entries[[#This Row],[Date]])," ",IFERROR(TODAY()-B103," "))</f>
        <v xml:space="preserve"> </v>
      </c>
    </row>
    <row r="104" spans="1:5" x14ac:dyDescent="0.25">
      <c r="A104" s="25"/>
      <c r="B104" s="26"/>
      <c r="C104" s="25"/>
      <c r="D104" s="27"/>
      <c r="E104" s="25" t="str">
        <f ca="1">IF(ISBLANK(Entries[[#This Row],[Date]])," ",IFERROR(TODAY()-B104," "))</f>
        <v xml:space="preserve"> </v>
      </c>
    </row>
    <row r="105" spans="1:5" x14ac:dyDescent="0.25">
      <c r="A105" s="25"/>
      <c r="B105" s="26"/>
      <c r="C105" s="25"/>
      <c r="D105" s="27"/>
      <c r="E105" s="25" t="str">
        <f ca="1">IF(ISBLANK(Entries[[#This Row],[Date]])," ",IFERROR(TODAY()-B105," "))</f>
        <v xml:space="preserve"> </v>
      </c>
    </row>
    <row r="106" spans="1:5" x14ac:dyDescent="0.25">
      <c r="A106" s="25"/>
      <c r="B106" s="26"/>
      <c r="C106" s="25"/>
      <c r="D106" s="27"/>
      <c r="E106" s="25" t="str">
        <f ca="1">IF(ISBLANK(Entries[[#This Row],[Date]])," ",IFERROR(TODAY()-B106," "))</f>
        <v xml:space="preserve"> </v>
      </c>
    </row>
    <row r="107" spans="1:5" x14ac:dyDescent="0.25">
      <c r="A107" s="25"/>
      <c r="B107" s="26"/>
      <c r="C107" s="25"/>
      <c r="D107" s="27"/>
      <c r="E107" s="25" t="str">
        <f ca="1">IF(ISBLANK(Entries[[#This Row],[Date]])," ",IFERROR(TODAY()-B107," "))</f>
        <v xml:space="preserve"> </v>
      </c>
    </row>
    <row r="108" spans="1:5" x14ac:dyDescent="0.25">
      <c r="A108" s="25"/>
      <c r="B108" s="26"/>
      <c r="C108" s="25"/>
      <c r="D108" s="27"/>
      <c r="E108" s="25" t="str">
        <f ca="1">IF(ISBLANK(Entries[[#This Row],[Date]])," ",IFERROR(TODAY()-B108," "))</f>
        <v xml:space="preserve"> </v>
      </c>
    </row>
    <row r="109" spans="1:5" x14ac:dyDescent="0.25">
      <c r="A109" s="25"/>
      <c r="B109" s="26"/>
      <c r="C109" s="25"/>
      <c r="D109" s="27"/>
      <c r="E109" s="25" t="str">
        <f ca="1">IF(ISBLANK(Entries[[#This Row],[Date]])," ",IFERROR(TODAY()-B109," "))</f>
        <v xml:space="preserve"> </v>
      </c>
    </row>
    <row r="110" spans="1:5" x14ac:dyDescent="0.25">
      <c r="A110" s="25"/>
      <c r="B110" s="26"/>
      <c r="C110" s="25"/>
      <c r="D110" s="27"/>
      <c r="E110" s="25" t="str">
        <f ca="1">IF(ISBLANK(Entries[[#This Row],[Date]])," ",IFERROR(TODAY()-B110," "))</f>
        <v xml:space="preserve"> </v>
      </c>
    </row>
    <row r="111" spans="1:5" x14ac:dyDescent="0.25">
      <c r="A111" s="25"/>
      <c r="B111" s="26"/>
      <c r="C111" s="25"/>
      <c r="D111" s="27"/>
      <c r="E111" s="25" t="str">
        <f ca="1">IF(ISBLANK(Entries[[#This Row],[Date]])," ",IFERROR(TODAY()-B111," "))</f>
        <v xml:space="preserve"> </v>
      </c>
    </row>
    <row r="112" spans="1:5" x14ac:dyDescent="0.25">
      <c r="A112" s="25"/>
      <c r="B112" s="26"/>
      <c r="C112" s="25"/>
      <c r="D112" s="27"/>
      <c r="E112" s="25" t="str">
        <f ca="1">IF(ISBLANK(Entries[[#This Row],[Date]])," ",IFERROR(TODAY()-B112," "))</f>
        <v xml:space="preserve"> </v>
      </c>
    </row>
    <row r="113" spans="1:5" x14ac:dyDescent="0.25">
      <c r="A113" s="25"/>
      <c r="B113" s="26"/>
      <c r="C113" s="25"/>
      <c r="D113" s="27"/>
      <c r="E113" s="25" t="str">
        <f ca="1">IF(ISBLANK(Entries[[#This Row],[Date]])," ",IFERROR(TODAY()-B113," "))</f>
        <v xml:space="preserve"> </v>
      </c>
    </row>
    <row r="114" spans="1:5" x14ac:dyDescent="0.25">
      <c r="A114" s="25"/>
      <c r="B114" s="26"/>
      <c r="C114" s="25"/>
      <c r="D114" s="27"/>
      <c r="E114" s="25" t="str">
        <f ca="1">IF(ISBLANK(Entries[[#This Row],[Date]])," ",IFERROR(TODAY()-B114," "))</f>
        <v xml:space="preserve"> </v>
      </c>
    </row>
    <row r="115" spans="1:5" x14ac:dyDescent="0.25">
      <c r="A115" s="25"/>
      <c r="B115" s="26"/>
      <c r="C115" s="25"/>
      <c r="D115" s="27"/>
      <c r="E115" s="25" t="str">
        <f ca="1">IF(ISBLANK(Entries[[#This Row],[Date]])," ",IFERROR(TODAY()-B115," "))</f>
        <v xml:space="preserve"> </v>
      </c>
    </row>
    <row r="116" spans="1:5" x14ac:dyDescent="0.25">
      <c r="A116" s="25"/>
      <c r="B116" s="26"/>
      <c r="C116" s="25"/>
      <c r="D116" s="27"/>
      <c r="E116" s="25" t="str">
        <f ca="1">IF(ISBLANK(Entries[[#This Row],[Date]])," ",IFERROR(TODAY()-B116," "))</f>
        <v xml:space="preserve"> </v>
      </c>
    </row>
    <row r="117" spans="1:5" x14ac:dyDescent="0.25">
      <c r="A117" s="25"/>
      <c r="B117" s="26"/>
      <c r="C117" s="25"/>
      <c r="D117" s="27"/>
      <c r="E117" s="25" t="str">
        <f ca="1">IF(ISBLANK(Entries[[#This Row],[Date]])," ",IFERROR(TODAY()-B117," "))</f>
        <v xml:space="preserve"> </v>
      </c>
    </row>
    <row r="118" spans="1:5" x14ac:dyDescent="0.25">
      <c r="A118" s="25"/>
      <c r="B118" s="26"/>
      <c r="C118" s="25"/>
      <c r="D118" s="27"/>
      <c r="E118" s="25" t="str">
        <f ca="1">IF(ISBLANK(Entries[[#This Row],[Date]])," ",IFERROR(TODAY()-B118," "))</f>
        <v xml:space="preserve"> </v>
      </c>
    </row>
    <row r="119" spans="1:5" x14ac:dyDescent="0.25">
      <c r="A119" s="25"/>
      <c r="B119" s="26"/>
      <c r="C119" s="25"/>
      <c r="D119" s="27"/>
      <c r="E119" s="25" t="str">
        <f ca="1">IF(ISBLANK(Entries[[#This Row],[Date]])," ",IFERROR(TODAY()-B119," "))</f>
        <v xml:space="preserve"> </v>
      </c>
    </row>
    <row r="120" spans="1:5" x14ac:dyDescent="0.25">
      <c r="A120" s="25"/>
      <c r="B120" s="26"/>
      <c r="C120" s="25"/>
      <c r="D120" s="27"/>
      <c r="E120" s="25" t="str">
        <f ca="1">IF(ISBLANK(Entries[[#This Row],[Date]])," ",IFERROR(TODAY()-B120," "))</f>
        <v xml:space="preserve"> </v>
      </c>
    </row>
    <row r="121" spans="1:5" x14ac:dyDescent="0.25">
      <c r="A121" s="25"/>
      <c r="B121" s="26"/>
      <c r="C121" s="25"/>
      <c r="D121" s="27"/>
      <c r="E121" s="25" t="str">
        <f ca="1">IF(ISBLANK(Entries[[#This Row],[Date]])," ",IFERROR(TODAY()-B121," "))</f>
        <v xml:space="preserve"> </v>
      </c>
    </row>
    <row r="122" spans="1:5" x14ac:dyDescent="0.25">
      <c r="A122" s="25"/>
      <c r="B122" s="26"/>
      <c r="C122" s="25"/>
      <c r="D122" s="27"/>
      <c r="E122" s="25" t="str">
        <f ca="1">IF(ISBLANK(Entries[[#This Row],[Date]])," ",IFERROR(TODAY()-B122," "))</f>
        <v xml:space="preserve"> </v>
      </c>
    </row>
    <row r="123" spans="1:5" x14ac:dyDescent="0.25">
      <c r="A123" s="25"/>
      <c r="B123" s="26"/>
      <c r="C123" s="25"/>
      <c r="D123" s="27"/>
      <c r="E123" s="25" t="str">
        <f ca="1">IF(ISBLANK(Entries[[#This Row],[Date]])," ",IFERROR(TODAY()-B123," "))</f>
        <v xml:space="preserve"> </v>
      </c>
    </row>
    <row r="124" spans="1:5" x14ac:dyDescent="0.25">
      <c r="A124" s="25"/>
      <c r="B124" s="26"/>
      <c r="C124" s="25"/>
      <c r="D124" s="27"/>
      <c r="E124" s="25" t="str">
        <f ca="1">IF(ISBLANK(Entries[[#This Row],[Date]])," ",IFERROR(TODAY()-B124," "))</f>
        <v xml:space="preserve"> </v>
      </c>
    </row>
    <row r="125" spans="1:5" x14ac:dyDescent="0.25">
      <c r="A125" s="25"/>
      <c r="B125" s="26"/>
      <c r="C125" s="25"/>
      <c r="D125" s="27"/>
      <c r="E125" s="25" t="str">
        <f ca="1">IF(ISBLANK(Entries[[#This Row],[Date]])," ",IFERROR(TODAY()-B125," "))</f>
        <v xml:space="preserve"> </v>
      </c>
    </row>
    <row r="126" spans="1:5" x14ac:dyDescent="0.25">
      <c r="A126" s="25"/>
      <c r="B126" s="26"/>
      <c r="C126" s="25"/>
      <c r="D126" s="27"/>
      <c r="E126" s="25" t="str">
        <f ca="1">IF(ISBLANK(Entries[[#This Row],[Date]])," ",IFERROR(TODAY()-B126," "))</f>
        <v xml:space="preserve"> </v>
      </c>
    </row>
    <row r="127" spans="1:5" x14ac:dyDescent="0.25">
      <c r="A127" s="25"/>
      <c r="B127" s="26"/>
      <c r="C127" s="25"/>
      <c r="D127" s="27"/>
      <c r="E127" s="25" t="str">
        <f ca="1">IF(ISBLANK(Entries[[#This Row],[Date]])," ",IFERROR(TODAY()-B127," "))</f>
        <v xml:space="preserve"> </v>
      </c>
    </row>
    <row r="128" spans="1:5" x14ac:dyDescent="0.25">
      <c r="A128" s="25"/>
      <c r="B128" s="26"/>
      <c r="C128" s="25"/>
      <c r="D128" s="27"/>
      <c r="E128" s="25" t="str">
        <f ca="1">IF(ISBLANK(Entries[[#This Row],[Date]])," ",IFERROR(TODAY()-B128," "))</f>
        <v xml:space="preserve"> </v>
      </c>
    </row>
    <row r="129" spans="1:5" x14ac:dyDescent="0.25">
      <c r="A129" s="25"/>
      <c r="B129" s="26"/>
      <c r="C129" s="25"/>
      <c r="D129" s="27"/>
      <c r="E129" s="25" t="str">
        <f ca="1">IF(ISBLANK(Entries[[#This Row],[Date]])," ",IFERROR(TODAY()-B129," "))</f>
        <v xml:space="preserve"> </v>
      </c>
    </row>
    <row r="130" spans="1:5" x14ac:dyDescent="0.25">
      <c r="A130" s="25"/>
      <c r="B130" s="26"/>
      <c r="C130" s="25"/>
      <c r="D130" s="27"/>
      <c r="E130" s="25" t="str">
        <f ca="1">IF(ISBLANK(Entries[[#This Row],[Date]])," ",IFERROR(TODAY()-B130," "))</f>
        <v xml:space="preserve"> </v>
      </c>
    </row>
    <row r="131" spans="1:5" x14ac:dyDescent="0.25">
      <c r="A131" s="25"/>
      <c r="B131" s="26"/>
      <c r="C131" s="25"/>
      <c r="D131" s="27"/>
      <c r="E131" s="25" t="str">
        <f ca="1">IF(ISBLANK(Entries[[#This Row],[Date]])," ",IFERROR(TODAY()-B131," "))</f>
        <v xml:space="preserve"> </v>
      </c>
    </row>
    <row r="132" spans="1:5" x14ac:dyDescent="0.25">
      <c r="A132" s="25"/>
      <c r="B132" s="26"/>
      <c r="C132" s="25"/>
      <c r="D132" s="27"/>
      <c r="E132" s="25" t="str">
        <f ca="1">IF(ISBLANK(Entries[[#This Row],[Date]])," ",IFERROR(TODAY()-B132," "))</f>
        <v xml:space="preserve"> </v>
      </c>
    </row>
    <row r="133" spans="1:5" x14ac:dyDescent="0.25">
      <c r="A133" s="25"/>
      <c r="B133" s="26"/>
      <c r="C133" s="25"/>
      <c r="D133" s="27"/>
      <c r="E133" s="25" t="str">
        <f ca="1">IF(ISBLANK(Entries[[#This Row],[Date]])," ",IFERROR(TODAY()-B133," "))</f>
        <v xml:space="preserve"> </v>
      </c>
    </row>
    <row r="134" spans="1:5" x14ac:dyDescent="0.25">
      <c r="A134" s="25"/>
      <c r="B134" s="26"/>
      <c r="C134" s="25"/>
      <c r="D134" s="27"/>
      <c r="E134" s="25" t="str">
        <f ca="1">IF(ISBLANK(Entries[[#This Row],[Date]])," ",IFERROR(TODAY()-B134," "))</f>
        <v xml:space="preserve"> </v>
      </c>
    </row>
    <row r="135" spans="1:5" x14ac:dyDescent="0.25">
      <c r="A135" s="25"/>
      <c r="B135" s="26"/>
      <c r="C135" s="25"/>
      <c r="D135" s="27"/>
      <c r="E135" s="25" t="str">
        <f ca="1">IF(ISBLANK(Entries[[#This Row],[Date]])," ",IFERROR(TODAY()-B135," "))</f>
        <v xml:space="preserve"> </v>
      </c>
    </row>
    <row r="136" spans="1:5" x14ac:dyDescent="0.25">
      <c r="A136" s="25"/>
      <c r="B136" s="26"/>
      <c r="C136" s="25"/>
      <c r="D136" s="27"/>
      <c r="E136" s="25" t="str">
        <f ca="1">IF(ISBLANK(Entries[[#This Row],[Date]])," ",IFERROR(TODAY()-B136," "))</f>
        <v xml:space="preserve"> </v>
      </c>
    </row>
    <row r="137" spans="1:5" x14ac:dyDescent="0.25">
      <c r="A137" s="25"/>
      <c r="B137" s="26"/>
      <c r="C137" s="25"/>
      <c r="D137" s="27"/>
      <c r="E137" s="25" t="str">
        <f ca="1">IF(ISBLANK(Entries[[#This Row],[Date]])," ",IFERROR(TODAY()-B137," "))</f>
        <v xml:space="preserve"> </v>
      </c>
    </row>
    <row r="138" spans="1:5" x14ac:dyDescent="0.25">
      <c r="A138" s="25"/>
      <c r="B138" s="26"/>
      <c r="C138" s="25"/>
      <c r="D138" s="27"/>
      <c r="E138" s="25" t="str">
        <f ca="1">IF(ISBLANK(Entries[[#This Row],[Date]])," ",IFERROR(TODAY()-B138," "))</f>
        <v xml:space="preserve"> </v>
      </c>
    </row>
    <row r="139" spans="1:5" x14ac:dyDescent="0.25">
      <c r="A139" s="25"/>
      <c r="B139" s="26"/>
      <c r="C139" s="25"/>
      <c r="D139" s="27"/>
      <c r="E139" s="25" t="str">
        <f ca="1">IF(ISBLANK(Entries[[#This Row],[Date]])," ",IFERROR(TODAY()-B139," "))</f>
        <v xml:space="preserve"> </v>
      </c>
    </row>
    <row r="140" spans="1:5" x14ac:dyDescent="0.25">
      <c r="A140" s="25"/>
      <c r="B140" s="26"/>
      <c r="C140" s="25"/>
      <c r="D140" s="27"/>
      <c r="E140" s="25" t="str">
        <f ca="1">IF(ISBLANK(Entries[[#This Row],[Date]])," ",IFERROR(TODAY()-B140," "))</f>
        <v xml:space="preserve"> </v>
      </c>
    </row>
    <row r="141" spans="1:5" x14ac:dyDescent="0.25">
      <c r="A141" s="25"/>
      <c r="B141" s="26"/>
      <c r="C141" s="25"/>
      <c r="D141" s="27"/>
      <c r="E141" s="25" t="str">
        <f ca="1">IF(ISBLANK(Entries[[#This Row],[Date]])," ",IFERROR(TODAY()-B141," "))</f>
        <v xml:space="preserve"> </v>
      </c>
    </row>
    <row r="142" spans="1:5" x14ac:dyDescent="0.25">
      <c r="A142" s="25"/>
      <c r="B142" s="26"/>
      <c r="C142" s="25"/>
      <c r="D142" s="27"/>
      <c r="E142" s="25" t="str">
        <f ca="1">IF(ISBLANK(Entries[[#This Row],[Date]])," ",IFERROR(TODAY()-B142," "))</f>
        <v xml:space="preserve"> </v>
      </c>
    </row>
    <row r="143" spans="1:5" x14ac:dyDescent="0.25">
      <c r="A143" s="25"/>
      <c r="B143" s="26"/>
      <c r="C143" s="25"/>
      <c r="D143" s="27"/>
      <c r="E143" s="25" t="str">
        <f ca="1">IF(ISBLANK(Entries[[#This Row],[Date]])," ",IFERROR(TODAY()-B143," "))</f>
        <v xml:space="preserve"> </v>
      </c>
    </row>
    <row r="144" spans="1:5" x14ac:dyDescent="0.25">
      <c r="A144" s="25"/>
      <c r="B144" s="26"/>
      <c r="C144" s="25"/>
      <c r="D144" s="27"/>
      <c r="E144" s="25" t="str">
        <f ca="1">IF(ISBLANK(Entries[[#This Row],[Date]])," ",IFERROR(TODAY()-B144," "))</f>
        <v xml:space="preserve"> </v>
      </c>
    </row>
    <row r="145" spans="1:5" x14ac:dyDescent="0.25">
      <c r="A145" s="25"/>
      <c r="B145" s="26"/>
      <c r="C145" s="25"/>
      <c r="D145" s="27"/>
      <c r="E145" s="25" t="str">
        <f ca="1">IF(ISBLANK(Entries[[#This Row],[Date]])," ",IFERROR(TODAY()-B145," "))</f>
        <v xml:space="preserve"> </v>
      </c>
    </row>
    <row r="146" spans="1:5" x14ac:dyDescent="0.25">
      <c r="A146" s="25"/>
      <c r="B146" s="26"/>
      <c r="C146" s="25"/>
      <c r="D146" s="27"/>
      <c r="E146" s="25" t="str">
        <f ca="1">IF(ISBLANK(Entries[[#This Row],[Date]])," ",IFERROR(TODAY()-B146," "))</f>
        <v xml:space="preserve"> </v>
      </c>
    </row>
    <row r="147" spans="1:5" x14ac:dyDescent="0.25">
      <c r="A147" s="25"/>
      <c r="B147" s="26"/>
      <c r="C147" s="25"/>
      <c r="D147" s="27"/>
      <c r="E147" s="25" t="str">
        <f ca="1">IF(ISBLANK(Entries[[#This Row],[Date]])," ",IFERROR(TODAY()-B147," "))</f>
        <v xml:space="preserve"> </v>
      </c>
    </row>
    <row r="148" spans="1:5" x14ac:dyDescent="0.25">
      <c r="A148" s="25"/>
      <c r="B148" s="26"/>
      <c r="C148" s="25"/>
      <c r="D148" s="27"/>
      <c r="E148" s="25" t="str">
        <f ca="1">IF(ISBLANK(Entries[[#This Row],[Date]])," ",IFERROR(TODAY()-B148," "))</f>
        <v xml:space="preserve"> </v>
      </c>
    </row>
    <row r="149" spans="1:5" x14ac:dyDescent="0.25">
      <c r="A149" s="25"/>
      <c r="B149" s="26"/>
      <c r="C149" s="25"/>
      <c r="D149" s="27"/>
      <c r="E149" s="25" t="str">
        <f ca="1">IF(ISBLANK(Entries[[#This Row],[Date]])," ",IFERROR(TODAY()-B149," "))</f>
        <v xml:space="preserve"> </v>
      </c>
    </row>
    <row r="150" spans="1:5" x14ac:dyDescent="0.25">
      <c r="A150" s="25"/>
      <c r="B150" s="26"/>
      <c r="C150" s="25"/>
      <c r="D150" s="27"/>
      <c r="E150" s="25" t="str">
        <f ca="1">IF(ISBLANK(Entries[[#This Row],[Date]])," ",IFERROR(TODAY()-B150," "))</f>
        <v xml:space="preserve"> </v>
      </c>
    </row>
    <row r="151" spans="1:5" x14ac:dyDescent="0.25">
      <c r="A151" s="25"/>
      <c r="B151" s="26"/>
      <c r="C151" s="25"/>
      <c r="D151" s="27"/>
      <c r="E151" s="25" t="str">
        <f ca="1">IF(ISBLANK(Entries[[#This Row],[Date]])," ",IFERROR(TODAY()-B151," "))</f>
        <v xml:space="preserve"> </v>
      </c>
    </row>
    <row r="152" spans="1:5" x14ac:dyDescent="0.25">
      <c r="A152" s="25"/>
      <c r="B152" s="26"/>
      <c r="C152" s="25"/>
      <c r="D152" s="27"/>
      <c r="E152" s="25" t="str">
        <f ca="1">IF(ISBLANK(Entries[[#This Row],[Date]])," ",IFERROR(TODAY()-B152," "))</f>
        <v xml:space="preserve"> </v>
      </c>
    </row>
    <row r="153" spans="1:5" x14ac:dyDescent="0.25">
      <c r="A153" s="25"/>
      <c r="B153" s="26"/>
      <c r="C153" s="25"/>
      <c r="D153" s="27"/>
      <c r="E153" s="25" t="str">
        <f ca="1">IF(ISBLANK(Entries[[#This Row],[Date]])," ",IFERROR(TODAY()-B153," "))</f>
        <v xml:space="preserve"> </v>
      </c>
    </row>
    <row r="154" spans="1:5" x14ac:dyDescent="0.25">
      <c r="A154" s="25"/>
      <c r="B154" s="26"/>
      <c r="C154" s="25"/>
      <c r="D154" s="27"/>
      <c r="E154" s="25" t="str">
        <f ca="1">IF(ISBLANK(Entries[[#This Row],[Date]])," ",IFERROR(TODAY()-B154," "))</f>
        <v xml:space="preserve"> </v>
      </c>
    </row>
    <row r="155" spans="1:5" x14ac:dyDescent="0.25">
      <c r="A155" s="25"/>
      <c r="B155" s="26"/>
      <c r="C155" s="25"/>
      <c r="D155" s="27"/>
      <c r="E155" s="25" t="str">
        <f ca="1">IF(ISBLANK(Entries[[#This Row],[Date]])," ",IFERROR(TODAY()-B155," "))</f>
        <v xml:space="preserve"> </v>
      </c>
    </row>
    <row r="156" spans="1:5" x14ac:dyDescent="0.25">
      <c r="A156" s="25"/>
      <c r="B156" s="26"/>
      <c r="C156" s="25"/>
      <c r="D156" s="27"/>
      <c r="E156" s="25" t="str">
        <f ca="1">IF(ISBLANK(Entries[[#This Row],[Date]])," ",IFERROR(TODAY()-B156," "))</f>
        <v xml:space="preserve"> </v>
      </c>
    </row>
    <row r="157" spans="1:5" x14ac:dyDescent="0.25">
      <c r="A157" s="25"/>
      <c r="B157" s="26"/>
      <c r="C157" s="25"/>
      <c r="D157" s="27"/>
      <c r="E157" s="25" t="str">
        <f ca="1">IF(ISBLANK(Entries[[#This Row],[Date]])," ",IFERROR(TODAY()-B157," "))</f>
        <v xml:space="preserve"> </v>
      </c>
    </row>
    <row r="158" spans="1:5" x14ac:dyDescent="0.25">
      <c r="A158" s="25"/>
      <c r="B158" s="26"/>
      <c r="C158" s="25"/>
      <c r="D158" s="27"/>
      <c r="E158" s="25" t="str">
        <f ca="1">IF(ISBLANK(Entries[[#This Row],[Date]])," ",IFERROR(TODAY()-B158," "))</f>
        <v xml:space="preserve"> </v>
      </c>
    </row>
    <row r="159" spans="1:5" x14ac:dyDescent="0.25">
      <c r="A159" s="25"/>
      <c r="B159" s="26"/>
      <c r="C159" s="25"/>
      <c r="D159" s="27"/>
      <c r="E159" s="25" t="str">
        <f ca="1">IF(ISBLANK(Entries[[#This Row],[Date]])," ",IFERROR(TODAY()-B159," "))</f>
        <v xml:space="preserve"> </v>
      </c>
    </row>
    <row r="160" spans="1:5" x14ac:dyDescent="0.25">
      <c r="A160" s="25"/>
      <c r="B160" s="26"/>
      <c r="C160" s="25"/>
      <c r="D160" s="27"/>
      <c r="E160" s="25" t="str">
        <f ca="1">IF(ISBLANK(Entries[[#This Row],[Date]])," ",IFERROR(TODAY()-B160," "))</f>
        <v xml:space="preserve"> </v>
      </c>
    </row>
    <row r="161" spans="1:5" x14ac:dyDescent="0.25">
      <c r="A161" s="25"/>
      <c r="B161" s="26"/>
      <c r="C161" s="25"/>
      <c r="D161" s="27"/>
      <c r="E161" s="25" t="str">
        <f ca="1">IF(ISBLANK(Entries[[#This Row],[Date]])," ",IFERROR(TODAY()-B161," "))</f>
        <v xml:space="preserve"> </v>
      </c>
    </row>
    <row r="162" spans="1:5" x14ac:dyDescent="0.25">
      <c r="A162" s="25"/>
      <c r="B162" s="26"/>
      <c r="C162" s="25"/>
      <c r="D162" s="27"/>
      <c r="E162" s="25" t="str">
        <f ca="1">IF(ISBLANK(Entries[[#This Row],[Date]])," ",IFERROR(TODAY()-B162," "))</f>
        <v xml:space="preserve"> </v>
      </c>
    </row>
    <row r="163" spans="1:5" x14ac:dyDescent="0.25">
      <c r="A163" s="25"/>
      <c r="B163" s="26"/>
      <c r="C163" s="25"/>
      <c r="D163" s="27"/>
      <c r="E163" s="25" t="str">
        <f ca="1">IF(ISBLANK(Entries[[#This Row],[Date]])," ",IFERROR(TODAY()-B163," "))</f>
        <v xml:space="preserve"> </v>
      </c>
    </row>
    <row r="164" spans="1:5" x14ac:dyDescent="0.25">
      <c r="A164" s="25"/>
      <c r="B164" s="26"/>
      <c r="C164" s="25"/>
      <c r="D164" s="27"/>
      <c r="E164" s="25" t="str">
        <f ca="1">IF(ISBLANK(Entries[[#This Row],[Date]])," ",IFERROR(TODAY()-B164," "))</f>
        <v xml:space="preserve"> </v>
      </c>
    </row>
    <row r="165" spans="1:5" ht="15.75" customHeight="1" x14ac:dyDescent="0.25">
      <c r="A165" s="25"/>
      <c r="B165" s="26"/>
      <c r="C165" s="25"/>
      <c r="D165" s="27"/>
      <c r="E165" s="25" t="str">
        <f ca="1">IF(ISBLANK(Entries[[#This Row],[Date]])," ",IFERROR(TODAY()-B165," "))</f>
        <v xml:space="preserve"> </v>
      </c>
    </row>
    <row r="166" spans="1:5" ht="21.75" customHeight="1" x14ac:dyDescent="0.25">
      <c r="A166" s="25"/>
      <c r="B166" s="26"/>
      <c r="C166" s="25"/>
      <c r="D166" s="27"/>
      <c r="E166" s="25" t="str">
        <f ca="1">IF(ISBLANK(Entries[[#This Row],[Date]])," ",IFERROR(TODAY()-B166," "))</f>
        <v xml:space="preserve"> </v>
      </c>
    </row>
    <row r="167" spans="1:5" x14ac:dyDescent="0.25">
      <c r="A167" s="25"/>
      <c r="B167" s="26"/>
      <c r="C167" s="25"/>
      <c r="D167" s="27"/>
      <c r="E167" s="25" t="str">
        <f ca="1">IF(ISBLANK(Entries[[#This Row],[Date]])," ",IFERROR(TODAY()-B167," "))</f>
        <v xml:space="preserve"> </v>
      </c>
    </row>
    <row r="168" spans="1:5" x14ac:dyDescent="0.25">
      <c r="A168" s="25"/>
      <c r="B168" s="26"/>
      <c r="C168" s="25"/>
      <c r="D168" s="27"/>
      <c r="E168" s="25" t="str">
        <f ca="1">IF(ISBLANK(Entries[[#This Row],[Date]])," ",IFERROR(TODAY()-B168," "))</f>
        <v xml:space="preserve"> </v>
      </c>
    </row>
    <row r="169" spans="1:5" x14ac:dyDescent="0.25">
      <c r="A169" s="25"/>
      <c r="B169" s="26"/>
      <c r="C169" s="25"/>
      <c r="D169" s="27"/>
      <c r="E169" s="25" t="str">
        <f ca="1">IF(ISBLANK(Entries[[#This Row],[Date]])," ",IFERROR(TODAY()-B169," "))</f>
        <v xml:space="preserve"> </v>
      </c>
    </row>
    <row r="170" spans="1:5" x14ac:dyDescent="0.25">
      <c r="A170" s="25"/>
      <c r="B170" s="26"/>
      <c r="C170" s="25"/>
      <c r="D170" s="27"/>
      <c r="E170" s="25" t="str">
        <f ca="1">IF(ISBLANK(Entries[[#This Row],[Date]])," ",IFERROR(TODAY()-B170," "))</f>
        <v xml:space="preserve"> </v>
      </c>
    </row>
    <row r="171" spans="1:5" x14ac:dyDescent="0.25">
      <c r="A171" s="25"/>
      <c r="B171" s="26"/>
      <c r="C171" s="25"/>
      <c r="D171" s="27"/>
      <c r="E171" s="25" t="str">
        <f ca="1">IF(ISBLANK(Entries[[#This Row],[Date]])," ",IFERROR(TODAY()-B171," "))</f>
        <v xml:space="preserve"> </v>
      </c>
    </row>
    <row r="172" spans="1:5" x14ac:dyDescent="0.25">
      <c r="A172" s="25"/>
      <c r="B172" s="26"/>
      <c r="C172" s="25"/>
      <c r="D172" s="27"/>
      <c r="E172" s="25" t="str">
        <f ca="1">IF(ISBLANK(Entries[[#This Row],[Date]])," ",IFERROR(TODAY()-B172," "))</f>
        <v xml:space="preserve"> </v>
      </c>
    </row>
    <row r="173" spans="1:5" x14ac:dyDescent="0.25">
      <c r="A173" s="25"/>
      <c r="B173" s="26"/>
      <c r="C173" s="25"/>
      <c r="D173" s="27"/>
      <c r="E173" s="25" t="str">
        <f ca="1">IF(ISBLANK(Entries[[#This Row],[Date]])," ",IFERROR(TODAY()-B173," "))</f>
        <v xml:space="preserve"> </v>
      </c>
    </row>
    <row r="174" spans="1:5" x14ac:dyDescent="0.25">
      <c r="A174" s="25"/>
      <c r="B174" s="26"/>
      <c r="C174" s="25"/>
      <c r="D174" s="27"/>
      <c r="E174" s="25" t="str">
        <f ca="1">IF(ISBLANK(Entries[[#This Row],[Date]])," ",IFERROR(TODAY()-B174," "))</f>
        <v xml:space="preserve"> </v>
      </c>
    </row>
    <row r="175" spans="1:5" x14ac:dyDescent="0.25">
      <c r="A175" s="25"/>
      <c r="B175" s="26"/>
      <c r="C175" s="25"/>
      <c r="D175" s="27"/>
      <c r="E175" s="25" t="str">
        <f ca="1">IF(ISBLANK(Entries[[#This Row],[Date]])," ",IFERROR(TODAY()-B175," "))</f>
        <v xml:space="preserve"> </v>
      </c>
    </row>
    <row r="176" spans="1:5" x14ac:dyDescent="0.25">
      <c r="A176" s="25"/>
      <c r="B176" s="26"/>
      <c r="C176" s="25"/>
      <c r="D176" s="27"/>
      <c r="E176" s="25" t="str">
        <f ca="1">IF(ISBLANK(Entries[[#This Row],[Date]])," ",IFERROR(TODAY()-B176," "))</f>
        <v xml:space="preserve"> </v>
      </c>
    </row>
    <row r="177" spans="1:5" x14ac:dyDescent="0.25">
      <c r="A177" s="25"/>
      <c r="B177" s="26"/>
      <c r="C177" s="25"/>
      <c r="D177" s="27"/>
      <c r="E177" s="25" t="str">
        <f ca="1">IF(ISBLANK(Entries[[#This Row],[Date]])," ",IFERROR(TODAY()-B177," "))</f>
        <v xml:space="preserve"> </v>
      </c>
    </row>
    <row r="178" spans="1:5" x14ac:dyDescent="0.25">
      <c r="A178" s="25"/>
      <c r="B178" s="26"/>
      <c r="C178" s="25"/>
      <c r="D178" s="27"/>
      <c r="E178" s="25" t="str">
        <f ca="1">IF(ISBLANK(Entries[[#This Row],[Date]])," ",IFERROR(TODAY()-B178," "))</f>
        <v xml:space="preserve"> </v>
      </c>
    </row>
    <row r="179" spans="1:5" x14ac:dyDescent="0.25">
      <c r="A179" s="25"/>
      <c r="B179" s="26"/>
      <c r="C179" s="25"/>
      <c r="D179" s="27"/>
      <c r="E179" s="25" t="str">
        <f ca="1">IF(ISBLANK(Entries[[#This Row],[Date]])," ",IFERROR(TODAY()-B179," "))</f>
        <v xml:space="preserve"> </v>
      </c>
    </row>
    <row r="180" spans="1:5" x14ac:dyDescent="0.25">
      <c r="A180" s="25"/>
      <c r="B180" s="26"/>
      <c r="C180" s="25"/>
      <c r="D180" s="27"/>
      <c r="E180" s="25" t="str">
        <f ca="1">IF(ISBLANK(Entries[[#This Row],[Date]])," ",IFERROR(TODAY()-B180," "))</f>
        <v xml:space="preserve"> </v>
      </c>
    </row>
    <row r="181" spans="1:5" x14ac:dyDescent="0.25">
      <c r="A181" s="25"/>
      <c r="B181" s="26"/>
      <c r="C181" s="25"/>
      <c r="D181" s="27"/>
      <c r="E181" s="25" t="str">
        <f ca="1">IF(ISBLANK(Entries[[#This Row],[Date]])," ",IFERROR(TODAY()-B181," "))</f>
        <v xml:space="preserve"> </v>
      </c>
    </row>
    <row r="182" spans="1:5" x14ac:dyDescent="0.25">
      <c r="A182" s="25"/>
      <c r="B182" s="26"/>
      <c r="C182" s="25"/>
      <c r="D182" s="27"/>
      <c r="E182" s="25" t="str">
        <f ca="1">IF(ISBLANK(Entries[[#This Row],[Date]])," ",IFERROR(TODAY()-B182," "))</f>
        <v xml:space="preserve"> </v>
      </c>
    </row>
    <row r="183" spans="1:5" x14ac:dyDescent="0.25">
      <c r="A183" s="25"/>
      <c r="B183" s="26"/>
      <c r="C183" s="25"/>
      <c r="D183" s="27"/>
      <c r="E183" s="25" t="str">
        <f ca="1">IF(ISBLANK(Entries[[#This Row],[Date]])," ",IFERROR(TODAY()-B183," "))</f>
        <v xml:space="preserve"> </v>
      </c>
    </row>
    <row r="184" spans="1:5" x14ac:dyDescent="0.25">
      <c r="A184" s="25"/>
      <c r="B184" s="26"/>
      <c r="C184" s="25"/>
      <c r="D184" s="27"/>
      <c r="E184" s="25" t="str">
        <f ca="1">IF(ISBLANK(Entries[[#This Row],[Date]])," ",IFERROR(TODAY()-B184," "))</f>
        <v xml:space="preserve"> </v>
      </c>
    </row>
    <row r="185" spans="1:5" x14ac:dyDescent="0.25">
      <c r="A185" s="25"/>
      <c r="B185" s="26"/>
      <c r="C185" s="25"/>
      <c r="D185" s="27"/>
      <c r="E185" s="25" t="str">
        <f ca="1">IF(ISBLANK(Entries[[#This Row],[Date]])," ",IFERROR(TODAY()-B185," "))</f>
        <v xml:space="preserve"> </v>
      </c>
    </row>
    <row r="186" spans="1:5" x14ac:dyDescent="0.25">
      <c r="A186" s="25"/>
      <c r="B186" s="26"/>
      <c r="C186" s="25"/>
      <c r="D186" s="27"/>
      <c r="E186" s="25" t="str">
        <f ca="1">IF(ISBLANK(Entries[[#This Row],[Date]])," ",IFERROR(TODAY()-B186," "))</f>
        <v xml:space="preserve"> </v>
      </c>
    </row>
    <row r="187" spans="1:5" x14ac:dyDescent="0.25">
      <c r="A187" s="25"/>
      <c r="B187" s="26"/>
      <c r="C187" s="25"/>
      <c r="D187" s="27"/>
      <c r="E187" s="25" t="str">
        <f ca="1">IF(ISBLANK(Entries[[#This Row],[Date]])," ",IFERROR(TODAY()-B187," "))</f>
        <v xml:space="preserve"> </v>
      </c>
    </row>
    <row r="188" spans="1:5" x14ac:dyDescent="0.25">
      <c r="A188" s="25"/>
      <c r="B188" s="26"/>
      <c r="C188" s="25"/>
      <c r="D188" s="27"/>
      <c r="E188" s="25" t="str">
        <f ca="1">IF(ISBLANK(Entries[[#This Row],[Date]])," ",IFERROR(TODAY()-B188," "))</f>
        <v xml:space="preserve"> </v>
      </c>
    </row>
    <row r="189" spans="1:5" x14ac:dyDescent="0.25">
      <c r="A189" s="25"/>
      <c r="B189" s="26"/>
      <c r="C189" s="25"/>
      <c r="D189" s="27"/>
      <c r="E189" s="25" t="str">
        <f ca="1">IF(ISBLANK(Entries[[#This Row],[Date]])," ",IFERROR(TODAY()-B189," "))</f>
        <v xml:space="preserve"> </v>
      </c>
    </row>
    <row r="190" spans="1:5" x14ac:dyDescent="0.25">
      <c r="A190" s="25"/>
      <c r="B190" s="26"/>
      <c r="C190" s="25"/>
      <c r="D190" s="27"/>
      <c r="E190" s="25" t="str">
        <f ca="1">IF(ISBLANK(Entries[[#This Row],[Date]])," ",IFERROR(TODAY()-B190," "))</f>
        <v xml:space="preserve"> </v>
      </c>
    </row>
    <row r="191" spans="1:5" x14ac:dyDescent="0.25">
      <c r="A191" s="25"/>
      <c r="B191" s="26"/>
      <c r="C191" s="25"/>
      <c r="D191" s="27"/>
      <c r="E191" s="25" t="str">
        <f ca="1">IF(ISBLANK(Entries[[#This Row],[Date]])," ",IFERROR(TODAY()-B191," "))</f>
        <v xml:space="preserve"> </v>
      </c>
    </row>
    <row r="192" spans="1:5" x14ac:dyDescent="0.25">
      <c r="A192" s="25"/>
      <c r="B192" s="26"/>
      <c r="C192" s="25"/>
      <c r="D192" s="27"/>
      <c r="E192" s="25" t="str">
        <f ca="1">IF(ISBLANK(Entries[[#This Row],[Date]])," ",IFERROR(TODAY()-B192," "))</f>
        <v xml:space="preserve"> </v>
      </c>
    </row>
    <row r="193" spans="1:5" x14ac:dyDescent="0.25">
      <c r="A193" s="25"/>
      <c r="B193" s="26"/>
      <c r="C193" s="25"/>
      <c r="D193" s="27"/>
      <c r="E193" s="25" t="str">
        <f ca="1">IF(ISBLANK(Entries[[#This Row],[Date]])," ",IFERROR(TODAY()-B193," "))</f>
        <v xml:space="preserve"> </v>
      </c>
    </row>
    <row r="194" spans="1:5" x14ac:dyDescent="0.25">
      <c r="A194" s="25"/>
      <c r="B194" s="26"/>
      <c r="C194" s="25"/>
      <c r="D194" s="27"/>
      <c r="E194" s="25" t="str">
        <f ca="1">IF(ISBLANK(Entries[[#This Row],[Date]])," ",IFERROR(TODAY()-B194," "))</f>
        <v xml:space="preserve"> </v>
      </c>
    </row>
    <row r="195" spans="1:5" x14ac:dyDescent="0.25">
      <c r="A195" s="25"/>
      <c r="B195" s="26"/>
      <c r="C195" s="25"/>
      <c r="D195" s="27"/>
      <c r="E195" s="25" t="str">
        <f ca="1">IF(ISBLANK(Entries[[#This Row],[Date]])," ",IFERROR(TODAY()-B195," "))</f>
        <v xml:space="preserve"> </v>
      </c>
    </row>
    <row r="196" spans="1:5" x14ac:dyDescent="0.25">
      <c r="A196" s="25"/>
      <c r="B196" s="26"/>
      <c r="C196" s="25"/>
      <c r="D196" s="27"/>
      <c r="E196" s="25" t="str">
        <f ca="1">IF(ISBLANK(Entries[[#This Row],[Date]])," ",IFERROR(TODAY()-B196," "))</f>
        <v xml:space="preserve"> </v>
      </c>
    </row>
    <row r="197" spans="1:5" x14ac:dyDescent="0.25">
      <c r="A197" s="25"/>
      <c r="B197" s="26"/>
      <c r="C197" s="25"/>
      <c r="D197" s="27"/>
      <c r="E197" s="25" t="str">
        <f ca="1">IF(ISBLANK(Entries[[#This Row],[Date]])," ",IFERROR(TODAY()-B197," "))</f>
        <v xml:space="preserve"> </v>
      </c>
    </row>
    <row r="198" spans="1:5" x14ac:dyDescent="0.25">
      <c r="A198" s="25"/>
      <c r="B198" s="26"/>
      <c r="C198" s="25"/>
      <c r="D198" s="27"/>
      <c r="E198" s="25" t="str">
        <f ca="1">IF(ISBLANK(Entries[[#This Row],[Date]])," ",IFERROR(TODAY()-B198," "))</f>
        <v xml:space="preserve"> </v>
      </c>
    </row>
    <row r="199" spans="1:5" x14ac:dyDescent="0.25">
      <c r="A199" s="25"/>
      <c r="B199" s="26"/>
      <c r="C199" s="25"/>
      <c r="D199" s="27"/>
      <c r="E199" s="25" t="str">
        <f ca="1">IF(ISBLANK(Entries[[#This Row],[Date]])," ",IFERROR(TODAY()-B199," "))</f>
        <v xml:space="preserve"> </v>
      </c>
    </row>
    <row r="200" spans="1:5" x14ac:dyDescent="0.25">
      <c r="A200" s="25"/>
      <c r="B200" s="26"/>
      <c r="C200" s="25"/>
      <c r="D200" s="27"/>
      <c r="E200" s="25" t="str">
        <f ca="1">IF(ISBLANK(Entries[[#This Row],[Date]])," ",IFERROR(TODAY()-B200," "))</f>
        <v xml:space="preserve"> </v>
      </c>
    </row>
    <row r="201" spans="1:5" x14ac:dyDescent="0.25">
      <c r="A201" s="25"/>
      <c r="B201" s="26"/>
      <c r="C201" s="25"/>
      <c r="D201" s="27"/>
      <c r="E201" s="25" t="str">
        <f ca="1">IF(ISBLANK(Entries[[#This Row],[Date]])," ",IFERROR(TODAY()-B201," "))</f>
        <v xml:space="preserve"> </v>
      </c>
    </row>
    <row r="202" spans="1:5" x14ac:dyDescent="0.25">
      <c r="A202" s="25"/>
      <c r="B202" s="26"/>
      <c r="C202" s="25"/>
      <c r="D202" s="27"/>
      <c r="E202" s="25" t="str">
        <f ca="1">IF(ISBLANK(Entries[[#This Row],[Date]])," ",IFERROR(TODAY()-B202," "))</f>
        <v xml:space="preserve"> </v>
      </c>
    </row>
    <row r="203" spans="1:5" x14ac:dyDescent="0.25">
      <c r="A203" s="25"/>
      <c r="B203" s="26"/>
      <c r="C203" s="25"/>
      <c r="D203" s="27"/>
      <c r="E203" s="25" t="str">
        <f ca="1">IF(ISBLANK(Entries[[#This Row],[Date]])," ",IFERROR(TODAY()-B203," "))</f>
        <v xml:space="preserve"> </v>
      </c>
    </row>
    <row r="204" spans="1:5" x14ac:dyDescent="0.25">
      <c r="A204" s="25"/>
      <c r="B204" s="26"/>
      <c r="C204" s="25"/>
      <c r="D204" s="27"/>
      <c r="E204" s="25" t="str">
        <f ca="1">IF(ISBLANK(Entries[[#This Row],[Date]])," ",IFERROR(TODAY()-B204," "))</f>
        <v xml:space="preserve"> </v>
      </c>
    </row>
    <row r="205" spans="1:5" x14ac:dyDescent="0.25">
      <c r="A205" s="25"/>
      <c r="B205" s="26"/>
      <c r="C205" s="25"/>
      <c r="D205" s="27"/>
      <c r="E205" s="25" t="str">
        <f ca="1">IF(ISBLANK(Entries[[#This Row],[Date]])," ",IFERROR(TODAY()-B205," "))</f>
        <v xml:space="preserve"> </v>
      </c>
    </row>
    <row r="206" spans="1:5" x14ac:dyDescent="0.25">
      <c r="A206" s="25"/>
      <c r="B206" s="26"/>
      <c r="C206" s="25"/>
      <c r="D206" s="27"/>
      <c r="E206" s="25" t="str">
        <f ca="1">IF(ISBLANK(Entries[[#This Row],[Date]])," ",IFERROR(TODAY()-B206," "))</f>
        <v xml:space="preserve"> </v>
      </c>
    </row>
    <row r="207" spans="1:5" x14ac:dyDescent="0.25">
      <c r="A207" s="25"/>
      <c r="B207" s="26"/>
      <c r="C207" s="25"/>
      <c r="D207" s="27"/>
      <c r="E207" s="25" t="str">
        <f ca="1">IF(ISBLANK(Entries[[#This Row],[Date]])," ",IFERROR(TODAY()-B207," "))</f>
        <v xml:space="preserve"> </v>
      </c>
    </row>
    <row r="208" spans="1:5" x14ac:dyDescent="0.25">
      <c r="A208" s="25"/>
      <c r="B208" s="26"/>
      <c r="C208" s="25"/>
      <c r="D208" s="27"/>
      <c r="E208" s="25" t="str">
        <f ca="1">IF(ISBLANK(Entries[[#This Row],[Date]])," ",IFERROR(TODAY()-B208," "))</f>
        <v xml:space="preserve"> </v>
      </c>
    </row>
    <row r="209" spans="1:5" x14ac:dyDescent="0.25">
      <c r="A209" s="25"/>
      <c r="B209" s="26"/>
      <c r="C209" s="25"/>
      <c r="D209" s="27"/>
      <c r="E209" s="25" t="str">
        <f ca="1">IF(ISBLANK(Entries[[#This Row],[Date]])," ",IFERROR(TODAY()-B209," "))</f>
        <v xml:space="preserve"> </v>
      </c>
    </row>
    <row r="210" spans="1:5" x14ac:dyDescent="0.25">
      <c r="A210" s="25"/>
      <c r="B210" s="26"/>
      <c r="C210" s="25"/>
      <c r="D210" s="27"/>
      <c r="E210" s="25" t="str">
        <f ca="1">IF(ISBLANK(Entries[[#This Row],[Date]])," ",IFERROR(TODAY()-B210," "))</f>
        <v xml:space="preserve"> </v>
      </c>
    </row>
    <row r="211" spans="1:5" x14ac:dyDescent="0.25">
      <c r="A211" s="25"/>
      <c r="B211" s="26"/>
      <c r="C211" s="25"/>
      <c r="D211" s="27"/>
      <c r="E211" s="25" t="str">
        <f ca="1">IF(ISBLANK(Entries[[#This Row],[Date]])," ",IFERROR(TODAY()-B211," "))</f>
        <v xml:space="preserve"> </v>
      </c>
    </row>
    <row r="212" spans="1:5" x14ac:dyDescent="0.25">
      <c r="A212" s="25"/>
      <c r="B212" s="26"/>
      <c r="C212" s="25"/>
      <c r="D212" s="27"/>
      <c r="E212" s="25" t="str">
        <f ca="1">IF(ISBLANK(Entries[[#This Row],[Date]])," ",IFERROR(TODAY()-B212," "))</f>
        <v xml:space="preserve"> </v>
      </c>
    </row>
    <row r="213" spans="1:5" x14ac:dyDescent="0.25">
      <c r="A213" s="25"/>
      <c r="B213" s="26"/>
      <c r="C213" s="25"/>
      <c r="D213" s="27"/>
      <c r="E213" s="25" t="str">
        <f ca="1">IF(ISBLANK(Entries[[#This Row],[Date]])," ",IFERROR(TODAY()-B213," "))</f>
        <v xml:space="preserve"> </v>
      </c>
    </row>
    <row r="214" spans="1:5" x14ac:dyDescent="0.25">
      <c r="A214" s="25"/>
      <c r="B214" s="26"/>
      <c r="C214" s="25"/>
      <c r="D214" s="27"/>
      <c r="E214" s="25" t="str">
        <f ca="1">IF(ISBLANK(Entries[[#This Row],[Date]])," ",IFERROR(TODAY()-B214," "))</f>
        <v xml:space="preserve"> </v>
      </c>
    </row>
    <row r="215" spans="1:5" x14ac:dyDescent="0.25">
      <c r="A215" s="25"/>
      <c r="B215" s="26"/>
      <c r="C215" s="25"/>
      <c r="D215" s="27"/>
      <c r="E215" s="25" t="str">
        <f ca="1">IF(ISBLANK(Entries[[#This Row],[Date]])," ",IFERROR(TODAY()-B215," "))</f>
        <v xml:space="preserve"> </v>
      </c>
    </row>
    <row r="216" spans="1:5" x14ac:dyDescent="0.25">
      <c r="A216" s="25"/>
      <c r="B216" s="26"/>
      <c r="C216" s="25"/>
      <c r="D216" s="27"/>
      <c r="E216" s="25" t="str">
        <f ca="1">IF(ISBLANK(Entries[[#This Row],[Date]])," ",IFERROR(TODAY()-B216," "))</f>
        <v xml:space="preserve"> </v>
      </c>
    </row>
    <row r="217" spans="1:5" x14ac:dyDescent="0.25">
      <c r="A217" s="25"/>
      <c r="B217" s="26"/>
      <c r="C217" s="25"/>
      <c r="D217" s="27"/>
      <c r="E217" s="25" t="str">
        <f ca="1">IF(ISBLANK(Entries[[#This Row],[Date]])," ",IFERROR(TODAY()-B217," "))</f>
        <v xml:space="preserve"> </v>
      </c>
    </row>
    <row r="218" spans="1:5" x14ac:dyDescent="0.25">
      <c r="A218" s="25"/>
      <c r="B218" s="26"/>
      <c r="C218" s="25"/>
      <c r="D218" s="27"/>
      <c r="E218" s="25" t="str">
        <f ca="1">IF(ISBLANK(Entries[[#This Row],[Date]])," ",IFERROR(TODAY()-B218," "))</f>
        <v xml:space="preserve"> </v>
      </c>
    </row>
    <row r="219" spans="1:5" x14ac:dyDescent="0.25">
      <c r="A219" s="25"/>
      <c r="B219" s="26"/>
      <c r="C219" s="25"/>
      <c r="D219" s="27"/>
      <c r="E219" s="25" t="str">
        <f ca="1">IF(ISBLANK(Entries[[#This Row],[Date]])," ",IFERROR(TODAY()-B219," "))</f>
        <v xml:space="preserve"> </v>
      </c>
    </row>
    <row r="220" spans="1:5" x14ac:dyDescent="0.25">
      <c r="A220" s="25"/>
      <c r="B220" s="26"/>
      <c r="C220" s="25"/>
      <c r="D220" s="27"/>
      <c r="E220" s="25" t="str">
        <f ca="1">IF(ISBLANK(Entries[[#This Row],[Date]])," ",IFERROR(TODAY()-B220," "))</f>
        <v xml:space="preserve"> </v>
      </c>
    </row>
    <row r="221" spans="1:5" x14ac:dyDescent="0.25">
      <c r="A221" s="25"/>
      <c r="B221" s="26"/>
      <c r="C221" s="25"/>
      <c r="D221" s="27"/>
      <c r="E221" s="25" t="str">
        <f ca="1">IF(ISBLANK(Entries[[#This Row],[Date]])," ",IFERROR(TODAY()-B221," "))</f>
        <v xml:space="preserve"> </v>
      </c>
    </row>
    <row r="222" spans="1:5" x14ac:dyDescent="0.25">
      <c r="A222" s="25"/>
      <c r="B222" s="26"/>
      <c r="C222" s="25"/>
      <c r="D222" s="27"/>
      <c r="E222" s="25" t="str">
        <f ca="1">IF(ISBLANK(Entries[[#This Row],[Date]])," ",IFERROR(TODAY()-B222," "))</f>
        <v xml:space="preserve"> </v>
      </c>
    </row>
    <row r="223" spans="1:5" x14ac:dyDescent="0.25">
      <c r="A223" s="25"/>
      <c r="B223" s="26"/>
      <c r="C223" s="25"/>
      <c r="D223" s="27"/>
      <c r="E223" s="25" t="str">
        <f ca="1">IF(ISBLANK(Entries[[#This Row],[Date]])," ",IFERROR(TODAY()-B223," "))</f>
        <v xml:space="preserve"> </v>
      </c>
    </row>
    <row r="224" spans="1:5" x14ac:dyDescent="0.25">
      <c r="A224" s="25"/>
      <c r="B224" s="26"/>
      <c r="C224" s="25"/>
      <c r="D224" s="27"/>
      <c r="E224" s="25" t="str">
        <f ca="1">IF(ISBLANK(Entries[[#This Row],[Date]])," ",IFERROR(TODAY()-B224," "))</f>
        <v xml:space="preserve"> </v>
      </c>
    </row>
    <row r="225" spans="1:5" x14ac:dyDescent="0.25">
      <c r="A225" s="25"/>
      <c r="B225" s="26"/>
      <c r="C225" s="25"/>
      <c r="D225" s="27"/>
      <c r="E225" s="25" t="str">
        <f ca="1">IF(ISBLANK(Entries[[#This Row],[Date]])," ",IFERROR(TODAY()-B225," "))</f>
        <v xml:space="preserve"> </v>
      </c>
    </row>
    <row r="226" spans="1:5" x14ac:dyDescent="0.25">
      <c r="A226" s="25"/>
      <c r="B226" s="26"/>
      <c r="C226" s="25"/>
      <c r="D226" s="27"/>
      <c r="E226" s="25" t="str">
        <f ca="1">IF(ISBLANK(Entries[[#This Row],[Date]])," ",IFERROR(TODAY()-B226," "))</f>
        <v xml:space="preserve"> </v>
      </c>
    </row>
    <row r="227" spans="1:5" x14ac:dyDescent="0.25">
      <c r="A227" s="25"/>
      <c r="B227" s="26"/>
      <c r="C227" s="25"/>
      <c r="D227" s="27"/>
      <c r="E227" s="25" t="str">
        <f ca="1">IF(ISBLANK(Entries[[#This Row],[Date]])," ",IFERROR(TODAY()-B227," "))</f>
        <v xml:space="preserve"> </v>
      </c>
    </row>
    <row r="228" spans="1:5" x14ac:dyDescent="0.25">
      <c r="A228" s="25"/>
      <c r="B228" s="26"/>
      <c r="C228" s="25"/>
      <c r="D228" s="27"/>
      <c r="E228" s="25" t="str">
        <f ca="1">IF(ISBLANK(Entries[[#This Row],[Date]])," ",IFERROR(TODAY()-B228," "))</f>
        <v xml:space="preserve"> </v>
      </c>
    </row>
    <row r="229" spans="1:5" x14ac:dyDescent="0.25">
      <c r="A229" s="25"/>
      <c r="B229" s="26"/>
      <c r="C229" s="25"/>
      <c r="D229" s="27"/>
      <c r="E229" s="25" t="str">
        <f ca="1">IF(ISBLANK(Entries[[#This Row],[Date]])," ",IFERROR(TODAY()-B229," "))</f>
        <v xml:space="preserve"> </v>
      </c>
    </row>
    <row r="230" spans="1:5" x14ac:dyDescent="0.25">
      <c r="A230" s="25"/>
      <c r="B230" s="26"/>
      <c r="C230" s="25"/>
      <c r="D230" s="27"/>
      <c r="E230" s="25" t="str">
        <f ca="1">IF(ISBLANK(Entries[[#This Row],[Date]])," ",IFERROR(TODAY()-B230," "))</f>
        <v xml:space="preserve"> </v>
      </c>
    </row>
    <row r="231" spans="1:5" x14ac:dyDescent="0.25">
      <c r="A231" s="25"/>
      <c r="B231" s="26"/>
      <c r="C231" s="25"/>
      <c r="D231" s="27"/>
      <c r="E231" s="25" t="str">
        <f ca="1">IF(ISBLANK(Entries[[#This Row],[Date]])," ",IFERROR(TODAY()-B231," "))</f>
        <v xml:space="preserve"> </v>
      </c>
    </row>
    <row r="232" spans="1:5" x14ac:dyDescent="0.25">
      <c r="A232" s="25"/>
      <c r="B232" s="26"/>
      <c r="C232" s="25"/>
      <c r="D232" s="27"/>
      <c r="E232" s="25" t="str">
        <f ca="1">IF(ISBLANK(Entries[[#This Row],[Date]])," ",IFERROR(TODAY()-B232," "))</f>
        <v xml:space="preserve"> </v>
      </c>
    </row>
    <row r="233" spans="1:5" x14ac:dyDescent="0.25">
      <c r="A233" s="25"/>
      <c r="B233" s="26"/>
      <c r="C233" s="25"/>
      <c r="D233" s="27"/>
      <c r="E233" s="25" t="str">
        <f ca="1">IF(ISBLANK(Entries[[#This Row],[Date]])," ",IFERROR(TODAY()-B233," "))</f>
        <v xml:space="preserve"> </v>
      </c>
    </row>
    <row r="234" spans="1:5" x14ac:dyDescent="0.25">
      <c r="A234" s="25"/>
      <c r="B234" s="26"/>
      <c r="C234" s="25"/>
      <c r="D234" s="27"/>
      <c r="E234" s="25" t="str">
        <f ca="1">IF(ISBLANK(Entries[[#This Row],[Date]])," ",IFERROR(TODAY()-B234," "))</f>
        <v xml:space="preserve"> </v>
      </c>
    </row>
    <row r="235" spans="1:5" x14ac:dyDescent="0.25">
      <c r="A235" s="25"/>
      <c r="B235" s="26"/>
      <c r="C235" s="25"/>
      <c r="D235" s="27"/>
      <c r="E235" s="25" t="str">
        <f ca="1">IF(ISBLANK(Entries[[#This Row],[Date]])," ",IFERROR(TODAY()-B235," "))</f>
        <v xml:space="preserve"> </v>
      </c>
    </row>
    <row r="236" spans="1:5" x14ac:dyDescent="0.25">
      <c r="A236" s="25"/>
      <c r="B236" s="26"/>
      <c r="C236" s="25"/>
      <c r="D236" s="27"/>
      <c r="E236" s="25" t="str">
        <f ca="1">IF(ISBLANK(Entries[[#This Row],[Date]])," ",IFERROR(TODAY()-B236," "))</f>
        <v xml:space="preserve"> </v>
      </c>
    </row>
    <row r="237" spans="1:5" x14ac:dyDescent="0.25">
      <c r="A237" s="25"/>
      <c r="B237" s="26"/>
      <c r="C237" s="25"/>
      <c r="D237" s="27"/>
      <c r="E237" s="25" t="str">
        <f ca="1">IF(ISBLANK(Entries[[#This Row],[Date]])," ",IFERROR(TODAY()-B237," "))</f>
        <v xml:space="preserve"> </v>
      </c>
    </row>
    <row r="238" spans="1:5" x14ac:dyDescent="0.25">
      <c r="A238" s="25"/>
      <c r="B238" s="26"/>
      <c r="C238" s="25"/>
      <c r="D238" s="27"/>
      <c r="E238" s="25" t="str">
        <f ca="1">IF(ISBLANK(Entries[[#This Row],[Date]])," ",IFERROR(TODAY()-B238," "))</f>
        <v xml:space="preserve"> </v>
      </c>
    </row>
    <row r="239" spans="1:5" x14ac:dyDescent="0.25">
      <c r="A239" s="25"/>
      <c r="B239" s="26"/>
      <c r="C239" s="25"/>
      <c r="D239" s="27"/>
      <c r="E239" s="25" t="str">
        <f ca="1">IF(ISBLANK(Entries[[#This Row],[Date]])," ",IFERROR(TODAY()-B239," "))</f>
        <v xml:space="preserve"> </v>
      </c>
    </row>
    <row r="240" spans="1:5" x14ac:dyDescent="0.25">
      <c r="A240" s="25"/>
      <c r="B240" s="26"/>
      <c r="C240" s="25"/>
      <c r="D240" s="27"/>
      <c r="E240" s="25" t="str">
        <f ca="1">IF(ISBLANK(Entries[[#This Row],[Date]])," ",IFERROR(TODAY()-B240," "))</f>
        <v xml:space="preserve"> </v>
      </c>
    </row>
    <row r="241" spans="1:5" x14ac:dyDescent="0.25">
      <c r="A241" s="25"/>
      <c r="B241" s="26"/>
      <c r="C241" s="25"/>
      <c r="D241" s="27"/>
      <c r="E241" s="25" t="str">
        <f ca="1">IF(ISBLANK(Entries[[#This Row],[Date]])," ",IFERROR(TODAY()-B241," "))</f>
        <v xml:space="preserve"> </v>
      </c>
    </row>
    <row r="242" spans="1:5" x14ac:dyDescent="0.25">
      <c r="A242" s="25"/>
      <c r="B242" s="26"/>
      <c r="C242" s="25"/>
      <c r="D242" s="27"/>
      <c r="E242" s="25" t="str">
        <f ca="1">IF(ISBLANK(Entries[[#This Row],[Date]])," ",IFERROR(TODAY()-B242," "))</f>
        <v xml:space="preserve"> </v>
      </c>
    </row>
    <row r="243" spans="1:5" x14ac:dyDescent="0.25">
      <c r="A243" s="25"/>
      <c r="B243" s="26"/>
      <c r="C243" s="25"/>
      <c r="D243" s="27"/>
      <c r="E243" s="25" t="str">
        <f ca="1">IF(ISBLANK(Entries[[#This Row],[Date]])," ",IFERROR(TODAY()-B243," "))</f>
        <v xml:space="preserve"> </v>
      </c>
    </row>
    <row r="244" spans="1:5" x14ac:dyDescent="0.25">
      <c r="A244" s="25"/>
      <c r="B244" s="26"/>
      <c r="C244" s="25"/>
      <c r="D244" s="27"/>
      <c r="E244" s="25" t="str">
        <f ca="1">IF(ISBLANK(Entries[[#This Row],[Date]])," ",IFERROR(TODAY()-B244," "))</f>
        <v xml:space="preserve"> </v>
      </c>
    </row>
    <row r="245" spans="1:5" x14ac:dyDescent="0.25">
      <c r="A245" s="25"/>
      <c r="B245" s="26"/>
      <c r="C245" s="25"/>
      <c r="D245" s="27"/>
      <c r="E245" s="25" t="str">
        <f ca="1">IF(ISBLANK(Entries[[#This Row],[Date]])," ",IFERROR(TODAY()-B245," "))</f>
        <v xml:space="preserve"> </v>
      </c>
    </row>
    <row r="246" spans="1:5" x14ac:dyDescent="0.25">
      <c r="A246" s="25"/>
      <c r="B246" s="26"/>
      <c r="C246" s="25"/>
      <c r="D246" s="27"/>
      <c r="E246" s="25" t="str">
        <f ca="1">IF(ISBLANK(Entries[[#This Row],[Date]])," ",IFERROR(TODAY()-B246," "))</f>
        <v xml:space="preserve"> </v>
      </c>
    </row>
    <row r="247" spans="1:5" x14ac:dyDescent="0.25">
      <c r="A247" s="25"/>
      <c r="B247" s="26"/>
      <c r="C247" s="25"/>
      <c r="D247" s="27"/>
      <c r="E247" s="25" t="str">
        <f ca="1">IF(ISBLANK(Entries[[#This Row],[Date]])," ",IFERROR(TODAY()-B247," "))</f>
        <v xml:space="preserve"> </v>
      </c>
    </row>
    <row r="248" spans="1:5" x14ac:dyDescent="0.25">
      <c r="A248" s="25"/>
      <c r="B248" s="26"/>
      <c r="C248" s="25"/>
      <c r="D248" s="27"/>
      <c r="E248" s="25" t="str">
        <f ca="1">IF(ISBLANK(Entries[[#This Row],[Date]])," ",IFERROR(TODAY()-B248," "))</f>
        <v xml:space="preserve"> </v>
      </c>
    </row>
    <row r="249" spans="1:5" x14ac:dyDescent="0.25">
      <c r="A249" s="25"/>
      <c r="B249" s="26"/>
      <c r="C249" s="25"/>
      <c r="D249" s="27"/>
      <c r="E249" s="25" t="str">
        <f ca="1">IF(ISBLANK(Entries[[#This Row],[Date]])," ",IFERROR(TODAY()-B249," "))</f>
        <v xml:space="preserve"> </v>
      </c>
    </row>
    <row r="250" spans="1:5" x14ac:dyDescent="0.25">
      <c r="A250" s="25"/>
      <c r="B250" s="26"/>
      <c r="C250" s="25"/>
      <c r="D250" s="27"/>
      <c r="E250" s="25" t="str">
        <f ca="1">IF(ISBLANK(Entries[[#This Row],[Date]])," ",IFERROR(TODAY()-B250," "))</f>
        <v xml:space="preserve"> </v>
      </c>
    </row>
    <row r="251" spans="1:5" x14ac:dyDescent="0.25">
      <c r="A251" s="25"/>
      <c r="B251" s="26"/>
      <c r="C251" s="25"/>
      <c r="D251" s="27"/>
      <c r="E251" s="25" t="str">
        <f ca="1">IF(ISBLANK(Entries[[#This Row],[Date]])," ",IFERROR(TODAY()-B251," "))</f>
        <v xml:space="preserve"> </v>
      </c>
    </row>
    <row r="252" spans="1:5" x14ac:dyDescent="0.25">
      <c r="A252" s="25"/>
      <c r="B252" s="26"/>
      <c r="C252" s="25"/>
      <c r="D252" s="27"/>
      <c r="E252" s="25" t="str">
        <f ca="1">IF(ISBLANK(Entries[[#This Row],[Date]])," ",IFERROR(TODAY()-B252," "))</f>
        <v xml:space="preserve"> </v>
      </c>
    </row>
    <row r="253" spans="1:5" x14ac:dyDescent="0.25">
      <c r="A253" s="25"/>
      <c r="B253" s="26"/>
      <c r="C253" s="25"/>
      <c r="D253" s="27"/>
      <c r="E253" s="25" t="str">
        <f ca="1">IF(ISBLANK(Entries[[#This Row],[Date]])," ",IFERROR(TODAY()-B253," "))</f>
        <v xml:space="preserve"> </v>
      </c>
    </row>
    <row r="254" spans="1:5" x14ac:dyDescent="0.25">
      <c r="A254" s="25"/>
      <c r="B254" s="26"/>
      <c r="C254" s="25"/>
      <c r="D254" s="27"/>
      <c r="E254" s="25" t="str">
        <f ca="1">IF(ISBLANK(Entries[[#This Row],[Date]])," ",IFERROR(TODAY()-B254," "))</f>
        <v xml:space="preserve"> </v>
      </c>
    </row>
    <row r="255" spans="1:5" x14ac:dyDescent="0.25">
      <c r="A255" s="25"/>
      <c r="B255" s="26"/>
      <c r="C255" s="25"/>
      <c r="D255" s="27"/>
      <c r="E255" s="25" t="str">
        <f ca="1">IF(ISBLANK(Entries[[#This Row],[Date]])," ",IFERROR(TODAY()-B255," "))</f>
        <v xml:space="preserve"> </v>
      </c>
    </row>
    <row r="256" spans="1:5" x14ac:dyDescent="0.25">
      <c r="A256" s="25"/>
      <c r="B256" s="26"/>
      <c r="C256" s="25"/>
      <c r="D256" s="27"/>
      <c r="E256" s="25" t="str">
        <f ca="1">IF(ISBLANK(Entries[[#This Row],[Date]])," ",IFERROR(TODAY()-B256," "))</f>
        <v xml:space="preserve"> </v>
      </c>
    </row>
    <row r="257" spans="1:5" x14ac:dyDescent="0.25">
      <c r="A257" s="25"/>
      <c r="B257" s="26"/>
      <c r="C257" s="25"/>
      <c r="D257" s="27"/>
      <c r="E257" s="25" t="str">
        <f ca="1">IF(ISBLANK(Entries[[#This Row],[Date]])," ",IFERROR(TODAY()-B257," "))</f>
        <v xml:space="preserve"> </v>
      </c>
    </row>
    <row r="258" spans="1:5" x14ac:dyDescent="0.25">
      <c r="A258" s="25"/>
      <c r="B258" s="26"/>
      <c r="C258" s="25"/>
      <c r="D258" s="27"/>
      <c r="E258" s="25" t="str">
        <f ca="1">IF(ISBLANK(Entries[[#This Row],[Date]])," ",IFERROR(TODAY()-B258," "))</f>
        <v xml:space="preserve"> </v>
      </c>
    </row>
    <row r="259" spans="1:5" x14ac:dyDescent="0.25">
      <c r="A259" s="25"/>
      <c r="B259" s="26"/>
      <c r="C259" s="25"/>
      <c r="D259" s="27"/>
      <c r="E259" s="25" t="str">
        <f ca="1">IF(ISBLANK(Entries[[#This Row],[Date]])," ",IFERROR(TODAY()-B259," "))</f>
        <v xml:space="preserve"> </v>
      </c>
    </row>
    <row r="260" spans="1:5" x14ac:dyDescent="0.25">
      <c r="A260" s="25"/>
      <c r="B260" s="26"/>
      <c r="C260" s="25"/>
      <c r="D260" s="27"/>
      <c r="E260" s="25" t="str">
        <f ca="1">IF(ISBLANK(Entries[[#This Row],[Date]])," ",IFERROR(TODAY()-B260," "))</f>
        <v xml:space="preserve"> </v>
      </c>
    </row>
    <row r="261" spans="1:5" x14ac:dyDescent="0.25">
      <c r="A261" s="25"/>
      <c r="B261" s="26"/>
      <c r="C261" s="25"/>
      <c r="D261" s="27"/>
      <c r="E261" s="25" t="str">
        <f ca="1">IF(ISBLANK(Entries[[#This Row],[Date]])," ",IFERROR(TODAY()-B261," "))</f>
        <v xml:space="preserve"> </v>
      </c>
    </row>
    <row r="262" spans="1:5" x14ac:dyDescent="0.25">
      <c r="A262" s="25"/>
      <c r="B262" s="26"/>
      <c r="C262" s="25"/>
      <c r="D262" s="27"/>
      <c r="E262" s="25" t="str">
        <f ca="1">IF(ISBLANK(Entries[[#This Row],[Date]])," ",IFERROR(TODAY()-B262," "))</f>
        <v xml:space="preserve"> </v>
      </c>
    </row>
    <row r="263" spans="1:5" x14ac:dyDescent="0.25">
      <c r="A263" s="25"/>
      <c r="B263" s="26"/>
      <c r="C263" s="25"/>
      <c r="D263" s="27"/>
      <c r="E263" s="25" t="str">
        <f ca="1">IF(ISBLANK(Entries[[#This Row],[Date]])," ",IFERROR(TODAY()-B263," "))</f>
        <v xml:space="preserve"> </v>
      </c>
    </row>
    <row r="264" spans="1:5" x14ac:dyDescent="0.25">
      <c r="A264" s="25"/>
      <c r="B264" s="26"/>
      <c r="C264" s="25"/>
      <c r="D264" s="27"/>
      <c r="E264" s="25" t="str">
        <f ca="1">IF(ISBLANK(Entries[[#This Row],[Date]])," ",IFERROR(TODAY()-B264," "))</f>
        <v xml:space="preserve"> </v>
      </c>
    </row>
    <row r="265" spans="1:5" x14ac:dyDescent="0.25">
      <c r="A265" s="25"/>
      <c r="B265" s="26"/>
      <c r="C265" s="25"/>
      <c r="D265" s="27"/>
      <c r="E265" s="25" t="str">
        <f ca="1">IF(ISBLANK(Entries[[#This Row],[Date]])," ",IFERROR(TODAY()-B265," "))</f>
        <v xml:space="preserve"> </v>
      </c>
    </row>
    <row r="266" spans="1:5" x14ac:dyDescent="0.25">
      <c r="A266" s="25"/>
      <c r="B266" s="26"/>
      <c r="C266" s="25"/>
      <c r="D266" s="27"/>
      <c r="E266" s="25" t="str">
        <f ca="1">IF(ISBLANK(Entries[[#This Row],[Date]])," ",IFERROR(TODAY()-B266," "))</f>
        <v xml:space="preserve"> </v>
      </c>
    </row>
    <row r="267" spans="1:5" x14ac:dyDescent="0.25">
      <c r="A267" s="25"/>
      <c r="B267" s="26"/>
      <c r="C267" s="25"/>
      <c r="D267" s="27"/>
      <c r="E267" s="25" t="str">
        <f ca="1">IF(ISBLANK(Entries[[#This Row],[Date]])," ",IFERROR(TODAY()-B267," "))</f>
        <v xml:space="preserve"> </v>
      </c>
    </row>
    <row r="268" spans="1:5" x14ac:dyDescent="0.25">
      <c r="A268" s="25"/>
      <c r="B268" s="26"/>
      <c r="C268" s="25"/>
      <c r="D268" s="27"/>
      <c r="E268" s="25" t="str">
        <f ca="1">IF(ISBLANK(Entries[[#This Row],[Date]])," ",IFERROR(TODAY()-B268," "))</f>
        <v xml:space="preserve"> </v>
      </c>
    </row>
    <row r="269" spans="1:5" x14ac:dyDescent="0.25">
      <c r="A269" s="25"/>
      <c r="B269" s="26"/>
      <c r="C269" s="25"/>
      <c r="D269" s="27"/>
      <c r="E269" s="25" t="str">
        <f ca="1">IF(ISBLANK(Entries[[#This Row],[Date]])," ",IFERROR(TODAY()-B269," "))</f>
        <v xml:space="preserve"> </v>
      </c>
    </row>
    <row r="270" spans="1:5" x14ac:dyDescent="0.25">
      <c r="A270" s="25"/>
      <c r="B270" s="26"/>
      <c r="C270" s="25"/>
      <c r="D270" s="27"/>
      <c r="E270" s="25" t="str">
        <f ca="1">IF(ISBLANK(Entries[[#This Row],[Date]])," ",IFERROR(TODAY()-B270," "))</f>
        <v xml:space="preserve"> </v>
      </c>
    </row>
    <row r="271" spans="1:5" x14ac:dyDescent="0.25">
      <c r="A271" s="25"/>
      <c r="B271" s="26"/>
      <c r="C271" s="25"/>
      <c r="D271" s="27"/>
      <c r="E271" s="25" t="str">
        <f ca="1">IF(ISBLANK(Entries[[#This Row],[Date]])," ",IFERROR(TODAY()-B271," "))</f>
        <v xml:space="preserve"> </v>
      </c>
    </row>
    <row r="272" spans="1:5" x14ac:dyDescent="0.25">
      <c r="A272" s="25"/>
      <c r="B272" s="26"/>
      <c r="C272" s="25"/>
      <c r="D272" s="27"/>
      <c r="E272" s="25" t="str">
        <f ca="1">IF(ISBLANK(Entries[[#This Row],[Date]])," ",IFERROR(TODAY()-B272," "))</f>
        <v xml:space="preserve"> </v>
      </c>
    </row>
    <row r="273" spans="1:5" x14ac:dyDescent="0.25">
      <c r="A273" s="25"/>
      <c r="B273" s="26"/>
      <c r="C273" s="25"/>
      <c r="D273" s="27"/>
      <c r="E273" s="25" t="str">
        <f ca="1">IF(ISBLANK(Entries[[#This Row],[Date]])," ",IFERROR(TODAY()-B273," "))</f>
        <v xml:space="preserve"> </v>
      </c>
    </row>
    <row r="274" spans="1:5" x14ac:dyDescent="0.25">
      <c r="A274" s="25"/>
      <c r="B274" s="26"/>
      <c r="C274" s="25"/>
      <c r="D274" s="27"/>
      <c r="E274" s="25" t="str">
        <f ca="1">IF(ISBLANK(Entries[[#This Row],[Date]])," ",IFERROR(TODAY()-B274," "))</f>
        <v xml:space="preserve"> </v>
      </c>
    </row>
    <row r="275" spans="1:5" x14ac:dyDescent="0.25">
      <c r="A275" s="25"/>
      <c r="B275" s="26"/>
      <c r="C275" s="25"/>
      <c r="D275" s="27"/>
      <c r="E275" s="25" t="str">
        <f ca="1">IF(ISBLANK(Entries[[#This Row],[Date]])," ",IFERROR(TODAY()-B275," "))</f>
        <v xml:space="preserve"> </v>
      </c>
    </row>
    <row r="276" spans="1:5" x14ac:dyDescent="0.25">
      <c r="A276" s="25"/>
      <c r="B276" s="26"/>
      <c r="C276" s="25"/>
      <c r="D276" s="27"/>
      <c r="E276" s="25" t="str">
        <f ca="1">IF(ISBLANK(Entries[[#This Row],[Date]])," ",IFERROR(TODAY()-B276," "))</f>
        <v xml:space="preserve"> </v>
      </c>
    </row>
    <row r="277" spans="1:5" x14ac:dyDescent="0.25">
      <c r="A277" s="25"/>
      <c r="B277" s="26"/>
      <c r="C277" s="25"/>
      <c r="D277" s="27"/>
      <c r="E277" s="25" t="str">
        <f ca="1">IF(ISBLANK(Entries[[#This Row],[Date]])," ",IFERROR(TODAY()-B277," "))</f>
        <v xml:space="preserve"> </v>
      </c>
    </row>
    <row r="278" spans="1:5" x14ac:dyDescent="0.25">
      <c r="A278" s="25"/>
      <c r="B278" s="26"/>
      <c r="C278" s="25"/>
      <c r="D278" s="27"/>
      <c r="E278" s="25" t="str">
        <f ca="1">IF(ISBLANK(Entries[[#This Row],[Date]])," ",IFERROR(TODAY()-B278," "))</f>
        <v xml:space="preserve"> </v>
      </c>
    </row>
    <row r="279" spans="1:5" x14ac:dyDescent="0.25">
      <c r="A279" s="25"/>
      <c r="B279" s="26"/>
      <c r="C279" s="25"/>
      <c r="D279" s="27"/>
      <c r="E279" s="25" t="str">
        <f ca="1">IF(ISBLANK(Entries[[#This Row],[Date]])," ",IFERROR(TODAY()-B279," "))</f>
        <v xml:space="preserve"> </v>
      </c>
    </row>
    <row r="280" spans="1:5" x14ac:dyDescent="0.25">
      <c r="A280" s="25"/>
      <c r="B280" s="26"/>
      <c r="C280" s="25"/>
      <c r="D280" s="27"/>
      <c r="E280" s="25" t="str">
        <f ca="1">IF(ISBLANK(Entries[[#This Row],[Date]])," ",IFERROR(TODAY()-B280," "))</f>
        <v xml:space="preserve"> </v>
      </c>
    </row>
    <row r="281" spans="1:5" x14ac:dyDescent="0.25">
      <c r="A281" s="25"/>
      <c r="B281" s="26"/>
      <c r="C281" s="25"/>
      <c r="D281" s="27"/>
      <c r="E281" s="25" t="str">
        <f ca="1">IF(ISBLANK(Entries[[#This Row],[Date]])," ",IFERROR(TODAY()-B281," "))</f>
        <v xml:space="preserve"> </v>
      </c>
    </row>
    <row r="282" spans="1:5" x14ac:dyDescent="0.25">
      <c r="A282" s="25"/>
      <c r="B282" s="26"/>
      <c r="C282" s="25"/>
      <c r="D282" s="27"/>
      <c r="E282" s="25" t="str">
        <f ca="1">IF(ISBLANK(Entries[[#This Row],[Date]])," ",IFERROR(TODAY()-B282," "))</f>
        <v xml:space="preserve"> </v>
      </c>
    </row>
    <row r="283" spans="1:5" x14ac:dyDescent="0.25">
      <c r="A283" s="25"/>
      <c r="B283" s="26"/>
      <c r="C283" s="25"/>
      <c r="D283" s="27"/>
      <c r="E283" s="25" t="str">
        <f ca="1">IF(ISBLANK(Entries[[#This Row],[Date]])," ",IFERROR(TODAY()-B283," "))</f>
        <v xml:space="preserve"> </v>
      </c>
    </row>
    <row r="284" spans="1:5" x14ac:dyDescent="0.25">
      <c r="A284" s="25"/>
      <c r="B284" s="26"/>
      <c r="C284" s="25"/>
      <c r="D284" s="27"/>
      <c r="E284" s="25" t="str">
        <f ca="1">IF(ISBLANK(Entries[[#This Row],[Date]])," ",IFERROR(TODAY()-B284," "))</f>
        <v xml:space="preserve"> </v>
      </c>
    </row>
    <row r="285" spans="1:5" x14ac:dyDescent="0.25">
      <c r="A285" s="25"/>
      <c r="B285" s="26"/>
      <c r="C285" s="25"/>
      <c r="D285" s="27"/>
      <c r="E285" s="25" t="str">
        <f ca="1">IF(ISBLANK(Entries[[#This Row],[Date]])," ",IFERROR(TODAY()-B285," "))</f>
        <v xml:space="preserve"> </v>
      </c>
    </row>
    <row r="286" spans="1:5" x14ac:dyDescent="0.25">
      <c r="A286" s="25"/>
      <c r="B286" s="26"/>
      <c r="C286" s="25"/>
      <c r="D286" s="27"/>
      <c r="E286" s="25" t="str">
        <f ca="1">IF(ISBLANK(Entries[[#This Row],[Date]])," ",IFERROR(TODAY()-B286," "))</f>
        <v xml:space="preserve"> </v>
      </c>
    </row>
    <row r="287" spans="1:5" x14ac:dyDescent="0.25">
      <c r="A287" s="25"/>
      <c r="B287" s="26"/>
      <c r="C287" s="25"/>
      <c r="D287" s="27"/>
      <c r="E287" s="25" t="str">
        <f ca="1">IF(ISBLANK(Entries[[#This Row],[Date]])," ",IFERROR(TODAY()-B287," "))</f>
        <v xml:space="preserve"> </v>
      </c>
    </row>
    <row r="288" spans="1:5" x14ac:dyDescent="0.25">
      <c r="A288" s="25"/>
      <c r="B288" s="26"/>
      <c r="C288" s="25"/>
      <c r="D288" s="27"/>
      <c r="E288" s="25" t="str">
        <f ca="1">IF(ISBLANK(Entries[[#This Row],[Date]])," ",IFERROR(TODAY()-B288," "))</f>
        <v xml:space="preserve"> </v>
      </c>
    </row>
    <row r="289" spans="1:5" x14ac:dyDescent="0.25">
      <c r="A289" s="25"/>
      <c r="B289" s="26"/>
      <c r="C289" s="25"/>
      <c r="D289" s="27"/>
      <c r="E289" s="25" t="str">
        <f ca="1">IF(ISBLANK(Entries[[#This Row],[Date]])," ",IFERROR(TODAY()-B289," "))</f>
        <v xml:space="preserve"> </v>
      </c>
    </row>
    <row r="290" spans="1:5" x14ac:dyDescent="0.25">
      <c r="A290" s="25"/>
      <c r="B290" s="26"/>
      <c r="C290" s="25"/>
      <c r="D290" s="27"/>
      <c r="E290" s="25" t="str">
        <f ca="1">IF(ISBLANK(Entries[[#This Row],[Date]])," ",IFERROR(TODAY()-B290," "))</f>
        <v xml:space="preserve"> </v>
      </c>
    </row>
    <row r="291" spans="1:5" x14ac:dyDescent="0.25">
      <c r="A291" s="25"/>
      <c r="B291" s="26"/>
      <c r="C291" s="25"/>
      <c r="D291" s="27"/>
      <c r="E291" s="25" t="str">
        <f ca="1">IF(ISBLANK(Entries[[#This Row],[Date]])," ",IFERROR(TODAY()-B291," "))</f>
        <v xml:space="preserve"> </v>
      </c>
    </row>
    <row r="292" spans="1:5" x14ac:dyDescent="0.25">
      <c r="A292" s="25"/>
      <c r="B292" s="26"/>
      <c r="C292" s="25"/>
      <c r="D292" s="27"/>
      <c r="E292" s="25" t="str">
        <f ca="1">IF(ISBLANK(Entries[[#This Row],[Date]])," ",IFERROR(TODAY()-B292," "))</f>
        <v xml:space="preserve"> </v>
      </c>
    </row>
    <row r="293" spans="1:5" x14ac:dyDescent="0.25">
      <c r="A293" s="25"/>
      <c r="B293" s="26"/>
      <c r="C293" s="25"/>
      <c r="D293" s="27"/>
      <c r="E293" s="25" t="str">
        <f ca="1">IF(ISBLANK(Entries[[#This Row],[Date]])," ",IFERROR(TODAY()-B293," "))</f>
        <v xml:space="preserve"> </v>
      </c>
    </row>
    <row r="294" spans="1:5" x14ac:dyDescent="0.25">
      <c r="A294" s="25"/>
      <c r="B294" s="26"/>
      <c r="C294" s="25"/>
      <c r="D294" s="27"/>
      <c r="E294" s="25" t="str">
        <f ca="1">IF(ISBLANK(Entries[[#This Row],[Date]])," ",IFERROR(TODAY()-B294," "))</f>
        <v xml:space="preserve"> </v>
      </c>
    </row>
    <row r="295" spans="1:5" x14ac:dyDescent="0.25">
      <c r="A295" s="25"/>
      <c r="B295" s="26"/>
      <c r="C295" s="25"/>
      <c r="D295" s="27"/>
      <c r="E295" s="25" t="str">
        <f ca="1">IF(ISBLANK(Entries[[#This Row],[Date]])," ",IFERROR(TODAY()-B295," "))</f>
        <v xml:space="preserve"> </v>
      </c>
    </row>
    <row r="296" spans="1:5" x14ac:dyDescent="0.25">
      <c r="A296" s="25"/>
      <c r="B296" s="26"/>
      <c r="C296" s="25"/>
      <c r="D296" s="27"/>
      <c r="E296" s="25" t="str">
        <f ca="1">IF(ISBLANK(Entries[[#This Row],[Date]])," ",IFERROR(TODAY()-B296," "))</f>
        <v xml:space="preserve"> </v>
      </c>
    </row>
    <row r="297" spans="1:5" x14ac:dyDescent="0.25">
      <c r="A297" s="25"/>
      <c r="B297" s="26"/>
      <c r="C297" s="25"/>
      <c r="D297" s="27"/>
      <c r="E297" s="25" t="str">
        <f ca="1">IF(ISBLANK(Entries[[#This Row],[Date]])," ",IFERROR(TODAY()-B297," "))</f>
        <v xml:space="preserve"> </v>
      </c>
    </row>
    <row r="298" spans="1:5" x14ac:dyDescent="0.25">
      <c r="A298" s="25"/>
      <c r="B298" s="26"/>
      <c r="C298" s="25"/>
      <c r="D298" s="27"/>
      <c r="E298" s="25" t="str">
        <f ca="1">IF(ISBLANK(Entries[[#This Row],[Date]])," ",IFERROR(TODAY()-B298," "))</f>
        <v xml:space="preserve"> </v>
      </c>
    </row>
    <row r="299" spans="1:5" x14ac:dyDescent="0.25">
      <c r="A299" s="25"/>
      <c r="B299" s="26"/>
      <c r="C299" s="25"/>
      <c r="D299" s="27"/>
      <c r="E299" s="25" t="str">
        <f ca="1">IF(ISBLANK(Entries[[#This Row],[Date]])," ",IFERROR(TODAY()-B299," "))</f>
        <v xml:space="preserve"> </v>
      </c>
    </row>
    <row r="300" spans="1:5" x14ac:dyDescent="0.25">
      <c r="A300" s="25"/>
      <c r="B300" s="26"/>
      <c r="C300" s="25"/>
      <c r="D300" s="27"/>
      <c r="E300" s="25" t="str">
        <f ca="1">IF(ISBLANK(Entries[[#This Row],[Date]])," ",IFERROR(TODAY()-B300," "))</f>
        <v xml:space="preserve"> </v>
      </c>
    </row>
    <row r="301" spans="1:5" x14ac:dyDescent="0.25">
      <c r="A301" s="25"/>
      <c r="B301" s="26"/>
      <c r="C301" s="25"/>
      <c r="D301" s="27"/>
      <c r="E301" s="25" t="str">
        <f ca="1">IF(ISBLANK(Entries[[#This Row],[Date]])," ",IFERROR(TODAY()-B301," "))</f>
        <v xml:space="preserve"> </v>
      </c>
    </row>
    <row r="302" spans="1:5" x14ac:dyDescent="0.25">
      <c r="A302" s="25"/>
      <c r="B302" s="26"/>
      <c r="C302" s="25"/>
      <c r="D302" s="27"/>
      <c r="E302" s="25" t="str">
        <f ca="1">IF(ISBLANK(Entries[[#This Row],[Date]])," ",IFERROR(TODAY()-B302," "))</f>
        <v xml:space="preserve"> </v>
      </c>
    </row>
    <row r="303" spans="1:5" x14ac:dyDescent="0.25">
      <c r="A303" s="25"/>
      <c r="B303" s="26"/>
      <c r="C303" s="25"/>
      <c r="D303" s="27"/>
      <c r="E303" s="25" t="str">
        <f ca="1">IF(ISBLANK(Entries[[#This Row],[Date]])," ",IFERROR(TODAY()-B303," "))</f>
        <v xml:space="preserve"> </v>
      </c>
    </row>
    <row r="304" spans="1:5" x14ac:dyDescent="0.25">
      <c r="A304" s="25"/>
      <c r="B304" s="26"/>
      <c r="C304" s="25"/>
      <c r="D304" s="27"/>
      <c r="E304" s="25" t="str">
        <f ca="1">IF(ISBLANK(Entries[[#This Row],[Date]])," ",IFERROR(TODAY()-B304," "))</f>
        <v xml:space="preserve"> </v>
      </c>
    </row>
    <row r="305" spans="1:5" x14ac:dyDescent="0.25">
      <c r="A305" s="25"/>
      <c r="B305" s="26"/>
      <c r="C305" s="25"/>
      <c r="D305" s="27"/>
      <c r="E305" s="25" t="str">
        <f ca="1">IF(ISBLANK(Entries[[#This Row],[Date]])," ",IFERROR(TODAY()-B305," "))</f>
        <v xml:space="preserve"> </v>
      </c>
    </row>
    <row r="306" spans="1:5" x14ac:dyDescent="0.25">
      <c r="A306" s="25"/>
      <c r="B306" s="26"/>
      <c r="C306" s="25"/>
      <c r="D306" s="27"/>
      <c r="E306" s="25" t="str">
        <f ca="1">IF(ISBLANK(Entries[[#This Row],[Date]])," ",IFERROR(TODAY()-B306," "))</f>
        <v xml:space="preserve"> </v>
      </c>
    </row>
    <row r="307" spans="1:5" x14ac:dyDescent="0.25">
      <c r="A307" s="25"/>
      <c r="B307" s="26"/>
      <c r="C307" s="25"/>
      <c r="D307" s="27"/>
      <c r="E307" s="25" t="str">
        <f ca="1">IF(ISBLANK(Entries[[#This Row],[Date]])," ",IFERROR(TODAY()-B307," "))</f>
        <v xml:space="preserve"> </v>
      </c>
    </row>
    <row r="308" spans="1:5" x14ac:dyDescent="0.25">
      <c r="A308" s="25"/>
      <c r="B308" s="26"/>
      <c r="C308" s="25"/>
      <c r="D308" s="27"/>
      <c r="E308" s="25" t="str">
        <f ca="1">IF(ISBLANK(Entries[[#This Row],[Date]])," ",IFERROR(TODAY()-B308," "))</f>
        <v xml:space="preserve"> </v>
      </c>
    </row>
    <row r="309" spans="1:5" x14ac:dyDescent="0.25">
      <c r="A309" s="25"/>
      <c r="B309" s="26"/>
      <c r="C309" s="25"/>
      <c r="D309" s="27"/>
      <c r="E309" s="25" t="str">
        <f ca="1">IF(ISBLANK(Entries[[#This Row],[Date]])," ",IFERROR(TODAY()-B309," "))</f>
        <v xml:space="preserve"> </v>
      </c>
    </row>
    <row r="310" spans="1:5" x14ac:dyDescent="0.25">
      <c r="A310" s="25"/>
      <c r="B310" s="26"/>
      <c r="C310" s="25"/>
      <c r="D310" s="27"/>
      <c r="E310" s="25" t="str">
        <f ca="1">IF(ISBLANK(Entries[[#This Row],[Date]])," ",IFERROR(TODAY()-B310," "))</f>
        <v xml:space="preserve"> </v>
      </c>
    </row>
    <row r="311" spans="1:5" x14ac:dyDescent="0.25">
      <c r="A311" s="25"/>
      <c r="B311" s="26"/>
      <c r="C311" s="25"/>
      <c r="D311" s="27"/>
      <c r="E311" s="25" t="str">
        <f ca="1">IF(ISBLANK(Entries[[#This Row],[Date]])," ",IFERROR(TODAY()-B311," "))</f>
        <v xml:space="preserve"> </v>
      </c>
    </row>
    <row r="312" spans="1:5" x14ac:dyDescent="0.25">
      <c r="A312" s="25"/>
      <c r="B312" s="26"/>
      <c r="C312" s="25"/>
      <c r="D312" s="27"/>
      <c r="E312" s="25" t="str">
        <f ca="1">IF(ISBLANK(Entries[[#This Row],[Date]])," ",IFERROR(TODAY()-B312," "))</f>
        <v xml:space="preserve"> </v>
      </c>
    </row>
    <row r="313" spans="1:5" x14ac:dyDescent="0.25">
      <c r="A313" s="25"/>
      <c r="B313" s="26"/>
      <c r="C313" s="25"/>
      <c r="D313" s="27"/>
      <c r="E313" s="25" t="str">
        <f ca="1">IF(ISBLANK(Entries[[#This Row],[Date]])," ",IFERROR(TODAY()-B313," "))</f>
        <v xml:space="preserve"> </v>
      </c>
    </row>
    <row r="314" spans="1:5" x14ac:dyDescent="0.25">
      <c r="A314" s="25"/>
      <c r="B314" s="26"/>
      <c r="C314" s="25"/>
      <c r="D314" s="27"/>
      <c r="E314" s="25" t="str">
        <f ca="1">IF(ISBLANK(Entries[[#This Row],[Date]])," ",IFERROR(TODAY()-B314," "))</f>
        <v xml:space="preserve"> </v>
      </c>
    </row>
    <row r="315" spans="1:5" x14ac:dyDescent="0.25">
      <c r="A315" s="25"/>
      <c r="B315" s="26"/>
      <c r="C315" s="25"/>
      <c r="D315" s="27"/>
      <c r="E315" s="25" t="str">
        <f ca="1">IF(ISBLANK(Entries[[#This Row],[Date]])," ",IFERROR(TODAY()-B315," "))</f>
        <v xml:space="preserve"> </v>
      </c>
    </row>
    <row r="316" spans="1:5" x14ac:dyDescent="0.25">
      <c r="A316" s="25"/>
      <c r="B316" s="26"/>
      <c r="C316" s="25"/>
      <c r="D316" s="27"/>
      <c r="E316" s="25" t="str">
        <f ca="1">IF(ISBLANK(Entries[[#This Row],[Date]])," ",IFERROR(TODAY()-B316," "))</f>
        <v xml:space="preserve"> </v>
      </c>
    </row>
    <row r="317" spans="1:5" x14ac:dyDescent="0.25">
      <c r="A317" s="25"/>
      <c r="B317" s="26"/>
      <c r="C317" s="25"/>
      <c r="D317" s="27"/>
      <c r="E317" s="25" t="str">
        <f ca="1">IF(ISBLANK(Entries[[#This Row],[Date]])," ",IFERROR(TODAY()-B317," "))</f>
        <v xml:space="preserve"> </v>
      </c>
    </row>
    <row r="318" spans="1:5" x14ac:dyDescent="0.25">
      <c r="A318" s="25"/>
      <c r="B318" s="26"/>
      <c r="C318" s="25"/>
      <c r="D318" s="27"/>
      <c r="E318" s="25" t="str">
        <f ca="1">IF(ISBLANK(Entries[[#This Row],[Date]])," ",IFERROR(TODAY()-B318," "))</f>
        <v xml:space="preserve"> </v>
      </c>
    </row>
    <row r="319" spans="1:5" x14ac:dyDescent="0.25">
      <c r="A319" s="25"/>
      <c r="B319" s="26"/>
      <c r="C319" s="25"/>
      <c r="D319" s="27"/>
      <c r="E319" s="25" t="str">
        <f ca="1">IF(ISBLANK(Entries[[#This Row],[Date]])," ",IFERROR(TODAY()-B319," "))</f>
        <v xml:space="preserve"> </v>
      </c>
    </row>
    <row r="320" spans="1:5" x14ac:dyDescent="0.25">
      <c r="A320" s="25"/>
      <c r="B320" s="26"/>
      <c r="C320" s="25"/>
      <c r="D320" s="27"/>
      <c r="E320" s="25" t="str">
        <f ca="1">IF(ISBLANK(Entries[[#This Row],[Date]])," ",IFERROR(TODAY()-B320," "))</f>
        <v xml:space="preserve"> </v>
      </c>
    </row>
    <row r="321" spans="1:5" x14ac:dyDescent="0.25">
      <c r="A321" s="25"/>
      <c r="B321" s="26"/>
      <c r="C321" s="25"/>
      <c r="D321" s="27"/>
      <c r="E321" s="25" t="str">
        <f ca="1">IF(ISBLANK(Entries[[#This Row],[Date]])," ",IFERROR(TODAY()-B321," "))</f>
        <v xml:space="preserve"> </v>
      </c>
    </row>
    <row r="322" spans="1:5" x14ac:dyDescent="0.25">
      <c r="A322" s="25"/>
      <c r="B322" s="26"/>
      <c r="C322" s="25"/>
      <c r="D322" s="27"/>
      <c r="E322" s="25" t="str">
        <f ca="1">IF(ISBLANK(Entries[[#This Row],[Date]])," ",IFERROR(TODAY()-B322," "))</f>
        <v xml:space="preserve"> </v>
      </c>
    </row>
    <row r="323" spans="1:5" x14ac:dyDescent="0.25">
      <c r="A323" s="25"/>
      <c r="B323" s="26"/>
      <c r="C323" s="25"/>
      <c r="D323" s="27"/>
      <c r="E323" s="25" t="str">
        <f ca="1">IF(ISBLANK(Entries[[#This Row],[Date]])," ",IFERROR(TODAY()-B323," "))</f>
        <v xml:space="preserve"> </v>
      </c>
    </row>
    <row r="324" spans="1:5" x14ac:dyDescent="0.25">
      <c r="A324" s="25"/>
      <c r="B324" s="26"/>
      <c r="C324" s="25"/>
      <c r="D324" s="27"/>
      <c r="E324" s="25" t="str">
        <f ca="1">IF(ISBLANK(Entries[[#This Row],[Date]])," ",IFERROR(TODAY()-B324," "))</f>
        <v xml:space="preserve"> </v>
      </c>
    </row>
    <row r="325" spans="1:5" x14ac:dyDescent="0.25">
      <c r="A325" s="25"/>
      <c r="B325" s="26"/>
      <c r="C325" s="25"/>
      <c r="D325" s="27"/>
      <c r="E325" s="25" t="str">
        <f ca="1">IF(ISBLANK(Entries[[#This Row],[Date]])," ",IFERROR(TODAY()-B325," "))</f>
        <v xml:space="preserve"> </v>
      </c>
    </row>
    <row r="326" spans="1:5" x14ac:dyDescent="0.25">
      <c r="A326" s="25"/>
      <c r="B326" s="26"/>
      <c r="C326" s="25"/>
      <c r="D326" s="27"/>
      <c r="E326" s="25" t="str">
        <f ca="1">IF(ISBLANK(Entries[[#This Row],[Date]])," ",IFERROR(TODAY()-B326," "))</f>
        <v xml:space="preserve"> </v>
      </c>
    </row>
    <row r="327" spans="1:5" x14ac:dyDescent="0.25">
      <c r="A327" s="25"/>
      <c r="B327" s="26"/>
      <c r="C327" s="25"/>
      <c r="D327" s="27"/>
      <c r="E327" s="25" t="str">
        <f ca="1">IF(ISBLANK(Entries[[#This Row],[Date]])," ",IFERROR(TODAY()-B327," "))</f>
        <v xml:space="preserve"> </v>
      </c>
    </row>
    <row r="328" spans="1:5" x14ac:dyDescent="0.25">
      <c r="A328" s="25"/>
      <c r="B328" s="26"/>
      <c r="C328" s="25"/>
      <c r="D328" s="27"/>
      <c r="E328" s="25" t="str">
        <f ca="1">IF(ISBLANK(Entries[[#This Row],[Date]])," ",IFERROR(TODAY()-B328," "))</f>
        <v xml:space="preserve"> </v>
      </c>
    </row>
    <row r="329" spans="1:5" x14ac:dyDescent="0.25">
      <c r="A329" s="25"/>
      <c r="B329" s="26"/>
      <c r="C329" s="25"/>
      <c r="D329" s="27"/>
      <c r="E329" s="25" t="str">
        <f ca="1">IF(ISBLANK(Entries[[#This Row],[Date]])," ",IFERROR(TODAY()-B329," "))</f>
        <v xml:space="preserve"> </v>
      </c>
    </row>
    <row r="330" spans="1:5" x14ac:dyDescent="0.25">
      <c r="A330" s="25"/>
      <c r="B330" s="26"/>
      <c r="C330" s="25"/>
      <c r="D330" s="27"/>
      <c r="E330" s="25" t="str">
        <f ca="1">IF(ISBLANK(Entries[[#This Row],[Date]])," ",IFERROR(TODAY()-B330," "))</f>
        <v xml:space="preserve"> </v>
      </c>
    </row>
    <row r="331" spans="1:5" x14ac:dyDescent="0.25">
      <c r="A331" s="25"/>
      <c r="B331" s="26"/>
      <c r="C331" s="25"/>
      <c r="D331" s="27"/>
      <c r="E331" s="25" t="str">
        <f ca="1">IF(ISBLANK(Entries[[#This Row],[Date]])," ",IFERROR(TODAY()-B331," "))</f>
        <v xml:space="preserve"> </v>
      </c>
    </row>
    <row r="332" spans="1:5" x14ac:dyDescent="0.25">
      <c r="A332" s="25"/>
      <c r="B332" s="26"/>
      <c r="C332" s="25"/>
      <c r="D332" s="27"/>
      <c r="E332" s="25" t="str">
        <f ca="1">IF(ISBLANK(Entries[[#This Row],[Date]])," ",IFERROR(TODAY()-B332," "))</f>
        <v xml:space="preserve"> </v>
      </c>
    </row>
    <row r="333" spans="1:5" x14ac:dyDescent="0.25">
      <c r="A333" s="25"/>
      <c r="B333" s="26"/>
      <c r="C333" s="25"/>
      <c r="D333" s="27"/>
      <c r="E333" s="25" t="str">
        <f ca="1">IF(ISBLANK(Entries[[#This Row],[Date]])," ",IFERROR(TODAY()-B333," "))</f>
        <v xml:space="preserve"> </v>
      </c>
    </row>
    <row r="334" spans="1:5" x14ac:dyDescent="0.25">
      <c r="A334" s="25"/>
      <c r="B334" s="26"/>
      <c r="C334" s="25"/>
      <c r="D334" s="27"/>
      <c r="E334" s="25" t="str">
        <f ca="1">IF(ISBLANK(Entries[[#This Row],[Date]])," ",IFERROR(TODAY()-B334," "))</f>
        <v xml:space="preserve"> </v>
      </c>
    </row>
    <row r="335" spans="1:5" x14ac:dyDescent="0.25">
      <c r="A335" s="25"/>
      <c r="B335" s="26"/>
      <c r="C335" s="25"/>
      <c r="D335" s="27"/>
      <c r="E335" s="25" t="str">
        <f ca="1">IF(ISBLANK(Entries[[#This Row],[Date]])," ",IFERROR(TODAY()-B335," "))</f>
        <v xml:space="preserve"> </v>
      </c>
    </row>
    <row r="336" spans="1:5" x14ac:dyDescent="0.25">
      <c r="A336" s="25"/>
      <c r="B336" s="26"/>
      <c r="C336" s="25"/>
      <c r="D336" s="27"/>
      <c r="E336" s="25" t="str">
        <f ca="1">IF(ISBLANK(Entries[[#This Row],[Date]])," ",IFERROR(TODAY()-B336," "))</f>
        <v xml:space="preserve"> </v>
      </c>
    </row>
    <row r="337" spans="1:5" x14ac:dyDescent="0.25">
      <c r="A337" s="25"/>
      <c r="B337" s="26"/>
      <c r="C337" s="25"/>
      <c r="D337" s="27"/>
      <c r="E337" s="25" t="str">
        <f ca="1">IF(ISBLANK(Entries[[#This Row],[Date]])," ",IFERROR(TODAY()-B337," "))</f>
        <v xml:space="preserve"> </v>
      </c>
    </row>
    <row r="338" spans="1:5" x14ac:dyDescent="0.25">
      <c r="A338" s="25"/>
      <c r="B338" s="26"/>
      <c r="C338" s="25"/>
      <c r="D338" s="27"/>
      <c r="E338" s="25" t="str">
        <f ca="1">IF(ISBLANK(Entries[[#This Row],[Date]])," ",IFERROR(TODAY()-B338," "))</f>
        <v xml:space="preserve"> </v>
      </c>
    </row>
    <row r="339" spans="1:5" x14ac:dyDescent="0.25">
      <c r="A339" s="25"/>
      <c r="B339" s="26"/>
      <c r="C339" s="25"/>
      <c r="D339" s="27"/>
      <c r="E339" s="25" t="str">
        <f ca="1">IF(ISBLANK(Entries[[#This Row],[Date]])," ",IFERROR(TODAY()-B339," "))</f>
        <v xml:space="preserve"> </v>
      </c>
    </row>
    <row r="340" spans="1:5" x14ac:dyDescent="0.25">
      <c r="A340" s="25"/>
      <c r="B340" s="26"/>
      <c r="C340" s="25"/>
      <c r="D340" s="27"/>
      <c r="E340" s="25" t="str">
        <f ca="1">IF(ISBLANK(Entries[[#This Row],[Date]])," ",IFERROR(TODAY()-B340," "))</f>
        <v xml:space="preserve"> </v>
      </c>
    </row>
    <row r="341" spans="1:5" x14ac:dyDescent="0.25">
      <c r="A341" s="25"/>
      <c r="B341" s="26"/>
      <c r="C341" s="25"/>
      <c r="D341" s="27"/>
      <c r="E341" s="25" t="str">
        <f ca="1">IF(ISBLANK(Entries[[#This Row],[Date]])," ",IFERROR(TODAY()-B341," "))</f>
        <v xml:space="preserve"> </v>
      </c>
    </row>
    <row r="342" spans="1:5" x14ac:dyDescent="0.25">
      <c r="A342" s="25"/>
      <c r="B342" s="26"/>
      <c r="C342" s="25"/>
      <c r="D342" s="27"/>
      <c r="E342" s="25" t="str">
        <f ca="1">IF(ISBLANK(Entries[[#This Row],[Date]])," ",IFERROR(TODAY()-B342," "))</f>
        <v xml:space="preserve"> </v>
      </c>
    </row>
    <row r="343" spans="1:5" x14ac:dyDescent="0.25">
      <c r="A343" s="25"/>
      <c r="B343" s="26"/>
      <c r="C343" s="25"/>
      <c r="D343" s="27"/>
      <c r="E343" s="25" t="str">
        <f ca="1">IF(ISBLANK(Entries[[#This Row],[Date]])," ",IFERROR(TODAY()-B343," "))</f>
        <v xml:space="preserve"> </v>
      </c>
    </row>
    <row r="344" spans="1:5" x14ac:dyDescent="0.25">
      <c r="A344" s="25"/>
      <c r="B344" s="26"/>
      <c r="C344" s="25"/>
      <c r="D344" s="27"/>
      <c r="E344" s="25" t="str">
        <f ca="1">IF(ISBLANK(Entries[[#This Row],[Date]])," ",IFERROR(TODAY()-B344," "))</f>
        <v xml:space="preserve"> </v>
      </c>
    </row>
    <row r="345" spans="1:5" x14ac:dyDescent="0.25">
      <c r="A345" s="25"/>
      <c r="B345" s="26"/>
      <c r="C345" s="25"/>
      <c r="D345" s="27"/>
      <c r="E345" s="25" t="str">
        <f ca="1">IF(ISBLANK(Entries[[#This Row],[Date]])," ",IFERROR(TODAY()-B345," "))</f>
        <v xml:space="preserve"> </v>
      </c>
    </row>
    <row r="346" spans="1:5" x14ac:dyDescent="0.25">
      <c r="A346" s="25"/>
      <c r="B346" s="26"/>
      <c r="C346" s="25"/>
      <c r="D346" s="27"/>
      <c r="E346" s="25" t="str">
        <f ca="1">IF(ISBLANK(Entries[[#This Row],[Date]])," ",IFERROR(TODAY()-B346," "))</f>
        <v xml:space="preserve"> </v>
      </c>
    </row>
    <row r="347" spans="1:5" x14ac:dyDescent="0.25">
      <c r="A347" s="25"/>
      <c r="B347" s="26"/>
      <c r="C347" s="25"/>
      <c r="D347" s="27"/>
      <c r="E347" s="25" t="str">
        <f ca="1">IF(ISBLANK(Entries[[#This Row],[Date]])," ",IFERROR(TODAY()-B347," "))</f>
        <v xml:space="preserve"> </v>
      </c>
    </row>
    <row r="348" spans="1:5" x14ac:dyDescent="0.25">
      <c r="A348" s="25"/>
      <c r="B348" s="26"/>
      <c r="C348" s="25"/>
      <c r="D348" s="27"/>
      <c r="E348" s="25" t="str">
        <f ca="1">IF(ISBLANK(Entries[[#This Row],[Date]])," ",IFERROR(TODAY()-B348," "))</f>
        <v xml:space="preserve"> </v>
      </c>
    </row>
    <row r="349" spans="1:5" x14ac:dyDescent="0.25">
      <c r="A349" s="25"/>
      <c r="B349" s="26"/>
      <c r="C349" s="25"/>
      <c r="D349" s="27"/>
      <c r="E349" s="25" t="str">
        <f ca="1">IF(ISBLANK(Entries[[#This Row],[Date]])," ",IFERROR(TODAY()-B349," "))</f>
        <v xml:space="preserve"> </v>
      </c>
    </row>
    <row r="350" spans="1:5" x14ac:dyDescent="0.25">
      <c r="A350" s="25"/>
      <c r="B350" s="26"/>
      <c r="C350" s="25"/>
      <c r="D350" s="27"/>
      <c r="E350" s="25" t="str">
        <f ca="1">IF(ISBLANK(Entries[[#This Row],[Date]])," ",IFERROR(TODAY()-B350," "))</f>
        <v xml:space="preserve"> </v>
      </c>
    </row>
    <row r="351" spans="1:5" x14ac:dyDescent="0.25">
      <c r="A351" s="25"/>
      <c r="B351" s="26"/>
      <c r="C351" s="25"/>
      <c r="D351" s="27"/>
      <c r="E351" s="25" t="str">
        <f ca="1">IF(ISBLANK(Entries[[#This Row],[Date]])," ",IFERROR(TODAY()-B351," "))</f>
        <v xml:space="preserve"> </v>
      </c>
    </row>
    <row r="352" spans="1:5" x14ac:dyDescent="0.25">
      <c r="A352" s="25"/>
      <c r="B352" s="26"/>
      <c r="C352" s="25"/>
      <c r="D352" s="27"/>
      <c r="E352" s="25" t="str">
        <f ca="1">IF(ISBLANK(Entries[[#This Row],[Date]])," ",IFERROR(TODAY()-B352," "))</f>
        <v xml:space="preserve"> </v>
      </c>
    </row>
    <row r="353" spans="1:5" x14ac:dyDescent="0.25">
      <c r="A353" s="25"/>
      <c r="B353" s="26"/>
      <c r="C353" s="25"/>
      <c r="D353" s="27"/>
      <c r="E353" s="25" t="str">
        <f ca="1">IF(ISBLANK(Entries[[#This Row],[Date]])," ",IFERROR(TODAY()-B353," "))</f>
        <v xml:space="preserve"> </v>
      </c>
    </row>
    <row r="354" spans="1:5" x14ac:dyDescent="0.25">
      <c r="A354" s="25"/>
      <c r="B354" s="26"/>
      <c r="C354" s="25"/>
      <c r="D354" s="27"/>
      <c r="E354" s="25" t="str">
        <f ca="1">IF(ISBLANK(Entries[[#This Row],[Date]])," ",IFERROR(TODAY()-B354," "))</f>
        <v xml:space="preserve"> </v>
      </c>
    </row>
    <row r="355" spans="1:5" x14ac:dyDescent="0.25">
      <c r="A355" s="25"/>
      <c r="B355" s="26"/>
      <c r="C355" s="25"/>
      <c r="D355" s="27"/>
      <c r="E355" s="25" t="str">
        <f ca="1">IF(ISBLANK(Entries[[#This Row],[Date]])," ",IFERROR(TODAY()-B355," "))</f>
        <v xml:space="preserve"> </v>
      </c>
    </row>
    <row r="356" spans="1:5" x14ac:dyDescent="0.25">
      <c r="A356" s="25"/>
      <c r="B356" s="26"/>
      <c r="C356" s="25"/>
      <c r="D356" s="27"/>
      <c r="E356" s="25" t="str">
        <f ca="1">IF(ISBLANK(Entries[[#This Row],[Date]])," ",IFERROR(TODAY()-B356," "))</f>
        <v xml:space="preserve"> </v>
      </c>
    </row>
    <row r="357" spans="1:5" x14ac:dyDescent="0.25">
      <c r="A357" s="25"/>
      <c r="B357" s="26"/>
      <c r="C357" s="25"/>
      <c r="D357" s="27"/>
      <c r="E357" s="25" t="str">
        <f ca="1">IF(ISBLANK(Entries[[#This Row],[Date]])," ",IFERROR(TODAY()-B357," "))</f>
        <v xml:space="preserve"> </v>
      </c>
    </row>
    <row r="358" spans="1:5" x14ac:dyDescent="0.25">
      <c r="A358" s="25"/>
      <c r="B358" s="26"/>
      <c r="C358" s="25"/>
      <c r="D358" s="27"/>
      <c r="E358" s="25" t="str">
        <f ca="1">IF(ISBLANK(Entries[[#This Row],[Date]])," ",IFERROR(TODAY()-B358," "))</f>
        <v xml:space="preserve"> </v>
      </c>
    </row>
    <row r="359" spans="1:5" x14ac:dyDescent="0.25">
      <c r="A359" s="25"/>
      <c r="B359" s="26"/>
      <c r="C359" s="25"/>
      <c r="D359" s="27"/>
      <c r="E359" s="25" t="str">
        <f ca="1">IF(ISBLANK(Entries[[#This Row],[Date]])," ",IFERROR(TODAY()-B359," "))</f>
        <v xml:space="preserve"> </v>
      </c>
    </row>
    <row r="360" spans="1:5" x14ac:dyDescent="0.25">
      <c r="A360" s="25"/>
      <c r="B360" s="26"/>
      <c r="C360" s="25"/>
      <c r="D360" s="27"/>
      <c r="E360" s="25" t="str">
        <f ca="1">IF(ISBLANK(Entries[[#This Row],[Date]])," ",IFERROR(TODAY()-B360," "))</f>
        <v xml:space="preserve"> </v>
      </c>
    </row>
    <row r="361" spans="1:5" x14ac:dyDescent="0.25">
      <c r="A361" s="25"/>
      <c r="B361" s="26"/>
      <c r="C361" s="25"/>
      <c r="D361" s="27"/>
      <c r="E361" s="25" t="str">
        <f ca="1">IF(ISBLANK(Entries[[#This Row],[Date]])," ",IFERROR(TODAY()-B361," "))</f>
        <v xml:space="preserve"> </v>
      </c>
    </row>
    <row r="362" spans="1:5" x14ac:dyDescent="0.25">
      <c r="A362" s="25"/>
      <c r="B362" s="26"/>
      <c r="C362" s="25"/>
      <c r="D362" s="27"/>
      <c r="E362" s="25" t="str">
        <f ca="1">IF(ISBLANK(Entries[[#This Row],[Date]])," ",IFERROR(TODAY()-B362," "))</f>
        <v xml:space="preserve"> </v>
      </c>
    </row>
    <row r="363" spans="1:5" x14ac:dyDescent="0.25">
      <c r="A363" s="25"/>
      <c r="B363" s="26"/>
      <c r="C363" s="25"/>
      <c r="D363" s="27"/>
      <c r="E363" s="25" t="str">
        <f ca="1">IF(ISBLANK(Entries[[#This Row],[Date]])," ",IFERROR(TODAY()-B363," "))</f>
        <v xml:space="preserve"> </v>
      </c>
    </row>
    <row r="364" spans="1:5" x14ac:dyDescent="0.25">
      <c r="A364" s="25"/>
      <c r="B364" s="26"/>
      <c r="C364" s="25"/>
      <c r="D364" s="27"/>
      <c r="E364" s="25" t="str">
        <f ca="1">IF(ISBLANK(Entries[[#This Row],[Date]])," ",IFERROR(TODAY()-B364," "))</f>
        <v xml:space="preserve"> </v>
      </c>
    </row>
    <row r="365" spans="1:5" x14ac:dyDescent="0.25">
      <c r="A365" s="25"/>
      <c r="B365" s="26"/>
      <c r="C365" s="25"/>
      <c r="D365" s="27"/>
      <c r="E365" s="25" t="str">
        <f ca="1">IF(ISBLANK(Entries[[#This Row],[Date]])," ",IFERROR(TODAY()-B365," "))</f>
        <v xml:space="preserve"> </v>
      </c>
    </row>
    <row r="366" spans="1:5" x14ac:dyDescent="0.25">
      <c r="A366" s="25"/>
      <c r="B366" s="26"/>
      <c r="C366" s="25"/>
      <c r="D366" s="27"/>
      <c r="E366" s="25" t="str">
        <f ca="1">IF(ISBLANK(Entries[[#This Row],[Date]])," ",IFERROR(TODAY()-B366," "))</f>
        <v xml:space="preserve"> </v>
      </c>
    </row>
    <row r="367" spans="1:5" x14ac:dyDescent="0.25">
      <c r="A367" s="25"/>
      <c r="B367" s="26"/>
      <c r="C367" s="25"/>
      <c r="D367" s="27"/>
      <c r="E367" s="25" t="str">
        <f ca="1">IF(ISBLANK(Entries[[#This Row],[Date]])," ",IFERROR(TODAY()-B367," "))</f>
        <v xml:space="preserve"> </v>
      </c>
    </row>
    <row r="368" spans="1:5" x14ac:dyDescent="0.25">
      <c r="A368" s="25"/>
      <c r="B368" s="26"/>
      <c r="C368" s="25"/>
      <c r="D368" s="27"/>
      <c r="E368" s="25" t="str">
        <f ca="1">IF(ISBLANK(Entries[[#This Row],[Date]])," ",IFERROR(TODAY()-B368," "))</f>
        <v xml:space="preserve"> </v>
      </c>
    </row>
    <row r="369" spans="1:5" x14ac:dyDescent="0.25">
      <c r="A369" s="25"/>
      <c r="B369" s="26"/>
      <c r="C369" s="25"/>
      <c r="D369" s="27"/>
      <c r="E369" s="25" t="str">
        <f ca="1">IF(ISBLANK(Entries[[#This Row],[Date]])," ",IFERROR(TODAY()-B369," "))</f>
        <v xml:space="preserve"> </v>
      </c>
    </row>
    <row r="370" spans="1:5" x14ac:dyDescent="0.25">
      <c r="A370" s="25"/>
      <c r="B370" s="26"/>
      <c r="C370" s="25"/>
      <c r="D370" s="27"/>
      <c r="E370" s="25" t="str">
        <f ca="1">IF(ISBLANK(Entries[[#This Row],[Date]])," ",IFERROR(TODAY()-B370," "))</f>
        <v xml:space="preserve"> </v>
      </c>
    </row>
    <row r="371" spans="1:5" x14ac:dyDescent="0.25">
      <c r="A371" s="25"/>
      <c r="B371" s="26"/>
      <c r="C371" s="25"/>
      <c r="D371" s="27"/>
      <c r="E371" s="25" t="str">
        <f ca="1">IF(ISBLANK(Entries[[#This Row],[Date]])," ",IFERROR(TODAY()-B371," "))</f>
        <v xml:space="preserve"> </v>
      </c>
    </row>
    <row r="372" spans="1:5" x14ac:dyDescent="0.25">
      <c r="A372" s="25"/>
      <c r="B372" s="26"/>
      <c r="C372" s="25"/>
      <c r="D372" s="27"/>
      <c r="E372" s="25" t="str">
        <f ca="1">IF(ISBLANK(Entries[[#This Row],[Date]])," ",IFERROR(TODAY()-B372," "))</f>
        <v xml:space="preserve"> </v>
      </c>
    </row>
    <row r="373" spans="1:5" x14ac:dyDescent="0.25">
      <c r="A373" s="25"/>
      <c r="B373" s="26"/>
      <c r="C373" s="25"/>
      <c r="D373" s="27"/>
      <c r="E373" s="25" t="str">
        <f ca="1">IF(ISBLANK(Entries[[#This Row],[Date]])," ",IFERROR(TODAY()-B373," "))</f>
        <v xml:space="preserve"> </v>
      </c>
    </row>
    <row r="374" spans="1:5" x14ac:dyDescent="0.25">
      <c r="A374" s="25"/>
      <c r="B374" s="26"/>
      <c r="C374" s="25"/>
      <c r="D374" s="27"/>
      <c r="E374" s="25" t="str">
        <f ca="1">IF(ISBLANK(Entries[[#This Row],[Date]])," ",IFERROR(TODAY()-B374," "))</f>
        <v xml:space="preserve"> </v>
      </c>
    </row>
    <row r="375" spans="1:5" x14ac:dyDescent="0.25">
      <c r="A375" s="25"/>
      <c r="B375" s="26"/>
      <c r="C375" s="25"/>
      <c r="D375" s="27"/>
      <c r="E375" s="25" t="str">
        <f ca="1">IF(ISBLANK(Entries[[#This Row],[Date]])," ",IFERROR(TODAY()-B375," "))</f>
        <v xml:space="preserve"> </v>
      </c>
    </row>
    <row r="376" spans="1:5" x14ac:dyDescent="0.25">
      <c r="A376" s="25"/>
      <c r="B376" s="26"/>
      <c r="C376" s="25"/>
      <c r="D376" s="27"/>
      <c r="E376" s="25" t="str">
        <f ca="1">IF(ISBLANK(Entries[[#This Row],[Date]])," ",IFERROR(TODAY()-B376," "))</f>
        <v xml:space="preserve"> </v>
      </c>
    </row>
    <row r="377" spans="1:5" x14ac:dyDescent="0.25">
      <c r="A377" s="25"/>
      <c r="B377" s="26"/>
      <c r="C377" s="25"/>
      <c r="D377" s="27"/>
      <c r="E377" s="25" t="str">
        <f ca="1">IF(ISBLANK(Entries[[#This Row],[Date]])," ",IFERROR(TODAY()-B377," "))</f>
        <v xml:space="preserve"> </v>
      </c>
    </row>
    <row r="378" spans="1:5" x14ac:dyDescent="0.25">
      <c r="A378" s="25"/>
      <c r="B378" s="26"/>
      <c r="C378" s="25"/>
      <c r="D378" s="27"/>
      <c r="E378" s="25" t="str">
        <f ca="1">IF(ISBLANK(Entries[[#This Row],[Date]])," ",IFERROR(TODAY()-B378," "))</f>
        <v xml:space="preserve"> </v>
      </c>
    </row>
    <row r="379" spans="1:5" x14ac:dyDescent="0.25">
      <c r="A379" s="25"/>
      <c r="B379" s="26"/>
      <c r="C379" s="25"/>
      <c r="D379" s="27"/>
      <c r="E379" s="25" t="str">
        <f ca="1">IF(ISBLANK(Entries[[#This Row],[Date]])," ",IFERROR(TODAY()-B379," "))</f>
        <v xml:space="preserve"> </v>
      </c>
    </row>
    <row r="380" spans="1:5" x14ac:dyDescent="0.25">
      <c r="A380" s="25"/>
      <c r="B380" s="26"/>
      <c r="C380" s="25"/>
      <c r="D380" s="27"/>
      <c r="E380" s="25" t="str">
        <f ca="1">IF(ISBLANK(Entries[[#This Row],[Date]])," ",IFERROR(TODAY()-B380," "))</f>
        <v xml:space="preserve"> </v>
      </c>
    </row>
    <row r="381" spans="1:5" x14ac:dyDescent="0.25">
      <c r="A381" s="25"/>
      <c r="B381" s="26"/>
      <c r="C381" s="25"/>
      <c r="D381" s="27"/>
      <c r="E381" s="25" t="str">
        <f ca="1">IF(ISBLANK(Entries[[#This Row],[Date]])," ",IFERROR(TODAY()-B381," "))</f>
        <v xml:space="preserve"> </v>
      </c>
    </row>
    <row r="382" spans="1:5" x14ac:dyDescent="0.25">
      <c r="A382" s="25"/>
      <c r="B382" s="26"/>
      <c r="C382" s="25"/>
      <c r="D382" s="27"/>
      <c r="E382" s="25" t="str">
        <f ca="1">IF(ISBLANK(Entries[[#This Row],[Date]])," ",IFERROR(TODAY()-B382," "))</f>
        <v xml:space="preserve"> </v>
      </c>
    </row>
    <row r="383" spans="1:5" x14ac:dyDescent="0.25">
      <c r="A383" s="25"/>
      <c r="B383" s="26"/>
      <c r="C383" s="25"/>
      <c r="D383" s="27"/>
      <c r="E383" s="25" t="str">
        <f ca="1">IF(ISBLANK(Entries[[#This Row],[Date]])," ",IFERROR(TODAY()-B383," "))</f>
        <v xml:space="preserve"> </v>
      </c>
    </row>
    <row r="384" spans="1:5" x14ac:dyDescent="0.25">
      <c r="A384" s="25"/>
      <c r="B384" s="26"/>
      <c r="C384" s="25"/>
      <c r="D384" s="27"/>
      <c r="E384" s="25" t="str">
        <f ca="1">IF(ISBLANK(Entries[[#This Row],[Date]])," ",IFERROR(TODAY()-B384," "))</f>
        <v xml:space="preserve"> </v>
      </c>
    </row>
    <row r="385" spans="1:5" x14ac:dyDescent="0.25">
      <c r="A385" s="25"/>
      <c r="B385" s="26"/>
      <c r="C385" s="25"/>
      <c r="D385" s="27"/>
      <c r="E385" s="25" t="str">
        <f ca="1">IF(ISBLANK(Entries[[#This Row],[Date]])," ",IFERROR(TODAY()-B385," "))</f>
        <v xml:space="preserve"> </v>
      </c>
    </row>
    <row r="386" spans="1:5" x14ac:dyDescent="0.25">
      <c r="A386" s="25"/>
      <c r="B386" s="26"/>
      <c r="C386" s="25"/>
      <c r="D386" s="27"/>
      <c r="E386" s="25" t="str">
        <f ca="1">IF(ISBLANK(Entries[[#This Row],[Date]])," ",IFERROR(TODAY()-B386," "))</f>
        <v xml:space="preserve"> </v>
      </c>
    </row>
    <row r="387" spans="1:5" x14ac:dyDescent="0.25">
      <c r="A387" s="25"/>
      <c r="B387" s="26"/>
      <c r="C387" s="25"/>
      <c r="D387" s="27"/>
      <c r="E387" s="25" t="str">
        <f ca="1">IF(ISBLANK(Entries[[#This Row],[Date]])," ",IFERROR(TODAY()-B387," "))</f>
        <v xml:space="preserve"> </v>
      </c>
    </row>
    <row r="388" spans="1:5" x14ac:dyDescent="0.25">
      <c r="A388" s="25"/>
      <c r="B388" s="26"/>
      <c r="C388" s="25"/>
      <c r="D388" s="27"/>
      <c r="E388" s="25" t="str">
        <f ca="1">IF(ISBLANK(Entries[[#This Row],[Date]])," ",IFERROR(TODAY()-B388," "))</f>
        <v xml:space="preserve"> </v>
      </c>
    </row>
    <row r="389" spans="1:5" x14ac:dyDescent="0.25">
      <c r="A389" s="25"/>
      <c r="B389" s="26"/>
      <c r="C389" s="25"/>
      <c r="D389" s="27"/>
      <c r="E389" s="25" t="str">
        <f ca="1">IF(ISBLANK(Entries[[#This Row],[Date]])," ",IFERROR(TODAY()-B389," "))</f>
        <v xml:space="preserve"> </v>
      </c>
    </row>
    <row r="390" spans="1:5" x14ac:dyDescent="0.25">
      <c r="A390" s="25"/>
      <c r="B390" s="26"/>
      <c r="C390" s="25"/>
      <c r="D390" s="27"/>
      <c r="E390" s="25" t="str">
        <f ca="1">IF(ISBLANK(Entries[[#This Row],[Date]])," ",IFERROR(TODAY()-B390," "))</f>
        <v xml:space="preserve"> </v>
      </c>
    </row>
    <row r="391" spans="1:5" x14ac:dyDescent="0.25">
      <c r="A391" s="25"/>
      <c r="B391" s="26"/>
      <c r="C391" s="25"/>
      <c r="D391" s="27"/>
      <c r="E391" s="25" t="str">
        <f ca="1">IF(ISBLANK(Entries[[#This Row],[Date]])," ",IFERROR(TODAY()-B391," "))</f>
        <v xml:space="preserve"> </v>
      </c>
    </row>
    <row r="392" spans="1:5" x14ac:dyDescent="0.25">
      <c r="A392" s="25"/>
      <c r="B392" s="26"/>
      <c r="C392" s="25"/>
      <c r="D392" s="27"/>
      <c r="E392" s="25" t="str">
        <f ca="1">IF(ISBLANK(Entries[[#This Row],[Date]])," ",IFERROR(TODAY()-B392," "))</f>
        <v xml:space="preserve"> </v>
      </c>
    </row>
    <row r="393" spans="1:5" x14ac:dyDescent="0.25">
      <c r="A393" s="25"/>
      <c r="B393" s="26"/>
      <c r="C393" s="25"/>
      <c r="D393" s="27"/>
      <c r="E393" s="25" t="str">
        <f ca="1">IF(ISBLANK(Entries[[#This Row],[Date]])," ",IFERROR(TODAY()-B393," "))</f>
        <v xml:space="preserve"> </v>
      </c>
    </row>
    <row r="394" spans="1:5" x14ac:dyDescent="0.25">
      <c r="A394" s="25"/>
      <c r="B394" s="26"/>
      <c r="C394" s="25"/>
      <c r="D394" s="27"/>
      <c r="E394" s="25" t="str">
        <f ca="1">IF(ISBLANK(Entries[[#This Row],[Date]])," ",IFERROR(TODAY()-B394," "))</f>
        <v xml:space="preserve"> </v>
      </c>
    </row>
    <row r="395" spans="1:5" x14ac:dyDescent="0.25">
      <c r="A395" s="25"/>
      <c r="B395" s="26"/>
      <c r="C395" s="25"/>
      <c r="D395" s="27"/>
      <c r="E395" s="25" t="str">
        <f ca="1">IF(ISBLANK(Entries[[#This Row],[Date]])," ",IFERROR(TODAY()-B395," "))</f>
        <v xml:space="preserve"> </v>
      </c>
    </row>
    <row r="396" spans="1:5" x14ac:dyDescent="0.25">
      <c r="A396" s="25"/>
      <c r="B396" s="26"/>
      <c r="C396" s="25"/>
      <c r="D396" s="27"/>
      <c r="E396" s="25" t="str">
        <f ca="1">IF(ISBLANK(Entries[[#This Row],[Date]])," ",IFERROR(TODAY()-B396," "))</f>
        <v xml:space="preserve"> </v>
      </c>
    </row>
    <row r="397" spans="1:5" x14ac:dyDescent="0.25">
      <c r="A397" s="25"/>
      <c r="B397" s="26"/>
      <c r="C397" s="25"/>
      <c r="D397" s="27"/>
      <c r="E397" s="25" t="str">
        <f ca="1">IF(ISBLANK(Entries[[#This Row],[Date]])," ",IFERROR(TODAY()-B397," "))</f>
        <v xml:space="preserve"> </v>
      </c>
    </row>
    <row r="398" spans="1:5" x14ac:dyDescent="0.25">
      <c r="A398" s="25"/>
      <c r="B398" s="26"/>
      <c r="C398" s="25"/>
      <c r="D398" s="27"/>
      <c r="E398" s="25" t="str">
        <f ca="1">IF(ISBLANK(Entries[[#This Row],[Date]])," ",IFERROR(TODAY()-B398," "))</f>
        <v xml:space="preserve"> </v>
      </c>
    </row>
    <row r="399" spans="1:5" x14ac:dyDescent="0.25">
      <c r="A399" s="25"/>
      <c r="B399" s="26"/>
      <c r="C399" s="25"/>
      <c r="D399" s="27"/>
      <c r="E399" s="25" t="str">
        <f ca="1">IF(ISBLANK(Entries[[#This Row],[Date]])," ",IFERROR(TODAY()-B399," "))</f>
        <v xml:space="preserve"> </v>
      </c>
    </row>
    <row r="400" spans="1:5" x14ac:dyDescent="0.25">
      <c r="A400" s="25"/>
      <c r="B400" s="26"/>
      <c r="C400" s="25"/>
      <c r="D400" s="27"/>
      <c r="E400" s="25" t="str">
        <f ca="1">IF(ISBLANK(Entries[[#This Row],[Date]])," ",IFERROR(TODAY()-B400," "))</f>
        <v xml:space="preserve"> </v>
      </c>
    </row>
    <row r="401" spans="1:5" x14ac:dyDescent="0.25">
      <c r="A401" s="25"/>
      <c r="B401" s="26"/>
      <c r="C401" s="25"/>
      <c r="D401" s="27"/>
      <c r="E401" s="25" t="str">
        <f ca="1">IF(ISBLANK(Entries[[#This Row],[Date]])," ",IFERROR(TODAY()-B401," "))</f>
        <v xml:space="preserve"> </v>
      </c>
    </row>
    <row r="402" spans="1:5" x14ac:dyDescent="0.25">
      <c r="A402" s="25"/>
      <c r="B402" s="26"/>
      <c r="C402" s="25"/>
      <c r="D402" s="27"/>
      <c r="E402" s="25" t="str">
        <f ca="1">IF(ISBLANK(Entries[[#This Row],[Date]])," ",IFERROR(TODAY()-B402," "))</f>
        <v xml:space="preserve"> </v>
      </c>
    </row>
    <row r="403" spans="1:5" x14ac:dyDescent="0.25">
      <c r="A403" s="25"/>
      <c r="B403" s="26"/>
      <c r="C403" s="25"/>
      <c r="D403" s="27"/>
      <c r="E403" s="25" t="str">
        <f ca="1">IF(ISBLANK(Entries[[#This Row],[Date]])," ",IFERROR(TODAY()-B403," "))</f>
        <v xml:space="preserve"> </v>
      </c>
    </row>
    <row r="404" spans="1:5" x14ac:dyDescent="0.25">
      <c r="A404" s="25"/>
      <c r="B404" s="26"/>
      <c r="C404" s="25"/>
      <c r="D404" s="27"/>
      <c r="E404" s="25" t="str">
        <f ca="1">IF(ISBLANK(Entries[[#This Row],[Date]])," ",IFERROR(TODAY()-B404," "))</f>
        <v xml:space="preserve"> </v>
      </c>
    </row>
    <row r="405" spans="1:5" x14ac:dyDescent="0.25">
      <c r="A405" s="25"/>
      <c r="B405" s="26"/>
      <c r="C405" s="25"/>
      <c r="D405" s="27"/>
      <c r="E405" s="25" t="str">
        <f ca="1">IF(ISBLANK(Entries[[#This Row],[Date]])," ",IFERROR(TODAY()-B405," "))</f>
        <v xml:space="preserve"> </v>
      </c>
    </row>
    <row r="406" spans="1:5" x14ac:dyDescent="0.25">
      <c r="A406" s="25"/>
      <c r="B406" s="26"/>
      <c r="C406" s="25"/>
      <c r="D406" s="27"/>
      <c r="E406" s="25" t="str">
        <f ca="1">IF(ISBLANK(Entries[[#This Row],[Date]])," ",IFERROR(TODAY()-B406," "))</f>
        <v xml:space="preserve"> </v>
      </c>
    </row>
    <row r="407" spans="1:5" x14ac:dyDescent="0.25">
      <c r="A407" s="25"/>
      <c r="B407" s="26"/>
      <c r="C407" s="25"/>
      <c r="D407" s="27"/>
      <c r="E407" s="25" t="str">
        <f ca="1">IF(ISBLANK(Entries[[#This Row],[Date]])," ",IFERROR(TODAY()-B407," "))</f>
        <v xml:space="preserve"> </v>
      </c>
    </row>
    <row r="408" spans="1:5" x14ac:dyDescent="0.25">
      <c r="A408" s="25"/>
      <c r="B408" s="26"/>
      <c r="C408" s="25"/>
      <c r="D408" s="27"/>
      <c r="E408" s="25" t="str">
        <f ca="1">IF(ISBLANK(Entries[[#This Row],[Date]])," ",IFERROR(TODAY()-B408," "))</f>
        <v xml:space="preserve"> </v>
      </c>
    </row>
    <row r="409" spans="1:5" x14ac:dyDescent="0.25">
      <c r="A409" s="25"/>
      <c r="B409" s="26"/>
      <c r="C409" s="25"/>
      <c r="D409" s="27"/>
      <c r="E409" s="25" t="str">
        <f ca="1">IF(ISBLANK(Entries[[#This Row],[Date]])," ",IFERROR(TODAY()-B409," "))</f>
        <v xml:space="preserve"> </v>
      </c>
    </row>
    <row r="410" spans="1:5" x14ac:dyDescent="0.25">
      <c r="A410" s="25"/>
      <c r="B410" s="26"/>
      <c r="C410" s="25"/>
      <c r="D410" s="27"/>
      <c r="E410" s="25" t="str">
        <f ca="1">IF(ISBLANK(Entries[[#This Row],[Date]])," ",IFERROR(TODAY()-B410," "))</f>
        <v xml:space="preserve"> </v>
      </c>
    </row>
    <row r="411" spans="1:5" x14ac:dyDescent="0.25">
      <c r="A411" s="25"/>
      <c r="B411" s="26"/>
      <c r="C411" s="25"/>
      <c r="D411" s="27"/>
      <c r="E411" s="25" t="str">
        <f ca="1">IF(ISBLANK(Entries[[#This Row],[Date]])," ",IFERROR(TODAY()-B411," "))</f>
        <v xml:space="preserve"> </v>
      </c>
    </row>
    <row r="412" spans="1:5" x14ac:dyDescent="0.25">
      <c r="A412" s="25"/>
      <c r="B412" s="26"/>
      <c r="C412" s="25"/>
      <c r="D412" s="27"/>
      <c r="E412" s="25" t="str">
        <f ca="1">IF(ISBLANK(Entries[[#This Row],[Date]])," ",IFERROR(TODAY()-B412," "))</f>
        <v xml:space="preserve"> </v>
      </c>
    </row>
    <row r="413" spans="1:5" x14ac:dyDescent="0.25">
      <c r="A413" s="25"/>
      <c r="B413" s="26"/>
      <c r="C413" s="25"/>
      <c r="D413" s="27"/>
      <c r="E413" s="25" t="str">
        <f ca="1">IF(ISBLANK(Entries[[#This Row],[Date]])," ",IFERROR(TODAY()-B413," "))</f>
        <v xml:space="preserve"> </v>
      </c>
    </row>
    <row r="414" spans="1:5" x14ac:dyDescent="0.25">
      <c r="A414" s="25"/>
      <c r="B414" s="26"/>
      <c r="C414" s="25"/>
      <c r="D414" s="27"/>
      <c r="E414" s="25" t="str">
        <f ca="1">IF(ISBLANK(Entries[[#This Row],[Date]])," ",IFERROR(TODAY()-B414," "))</f>
        <v xml:space="preserve"> </v>
      </c>
    </row>
    <row r="415" spans="1:5" x14ac:dyDescent="0.25">
      <c r="A415" s="25"/>
      <c r="B415" s="26"/>
      <c r="C415" s="25"/>
      <c r="D415" s="27"/>
      <c r="E415" s="25" t="str">
        <f ca="1">IF(ISBLANK(Entries[[#This Row],[Date]])," ",IFERROR(TODAY()-B415," "))</f>
        <v xml:space="preserve"> </v>
      </c>
    </row>
    <row r="416" spans="1:5" x14ac:dyDescent="0.25">
      <c r="A416" s="25"/>
      <c r="B416" s="26"/>
      <c r="C416" s="25"/>
      <c r="D416" s="27"/>
      <c r="E416" s="25" t="str">
        <f ca="1">IF(ISBLANK(Entries[[#This Row],[Date]])," ",IFERROR(TODAY()-B416," "))</f>
        <v xml:space="preserve"> </v>
      </c>
    </row>
    <row r="417" spans="1:5" x14ac:dyDescent="0.25">
      <c r="A417" s="25"/>
      <c r="B417" s="26"/>
      <c r="C417" s="25"/>
      <c r="D417" s="27"/>
      <c r="E417" s="25" t="str">
        <f ca="1">IF(ISBLANK(Entries[[#This Row],[Date]])," ",IFERROR(TODAY()-B417," "))</f>
        <v xml:space="preserve"> </v>
      </c>
    </row>
    <row r="418" spans="1:5" x14ac:dyDescent="0.25">
      <c r="A418" s="25"/>
      <c r="B418" s="26"/>
      <c r="C418" s="25"/>
      <c r="D418" s="27"/>
      <c r="E418" s="25" t="str">
        <f ca="1">IF(ISBLANK(Entries[[#This Row],[Date]])," ",IFERROR(TODAY()-B418," "))</f>
        <v xml:space="preserve"> </v>
      </c>
    </row>
    <row r="419" spans="1:5" x14ac:dyDescent="0.25">
      <c r="A419" s="25"/>
      <c r="B419" s="26"/>
      <c r="C419" s="25"/>
      <c r="D419" s="27"/>
      <c r="E419" s="25" t="str">
        <f ca="1">IF(ISBLANK(Entries[[#This Row],[Date]])," ",IFERROR(TODAY()-B419," "))</f>
        <v xml:space="preserve"> </v>
      </c>
    </row>
    <row r="420" spans="1:5" x14ac:dyDescent="0.25">
      <c r="A420" s="25"/>
      <c r="B420" s="26"/>
      <c r="C420" s="25"/>
      <c r="D420" s="27"/>
      <c r="E420" s="25" t="str">
        <f ca="1">IF(ISBLANK(Entries[[#This Row],[Date]])," ",IFERROR(TODAY()-B420," "))</f>
        <v xml:space="preserve"> </v>
      </c>
    </row>
    <row r="421" spans="1:5" x14ac:dyDescent="0.25">
      <c r="A421" s="25"/>
      <c r="B421" s="26"/>
      <c r="C421" s="25"/>
      <c r="D421" s="27"/>
      <c r="E421" s="25" t="str">
        <f ca="1">IF(ISBLANK(Entries[[#This Row],[Date]])," ",IFERROR(TODAY()-B421," "))</f>
        <v xml:space="preserve"> </v>
      </c>
    </row>
    <row r="422" spans="1:5" x14ac:dyDescent="0.25">
      <c r="A422" s="25"/>
      <c r="B422" s="26"/>
      <c r="C422" s="25"/>
      <c r="D422" s="27"/>
      <c r="E422" s="25" t="str">
        <f ca="1">IF(ISBLANK(Entries[[#This Row],[Date]])," ",IFERROR(TODAY()-B422," "))</f>
        <v xml:space="preserve"> </v>
      </c>
    </row>
    <row r="423" spans="1:5" x14ac:dyDescent="0.25">
      <c r="A423" s="25"/>
      <c r="B423" s="26"/>
      <c r="C423" s="25"/>
      <c r="D423" s="27"/>
      <c r="E423" s="25" t="str">
        <f ca="1">IF(ISBLANK(Entries[[#This Row],[Date]])," ",IFERROR(TODAY()-B423," "))</f>
        <v xml:space="preserve"> </v>
      </c>
    </row>
    <row r="424" spans="1:5" x14ac:dyDescent="0.25">
      <c r="A424" s="25"/>
      <c r="B424" s="26"/>
      <c r="C424" s="25"/>
      <c r="D424" s="27"/>
      <c r="E424" s="25" t="str">
        <f ca="1">IF(ISBLANK(Entries[[#This Row],[Date]])," ",IFERROR(TODAY()-B424," "))</f>
        <v xml:space="preserve"> </v>
      </c>
    </row>
    <row r="425" spans="1:5" x14ac:dyDescent="0.25">
      <c r="A425" s="25"/>
      <c r="B425" s="26"/>
      <c r="C425" s="25"/>
      <c r="D425" s="27"/>
      <c r="E425" s="25" t="str">
        <f ca="1">IF(ISBLANK(Entries[[#This Row],[Date]])," ",IFERROR(TODAY()-B425," "))</f>
        <v xml:space="preserve"> </v>
      </c>
    </row>
    <row r="426" spans="1:5" x14ac:dyDescent="0.25">
      <c r="A426" s="25"/>
      <c r="B426" s="26"/>
      <c r="C426" s="25"/>
      <c r="D426" s="27"/>
      <c r="E426" s="25" t="str">
        <f ca="1">IF(ISBLANK(Entries[[#This Row],[Date]])," ",IFERROR(TODAY()-B426," "))</f>
        <v xml:space="preserve"> </v>
      </c>
    </row>
    <row r="427" spans="1:5" x14ac:dyDescent="0.25">
      <c r="A427" s="25"/>
      <c r="B427" s="26"/>
      <c r="C427" s="25"/>
      <c r="D427" s="27"/>
      <c r="E427" s="25" t="str">
        <f ca="1">IF(ISBLANK(Entries[[#This Row],[Date]])," ",IFERROR(TODAY()-B427," "))</f>
        <v xml:space="preserve"> </v>
      </c>
    </row>
    <row r="428" spans="1:5" x14ac:dyDescent="0.25">
      <c r="A428" s="25"/>
      <c r="B428" s="26"/>
      <c r="C428" s="25"/>
      <c r="D428" s="27"/>
      <c r="E428" s="25" t="str">
        <f ca="1">IF(ISBLANK(Entries[[#This Row],[Date]])," ",IFERROR(TODAY()-B428," "))</f>
        <v xml:space="preserve"> </v>
      </c>
    </row>
    <row r="429" spans="1:5" x14ac:dyDescent="0.25">
      <c r="A429" s="25"/>
      <c r="B429" s="26"/>
      <c r="C429" s="25"/>
      <c r="D429" s="27"/>
      <c r="E429" s="25" t="str">
        <f ca="1">IF(ISBLANK(Entries[[#This Row],[Date]])," ",IFERROR(TODAY()-B429," "))</f>
        <v xml:space="preserve"> </v>
      </c>
    </row>
    <row r="430" spans="1:5" x14ac:dyDescent="0.25">
      <c r="A430" s="25"/>
      <c r="B430" s="26"/>
      <c r="C430" s="25"/>
      <c r="D430" s="27"/>
      <c r="E430" s="25" t="str">
        <f ca="1">IF(ISBLANK(Entries[[#This Row],[Date]])," ",IFERROR(TODAY()-B430," "))</f>
        <v xml:space="preserve"> </v>
      </c>
    </row>
    <row r="431" spans="1:5" x14ac:dyDescent="0.25">
      <c r="A431" s="25"/>
      <c r="B431" s="26"/>
      <c r="C431" s="25"/>
      <c r="D431" s="27"/>
      <c r="E431" s="25" t="str">
        <f ca="1">IF(ISBLANK(Entries[[#This Row],[Date]])," ",IFERROR(TODAY()-B431," "))</f>
        <v xml:space="preserve"> </v>
      </c>
    </row>
    <row r="432" spans="1:5" x14ac:dyDescent="0.25">
      <c r="A432" s="25"/>
      <c r="B432" s="26"/>
      <c r="C432" s="25"/>
      <c r="D432" s="27"/>
      <c r="E432" s="25" t="str">
        <f ca="1">IF(ISBLANK(Entries[[#This Row],[Date]])," ",IFERROR(TODAY()-B432," "))</f>
        <v xml:space="preserve"> </v>
      </c>
    </row>
    <row r="433" spans="1:5" x14ac:dyDescent="0.25">
      <c r="A433" s="25"/>
      <c r="B433" s="26"/>
      <c r="C433" s="25"/>
      <c r="D433" s="27"/>
      <c r="E433" s="25" t="str">
        <f ca="1">IF(ISBLANK(Entries[[#This Row],[Date]])," ",IFERROR(TODAY()-B433," "))</f>
        <v xml:space="preserve"> </v>
      </c>
    </row>
    <row r="434" spans="1:5" x14ac:dyDescent="0.25">
      <c r="A434" s="25"/>
      <c r="B434" s="26"/>
      <c r="C434" s="25"/>
      <c r="D434" s="27"/>
      <c r="E434" s="25" t="str">
        <f ca="1">IF(ISBLANK(Entries[[#This Row],[Date]])," ",IFERROR(TODAY()-B434," "))</f>
        <v xml:space="preserve"> </v>
      </c>
    </row>
    <row r="435" spans="1:5" x14ac:dyDescent="0.25">
      <c r="A435" s="25"/>
      <c r="B435" s="26"/>
      <c r="C435" s="25"/>
      <c r="D435" s="27"/>
      <c r="E435" s="25" t="str">
        <f ca="1">IF(ISBLANK(Entries[[#This Row],[Date]])," ",IFERROR(TODAY()-B435," "))</f>
        <v xml:space="preserve"> </v>
      </c>
    </row>
    <row r="436" spans="1:5" x14ac:dyDescent="0.25">
      <c r="A436" s="25"/>
      <c r="B436" s="26"/>
      <c r="C436" s="25"/>
      <c r="D436" s="27"/>
      <c r="E436" s="25" t="str">
        <f ca="1">IF(ISBLANK(Entries[[#This Row],[Date]])," ",IFERROR(TODAY()-B436," "))</f>
        <v xml:space="preserve"> </v>
      </c>
    </row>
    <row r="437" spans="1:5" x14ac:dyDescent="0.25">
      <c r="A437" s="25"/>
      <c r="B437" s="26"/>
      <c r="C437" s="25"/>
      <c r="D437" s="27"/>
      <c r="E437" s="25" t="str">
        <f ca="1">IF(ISBLANK(Entries[[#This Row],[Date]])," ",IFERROR(TODAY()-B437," "))</f>
        <v xml:space="preserve"> </v>
      </c>
    </row>
    <row r="438" spans="1:5" x14ac:dyDescent="0.25">
      <c r="A438" s="25"/>
      <c r="B438" s="26"/>
      <c r="C438" s="25"/>
      <c r="D438" s="27"/>
      <c r="E438" s="25" t="str">
        <f ca="1">IF(ISBLANK(Entries[[#This Row],[Date]])," ",IFERROR(TODAY()-B438," "))</f>
        <v xml:space="preserve"> </v>
      </c>
    </row>
    <row r="439" spans="1:5" x14ac:dyDescent="0.25">
      <c r="A439" s="25"/>
      <c r="B439" s="26"/>
      <c r="C439" s="25"/>
      <c r="D439" s="27"/>
      <c r="E439" s="25" t="str">
        <f ca="1">IF(ISBLANK(Entries[[#This Row],[Date]])," ",IFERROR(TODAY()-B439," "))</f>
        <v xml:space="preserve"> </v>
      </c>
    </row>
    <row r="440" spans="1:5" x14ac:dyDescent="0.25">
      <c r="A440" s="25"/>
      <c r="B440" s="26"/>
      <c r="C440" s="25"/>
      <c r="D440" s="27"/>
      <c r="E440" s="25" t="str">
        <f ca="1">IF(ISBLANK(Entries[[#This Row],[Date]])," ",IFERROR(TODAY()-B440," "))</f>
        <v xml:space="preserve"> </v>
      </c>
    </row>
    <row r="441" spans="1:5" x14ac:dyDescent="0.25">
      <c r="A441" s="25"/>
      <c r="B441" s="26"/>
      <c r="C441" s="25"/>
      <c r="D441" s="27"/>
      <c r="E441" s="25" t="str">
        <f ca="1">IF(ISBLANK(Entries[[#This Row],[Date]])," ",IFERROR(TODAY()-B441," "))</f>
        <v xml:space="preserve"> </v>
      </c>
    </row>
    <row r="442" spans="1:5" x14ac:dyDescent="0.25">
      <c r="A442" s="25"/>
      <c r="B442" s="26"/>
      <c r="C442" s="25"/>
      <c r="D442" s="27"/>
      <c r="E442" s="25" t="str">
        <f ca="1">IF(ISBLANK(Entries[[#This Row],[Date]])," ",IFERROR(TODAY()-B442," "))</f>
        <v xml:space="preserve"> </v>
      </c>
    </row>
    <row r="443" spans="1:5" x14ac:dyDescent="0.25">
      <c r="A443" s="25"/>
      <c r="B443" s="26"/>
      <c r="C443" s="25"/>
      <c r="D443" s="27"/>
      <c r="E443" s="25" t="str">
        <f ca="1">IF(ISBLANK(Entries[[#This Row],[Date]])," ",IFERROR(TODAY()-B443," "))</f>
        <v xml:space="preserve"> </v>
      </c>
    </row>
    <row r="444" spans="1:5" x14ac:dyDescent="0.25">
      <c r="A444" s="25"/>
      <c r="B444" s="26"/>
      <c r="C444" s="25"/>
      <c r="D444" s="27"/>
      <c r="E444" s="25" t="str">
        <f ca="1">IF(ISBLANK(Entries[[#This Row],[Date]])," ",IFERROR(TODAY()-B444," "))</f>
        <v xml:space="preserve"> </v>
      </c>
    </row>
    <row r="445" spans="1:5" x14ac:dyDescent="0.25">
      <c r="A445" s="25"/>
      <c r="B445" s="26"/>
      <c r="C445" s="25"/>
      <c r="D445" s="27"/>
      <c r="E445" s="25" t="str">
        <f ca="1">IF(ISBLANK(Entries[[#This Row],[Date]])," ",IFERROR(TODAY()-B445," "))</f>
        <v xml:space="preserve"> </v>
      </c>
    </row>
    <row r="446" spans="1:5" x14ac:dyDescent="0.25">
      <c r="A446" s="25"/>
      <c r="B446" s="26"/>
      <c r="C446" s="25"/>
      <c r="D446" s="27"/>
      <c r="E446" s="25" t="str">
        <f ca="1">IF(ISBLANK(Entries[[#This Row],[Date]])," ",IFERROR(TODAY()-B446," "))</f>
        <v xml:space="preserve"> </v>
      </c>
    </row>
    <row r="447" spans="1:5" x14ac:dyDescent="0.25">
      <c r="A447" s="25"/>
      <c r="B447" s="26"/>
      <c r="C447" s="25"/>
      <c r="D447" s="27"/>
      <c r="E447" s="25" t="str">
        <f ca="1">IF(ISBLANK(Entries[[#This Row],[Date]])," ",IFERROR(TODAY()-B447," "))</f>
        <v xml:space="preserve"> </v>
      </c>
    </row>
    <row r="448" spans="1:5" x14ac:dyDescent="0.25">
      <c r="A448" s="25"/>
      <c r="B448" s="26"/>
      <c r="C448" s="25"/>
      <c r="D448" s="27"/>
      <c r="E448" s="25" t="str">
        <f ca="1">IF(ISBLANK(Entries[[#This Row],[Date]])," ",IFERROR(TODAY()-B448," "))</f>
        <v xml:space="preserve"> </v>
      </c>
    </row>
    <row r="449" spans="1:5" x14ac:dyDescent="0.25">
      <c r="A449" s="25"/>
      <c r="B449" s="26"/>
      <c r="C449" s="25"/>
      <c r="D449" s="27"/>
      <c r="E449" s="25" t="str">
        <f ca="1">IF(ISBLANK(Entries[[#This Row],[Date]])," ",IFERROR(TODAY()-B449," "))</f>
        <v xml:space="preserve"> </v>
      </c>
    </row>
    <row r="450" spans="1:5" x14ac:dyDescent="0.25">
      <c r="A450" s="25"/>
      <c r="B450" s="26"/>
      <c r="C450" s="25"/>
      <c r="D450" s="27"/>
      <c r="E450" s="25" t="str">
        <f ca="1">IF(ISBLANK(Entries[[#This Row],[Date]])," ",IFERROR(TODAY()-B450," "))</f>
        <v xml:space="preserve"> </v>
      </c>
    </row>
    <row r="451" spans="1:5" x14ac:dyDescent="0.25">
      <c r="A451" s="25"/>
      <c r="B451" s="26"/>
      <c r="C451" s="25"/>
      <c r="D451" s="27"/>
      <c r="E451" s="25" t="str">
        <f ca="1">IF(ISBLANK(Entries[[#This Row],[Date]])," ",IFERROR(TODAY()-B451," "))</f>
        <v xml:space="preserve"> </v>
      </c>
    </row>
    <row r="452" spans="1:5" x14ac:dyDescent="0.25">
      <c r="A452" s="25"/>
      <c r="B452" s="26"/>
      <c r="C452" s="25"/>
      <c r="D452" s="27"/>
      <c r="E452" s="25" t="str">
        <f ca="1">IF(ISBLANK(Entries[[#This Row],[Date]])," ",IFERROR(TODAY()-B452," "))</f>
        <v xml:space="preserve"> </v>
      </c>
    </row>
    <row r="453" spans="1:5" x14ac:dyDescent="0.25">
      <c r="A453" s="25"/>
      <c r="B453" s="26"/>
      <c r="C453" s="25"/>
      <c r="D453" s="27"/>
      <c r="E453" s="25" t="str">
        <f ca="1">IF(ISBLANK(Entries[[#This Row],[Date]])," ",IFERROR(TODAY()-B453," "))</f>
        <v xml:space="preserve"> </v>
      </c>
    </row>
    <row r="454" spans="1:5" x14ac:dyDescent="0.25">
      <c r="A454" s="25"/>
      <c r="B454" s="26"/>
      <c r="C454" s="25"/>
      <c r="D454" s="27"/>
      <c r="E454" s="25" t="str">
        <f ca="1">IF(ISBLANK(Entries[[#This Row],[Date]])," ",IFERROR(TODAY()-B454," "))</f>
        <v xml:space="preserve"> </v>
      </c>
    </row>
    <row r="455" spans="1:5" x14ac:dyDescent="0.25">
      <c r="A455" s="25"/>
      <c r="B455" s="26"/>
      <c r="C455" s="25"/>
      <c r="D455" s="27"/>
      <c r="E455" s="25" t="str">
        <f ca="1">IF(ISBLANK(Entries[[#This Row],[Date]])," ",IFERROR(TODAY()-B455," "))</f>
        <v xml:space="preserve"> </v>
      </c>
    </row>
    <row r="456" spans="1:5" x14ac:dyDescent="0.25">
      <c r="A456" s="25"/>
      <c r="B456" s="26"/>
      <c r="C456" s="25"/>
      <c r="D456" s="27"/>
      <c r="E456" s="25" t="str">
        <f ca="1">IF(ISBLANK(Entries[[#This Row],[Date]])," ",IFERROR(TODAY()-B456," "))</f>
        <v xml:space="preserve"> </v>
      </c>
    </row>
    <row r="457" spans="1:5" x14ac:dyDescent="0.25">
      <c r="A457" s="25"/>
      <c r="B457" s="26"/>
      <c r="C457" s="25"/>
      <c r="D457" s="27"/>
      <c r="E457" s="25" t="str">
        <f ca="1">IF(ISBLANK(Entries[[#This Row],[Date]])," ",IFERROR(TODAY()-B457," "))</f>
        <v xml:space="preserve"> </v>
      </c>
    </row>
    <row r="458" spans="1:5" x14ac:dyDescent="0.25">
      <c r="A458" s="25"/>
      <c r="B458" s="26"/>
      <c r="C458" s="25"/>
      <c r="D458" s="27"/>
      <c r="E458" s="25" t="str">
        <f ca="1">IF(ISBLANK(Entries[[#This Row],[Date]])," ",IFERROR(TODAY()-B458," "))</f>
        <v xml:space="preserve"> </v>
      </c>
    </row>
    <row r="459" spans="1:5" x14ac:dyDescent="0.25">
      <c r="A459" s="25"/>
      <c r="B459" s="26"/>
      <c r="C459" s="25"/>
      <c r="D459" s="27"/>
      <c r="E459" s="25" t="str">
        <f ca="1">IF(ISBLANK(Entries[[#This Row],[Date]])," ",IFERROR(TODAY()-B459," "))</f>
        <v xml:space="preserve"> </v>
      </c>
    </row>
    <row r="460" spans="1:5" x14ac:dyDescent="0.25">
      <c r="A460" s="25"/>
      <c r="B460" s="26"/>
      <c r="C460" s="25"/>
      <c r="D460" s="27"/>
      <c r="E460" s="25" t="str">
        <f ca="1">IF(ISBLANK(Entries[[#This Row],[Date]])," ",IFERROR(TODAY()-B460," "))</f>
        <v xml:space="preserve"> </v>
      </c>
    </row>
    <row r="461" spans="1:5" x14ac:dyDescent="0.25">
      <c r="A461" s="25"/>
      <c r="B461" s="26"/>
      <c r="C461" s="25"/>
      <c r="D461" s="27"/>
      <c r="E461" s="25" t="str">
        <f ca="1">IF(ISBLANK(Entries[[#This Row],[Date]])," ",IFERROR(TODAY()-B461," "))</f>
        <v xml:space="preserve"> </v>
      </c>
    </row>
    <row r="462" spans="1:5" x14ac:dyDescent="0.25">
      <c r="A462" s="25"/>
      <c r="B462" s="26"/>
      <c r="C462" s="25"/>
      <c r="D462" s="27"/>
      <c r="E462" s="25" t="str">
        <f ca="1">IF(ISBLANK(Entries[[#This Row],[Date]])," ",IFERROR(TODAY()-B462," "))</f>
        <v xml:space="preserve"> </v>
      </c>
    </row>
    <row r="463" spans="1:5" x14ac:dyDescent="0.25">
      <c r="A463" s="25"/>
      <c r="B463" s="26"/>
      <c r="C463" s="25"/>
      <c r="D463" s="27"/>
      <c r="E463" s="25" t="str">
        <f ca="1">IF(ISBLANK(Entries[[#This Row],[Date]])," ",IFERROR(TODAY()-B463," "))</f>
        <v xml:space="preserve"> </v>
      </c>
    </row>
    <row r="464" spans="1:5" x14ac:dyDescent="0.25">
      <c r="A464" s="25"/>
      <c r="B464" s="26"/>
      <c r="C464" s="25"/>
      <c r="D464" s="27"/>
      <c r="E464" s="25" t="str">
        <f ca="1">IF(ISBLANK(Entries[[#This Row],[Date]])," ",IFERROR(TODAY()-B464," "))</f>
        <v xml:space="preserve"> </v>
      </c>
    </row>
    <row r="465" spans="1:5" x14ac:dyDescent="0.25">
      <c r="A465" s="25"/>
      <c r="B465" s="26"/>
      <c r="C465" s="25"/>
      <c r="D465" s="27"/>
      <c r="E465" s="25" t="str">
        <f ca="1">IF(ISBLANK(Entries[[#This Row],[Date]])," ",IFERROR(TODAY()-B465," "))</f>
        <v xml:space="preserve"> </v>
      </c>
    </row>
    <row r="466" spans="1:5" x14ac:dyDescent="0.25">
      <c r="A466" s="25"/>
      <c r="B466" s="26"/>
      <c r="C466" s="25"/>
      <c r="D466" s="27"/>
      <c r="E466" s="25" t="str">
        <f ca="1">IF(ISBLANK(Entries[[#This Row],[Date]])," ",IFERROR(TODAY()-B466," "))</f>
        <v xml:space="preserve"> </v>
      </c>
    </row>
    <row r="467" spans="1:5" x14ac:dyDescent="0.25">
      <c r="A467" s="25"/>
      <c r="B467" s="26"/>
      <c r="C467" s="25"/>
      <c r="D467" s="27"/>
      <c r="E467" s="25" t="str">
        <f ca="1">IF(ISBLANK(Entries[[#This Row],[Date]])," ",IFERROR(TODAY()-B467," "))</f>
        <v xml:space="preserve"> </v>
      </c>
    </row>
    <row r="468" spans="1:5" x14ac:dyDescent="0.25">
      <c r="A468" s="25"/>
      <c r="B468" s="26"/>
      <c r="C468" s="25"/>
      <c r="D468" s="27"/>
      <c r="E468" s="25" t="str">
        <f ca="1">IF(ISBLANK(Entries[[#This Row],[Date]])," ",IFERROR(TODAY()-B468," "))</f>
        <v xml:space="preserve"> </v>
      </c>
    </row>
    <row r="469" spans="1:5" x14ac:dyDescent="0.25">
      <c r="A469" s="25"/>
      <c r="B469" s="26"/>
      <c r="C469" s="25"/>
      <c r="D469" s="27"/>
      <c r="E469" s="25" t="str">
        <f ca="1">IF(ISBLANK(Entries[[#This Row],[Date]])," ",IFERROR(TODAY()-B469," "))</f>
        <v xml:space="preserve"> </v>
      </c>
    </row>
    <row r="470" spans="1:5" x14ac:dyDescent="0.25">
      <c r="A470" s="25"/>
      <c r="B470" s="26"/>
      <c r="C470" s="25"/>
      <c r="D470" s="27"/>
      <c r="E470" s="25" t="str">
        <f ca="1">IF(ISBLANK(Entries[[#This Row],[Date]])," ",IFERROR(TODAY()-B470," "))</f>
        <v xml:space="preserve"> </v>
      </c>
    </row>
    <row r="471" spans="1:5" x14ac:dyDescent="0.25">
      <c r="A471" s="25"/>
      <c r="B471" s="26"/>
      <c r="C471" s="25"/>
      <c r="D471" s="27"/>
      <c r="E471" s="25" t="str">
        <f ca="1">IF(ISBLANK(Entries[[#This Row],[Date]])," ",IFERROR(TODAY()-B471," "))</f>
        <v xml:space="preserve"> </v>
      </c>
    </row>
    <row r="472" spans="1:5" x14ac:dyDescent="0.25">
      <c r="A472" s="25"/>
      <c r="B472" s="26"/>
      <c r="C472" s="25"/>
      <c r="D472" s="27"/>
      <c r="E472" s="25" t="str">
        <f ca="1">IF(ISBLANK(Entries[[#This Row],[Date]])," ",IFERROR(TODAY()-B472," "))</f>
        <v xml:space="preserve"> </v>
      </c>
    </row>
    <row r="473" spans="1:5" x14ac:dyDescent="0.25">
      <c r="A473" s="25"/>
      <c r="B473" s="26"/>
      <c r="C473" s="25"/>
      <c r="D473" s="27"/>
      <c r="E473" s="25" t="str">
        <f ca="1">IF(ISBLANK(Entries[[#This Row],[Date]])," ",IFERROR(TODAY()-B473," "))</f>
        <v xml:space="preserve"> </v>
      </c>
    </row>
    <row r="474" spans="1:5" x14ac:dyDescent="0.25">
      <c r="A474" s="25"/>
      <c r="B474" s="26"/>
      <c r="C474" s="25"/>
      <c r="D474" s="27"/>
      <c r="E474" s="25" t="str">
        <f ca="1">IF(ISBLANK(Entries[[#This Row],[Date]])," ",IFERROR(TODAY()-B474," "))</f>
        <v xml:space="preserve"> </v>
      </c>
    </row>
    <row r="475" spans="1:5" x14ac:dyDescent="0.25">
      <c r="A475" s="25"/>
      <c r="B475" s="26"/>
      <c r="C475" s="25"/>
      <c r="D475" s="27"/>
      <c r="E475" s="25" t="str">
        <f ca="1">IF(ISBLANK(Entries[[#This Row],[Date]])," ",IFERROR(TODAY()-B475," "))</f>
        <v xml:space="preserve"> </v>
      </c>
    </row>
    <row r="476" spans="1:5" x14ac:dyDescent="0.25">
      <c r="A476" s="25"/>
      <c r="B476" s="26"/>
      <c r="C476" s="25"/>
      <c r="D476" s="27"/>
      <c r="E476" s="25" t="str">
        <f ca="1">IF(ISBLANK(Entries[[#This Row],[Date]])," ",IFERROR(TODAY()-B476," "))</f>
        <v xml:space="preserve"> </v>
      </c>
    </row>
    <row r="477" spans="1:5" x14ac:dyDescent="0.25">
      <c r="A477" s="25"/>
      <c r="B477" s="26"/>
      <c r="C477" s="25"/>
      <c r="D477" s="27"/>
      <c r="E477" s="25" t="str">
        <f ca="1">IF(ISBLANK(Entries[[#This Row],[Date]])," ",IFERROR(TODAY()-B477," "))</f>
        <v xml:space="preserve"> </v>
      </c>
    </row>
    <row r="478" spans="1:5" x14ac:dyDescent="0.25">
      <c r="A478" s="25"/>
      <c r="B478" s="26"/>
      <c r="C478" s="25"/>
      <c r="D478" s="27"/>
      <c r="E478" s="25" t="str">
        <f ca="1">IF(ISBLANK(Entries[[#This Row],[Date]])," ",IFERROR(TODAY()-B478," "))</f>
        <v xml:space="preserve"> </v>
      </c>
    </row>
    <row r="479" spans="1:5" x14ac:dyDescent="0.25">
      <c r="A479" s="25"/>
      <c r="B479" s="26"/>
      <c r="C479" s="25"/>
      <c r="D479" s="27"/>
      <c r="E479" s="25" t="str">
        <f ca="1">IF(ISBLANK(Entries[[#This Row],[Date]])," ",IFERROR(TODAY()-B479," "))</f>
        <v xml:space="preserve"> </v>
      </c>
    </row>
    <row r="480" spans="1:5" x14ac:dyDescent="0.25">
      <c r="A480" s="25"/>
      <c r="B480" s="26"/>
      <c r="C480" s="25"/>
      <c r="D480" s="27"/>
      <c r="E480" s="25" t="str">
        <f ca="1">IF(ISBLANK(Entries[[#This Row],[Date]])," ",IFERROR(TODAY()-B480," "))</f>
        <v xml:space="preserve"> </v>
      </c>
    </row>
    <row r="481" spans="1:5" x14ac:dyDescent="0.25">
      <c r="A481" s="25"/>
      <c r="B481" s="26"/>
      <c r="C481" s="25"/>
      <c r="D481" s="27"/>
      <c r="E481" s="25" t="str">
        <f ca="1">IF(ISBLANK(Entries[[#This Row],[Date]])," ",IFERROR(TODAY()-B481," "))</f>
        <v xml:space="preserve"> </v>
      </c>
    </row>
    <row r="482" spans="1:5" x14ac:dyDescent="0.25">
      <c r="A482" s="25"/>
      <c r="B482" s="26"/>
      <c r="C482" s="25"/>
      <c r="D482" s="27"/>
      <c r="E482" s="25" t="str">
        <f ca="1">IF(ISBLANK(Entries[[#This Row],[Date]])," ",IFERROR(TODAY()-B482," "))</f>
        <v xml:space="preserve"> </v>
      </c>
    </row>
    <row r="483" spans="1:5" x14ac:dyDescent="0.25">
      <c r="A483" s="25"/>
      <c r="B483" s="26"/>
      <c r="C483" s="25"/>
      <c r="D483" s="27"/>
      <c r="E483" s="25" t="str">
        <f ca="1">IF(ISBLANK(Entries[[#This Row],[Date]])," ",IFERROR(TODAY()-B483," "))</f>
        <v xml:space="preserve"> </v>
      </c>
    </row>
    <row r="484" spans="1:5" x14ac:dyDescent="0.25">
      <c r="A484" s="25"/>
      <c r="B484" s="26"/>
      <c r="C484" s="25"/>
      <c r="D484" s="27"/>
      <c r="E484" s="25" t="str">
        <f ca="1">IF(ISBLANK(Entries[[#This Row],[Date]])," ",IFERROR(TODAY()-B484," "))</f>
        <v xml:space="preserve"> </v>
      </c>
    </row>
    <row r="485" spans="1:5" x14ac:dyDescent="0.25">
      <c r="A485" s="25"/>
      <c r="B485" s="26"/>
      <c r="C485" s="25"/>
      <c r="D485" s="27"/>
      <c r="E485" s="25" t="str">
        <f ca="1">IF(ISBLANK(Entries[[#This Row],[Date]])," ",IFERROR(TODAY()-B485," "))</f>
        <v xml:space="preserve"> </v>
      </c>
    </row>
    <row r="486" spans="1:5" x14ac:dyDescent="0.25">
      <c r="A486" s="25"/>
      <c r="B486" s="26"/>
      <c r="C486" s="25"/>
      <c r="D486" s="27"/>
      <c r="E486" s="25" t="str">
        <f ca="1">IF(ISBLANK(Entries[[#This Row],[Date]])," ",IFERROR(TODAY()-B486," "))</f>
        <v xml:space="preserve"> </v>
      </c>
    </row>
    <row r="487" spans="1:5" x14ac:dyDescent="0.25">
      <c r="A487" s="25"/>
      <c r="B487" s="26"/>
      <c r="C487" s="25"/>
      <c r="D487" s="27"/>
      <c r="E487" s="25" t="str">
        <f ca="1">IF(ISBLANK(Entries[[#This Row],[Date]])," ",IFERROR(TODAY()-B487," "))</f>
        <v xml:space="preserve"> </v>
      </c>
    </row>
    <row r="488" spans="1:5" x14ac:dyDescent="0.25">
      <c r="A488" s="25"/>
      <c r="B488" s="26"/>
      <c r="C488" s="25"/>
      <c r="D488" s="27"/>
      <c r="E488" s="25" t="str">
        <f ca="1">IF(ISBLANK(Entries[[#This Row],[Date]])," ",IFERROR(TODAY()-B488," "))</f>
        <v xml:space="preserve"> </v>
      </c>
    </row>
    <row r="489" spans="1:5" x14ac:dyDescent="0.25">
      <c r="A489" s="25"/>
      <c r="B489" s="26"/>
      <c r="C489" s="25"/>
      <c r="D489" s="27"/>
      <c r="E489" s="25" t="str">
        <f ca="1">IF(ISBLANK(Entries[[#This Row],[Date]])," ",IFERROR(TODAY()-B489," "))</f>
        <v xml:space="preserve"> </v>
      </c>
    </row>
    <row r="490" spans="1:5" x14ac:dyDescent="0.25">
      <c r="A490" s="25"/>
      <c r="B490" s="26"/>
      <c r="C490" s="25"/>
      <c r="D490" s="27"/>
      <c r="E490" s="25" t="str">
        <f ca="1">IF(ISBLANK(Entries[[#This Row],[Date]])," ",IFERROR(TODAY()-B490," "))</f>
        <v xml:space="preserve"> </v>
      </c>
    </row>
    <row r="491" spans="1:5" x14ac:dyDescent="0.25">
      <c r="A491" s="25"/>
      <c r="B491" s="26"/>
      <c r="C491" s="25"/>
      <c r="D491" s="27"/>
      <c r="E491" s="25" t="str">
        <f ca="1">IF(ISBLANK(Entries[[#This Row],[Date]])," ",IFERROR(TODAY()-B491," "))</f>
        <v xml:space="preserve"> </v>
      </c>
    </row>
    <row r="492" spans="1:5" x14ac:dyDescent="0.25">
      <c r="A492" s="25"/>
      <c r="B492" s="26"/>
      <c r="C492" s="25"/>
      <c r="D492" s="27"/>
      <c r="E492" s="25" t="str">
        <f ca="1">IF(ISBLANK(Entries[[#This Row],[Date]])," ",IFERROR(TODAY()-B492," "))</f>
        <v xml:space="preserve"> </v>
      </c>
    </row>
    <row r="493" spans="1:5" x14ac:dyDescent="0.25">
      <c r="A493" s="25"/>
      <c r="B493" s="26"/>
      <c r="C493" s="25"/>
      <c r="D493" s="27"/>
      <c r="E493" s="25" t="str">
        <f ca="1">IF(ISBLANK(Entries[[#This Row],[Date]])," ",IFERROR(TODAY()-B493," "))</f>
        <v xml:space="preserve"> </v>
      </c>
    </row>
    <row r="494" spans="1:5" x14ac:dyDescent="0.25">
      <c r="A494" s="25"/>
      <c r="B494" s="26"/>
      <c r="C494" s="25"/>
      <c r="D494" s="27"/>
      <c r="E494" s="25" t="str">
        <f ca="1">IF(ISBLANK(Entries[[#This Row],[Date]])," ",IFERROR(TODAY()-B494," "))</f>
        <v xml:space="preserve"> </v>
      </c>
    </row>
    <row r="495" spans="1:5" x14ac:dyDescent="0.25">
      <c r="A495" s="25"/>
      <c r="B495" s="26"/>
      <c r="C495" s="25"/>
      <c r="D495" s="27"/>
      <c r="E495" s="25" t="str">
        <f ca="1">IF(ISBLANK(Entries[[#This Row],[Date]])," ",IFERROR(TODAY()-B495," "))</f>
        <v xml:space="preserve"> </v>
      </c>
    </row>
    <row r="496" spans="1:5" x14ac:dyDescent="0.25">
      <c r="A496" s="25"/>
      <c r="B496" s="26"/>
      <c r="C496" s="25"/>
      <c r="D496" s="27"/>
      <c r="E496" s="25" t="str">
        <f ca="1">IF(ISBLANK(Entries[[#This Row],[Date]])," ",IFERROR(TODAY()-B496," "))</f>
        <v xml:space="preserve"> </v>
      </c>
    </row>
    <row r="497" spans="1:5" x14ac:dyDescent="0.25">
      <c r="A497" s="25"/>
      <c r="B497" s="26"/>
      <c r="C497" s="25"/>
      <c r="D497" s="27"/>
      <c r="E497" s="25" t="str">
        <f ca="1">IF(ISBLANK(Entries[[#This Row],[Date]])," ",IFERROR(TODAY()-B497," "))</f>
        <v xml:space="preserve"> </v>
      </c>
    </row>
    <row r="498" spans="1:5" x14ac:dyDescent="0.25">
      <c r="A498" s="25"/>
      <c r="B498" s="26"/>
      <c r="C498" s="25"/>
      <c r="D498" s="27"/>
      <c r="E498" s="25" t="str">
        <f ca="1">IF(ISBLANK(Entries[[#This Row],[Date]])," ",IFERROR(TODAY()-B498," "))</f>
        <v xml:space="preserve"> </v>
      </c>
    </row>
    <row r="499" spans="1:5" x14ac:dyDescent="0.25">
      <c r="A499" s="25"/>
      <c r="B499" s="26"/>
      <c r="C499" s="25"/>
      <c r="D499" s="27"/>
      <c r="E499" s="25" t="str">
        <f ca="1">IF(ISBLANK(Entries[[#This Row],[Date]])," ",IFERROR(TODAY()-B499," "))</f>
        <v xml:space="preserve"> </v>
      </c>
    </row>
    <row r="500" spans="1:5" x14ac:dyDescent="0.25">
      <c r="A500" s="25"/>
      <c r="B500" s="26"/>
      <c r="C500" s="25"/>
      <c r="D500" s="27"/>
      <c r="E500" s="25" t="str">
        <f ca="1">IF(ISBLANK(Entries[[#This Row],[Date]])," ",IFERROR(TODAY()-B500," "))</f>
        <v xml:space="preserve"> </v>
      </c>
    </row>
    <row r="501" spans="1:5" x14ac:dyDescent="0.25">
      <c r="A501" s="25"/>
      <c r="B501" s="26"/>
      <c r="C501" s="25"/>
      <c r="D501" s="27"/>
      <c r="E501" s="25" t="str">
        <f ca="1">IF(ISBLANK(Entries[[#This Row],[Date]])," ",IFERROR(TODAY()-B501," "))</f>
        <v xml:space="preserve"> </v>
      </c>
    </row>
    <row r="502" spans="1:5" x14ac:dyDescent="0.25">
      <c r="A502" s="25"/>
      <c r="B502" s="26"/>
      <c r="C502" s="25"/>
      <c r="D502" s="27"/>
      <c r="E502" s="25" t="str">
        <f ca="1">IF(ISBLANK(Entries[[#This Row],[Date]])," ",IFERROR(TODAY()-B502," "))</f>
        <v xml:space="preserve"> </v>
      </c>
    </row>
    <row r="503" spans="1:5" x14ac:dyDescent="0.25">
      <c r="A503" s="25"/>
      <c r="B503" s="26"/>
      <c r="C503" s="25"/>
      <c r="D503" s="27"/>
      <c r="E503" s="25" t="str">
        <f ca="1">IF(ISBLANK(Entries[[#This Row],[Date]])," ",IFERROR(TODAY()-B503," "))</f>
        <v xml:space="preserve"> </v>
      </c>
    </row>
    <row r="504" spans="1:5" x14ac:dyDescent="0.25">
      <c r="A504" s="25"/>
      <c r="B504" s="26"/>
      <c r="C504" s="25"/>
      <c r="D504" s="27"/>
      <c r="E504" s="25" t="str">
        <f ca="1">IF(ISBLANK(Entries[[#This Row],[Date]])," ",IFERROR(TODAY()-B504," "))</f>
        <v xml:space="preserve"> </v>
      </c>
    </row>
    <row r="505" spans="1:5" x14ac:dyDescent="0.25">
      <c r="A505" s="25"/>
      <c r="B505" s="26"/>
      <c r="C505" s="25"/>
      <c r="D505" s="27"/>
      <c r="E505" s="25" t="str">
        <f ca="1">IF(ISBLANK(Entries[[#This Row],[Date]])," ",IFERROR(TODAY()-B505," "))</f>
        <v xml:space="preserve"> </v>
      </c>
    </row>
    <row r="506" spans="1:5" x14ac:dyDescent="0.25">
      <c r="A506" s="25"/>
      <c r="B506" s="26"/>
      <c r="C506" s="25"/>
      <c r="D506" s="27"/>
      <c r="E506" s="25" t="str">
        <f ca="1">IF(ISBLANK(Entries[[#This Row],[Date]])," ",IFERROR(TODAY()-B506," "))</f>
        <v xml:space="preserve"> </v>
      </c>
    </row>
    <row r="507" spans="1:5" x14ac:dyDescent="0.25">
      <c r="A507" s="25"/>
      <c r="B507" s="26"/>
      <c r="C507" s="25"/>
      <c r="D507" s="27"/>
      <c r="E507" s="25" t="str">
        <f ca="1">IF(ISBLANK(Entries[[#This Row],[Date]])," ",IFERROR(TODAY()-B507," "))</f>
        <v xml:space="preserve"> </v>
      </c>
    </row>
    <row r="508" spans="1:5" x14ac:dyDescent="0.25">
      <c r="A508" s="25"/>
      <c r="B508" s="26"/>
      <c r="C508" s="25"/>
      <c r="D508" s="27"/>
      <c r="E508" s="25" t="str">
        <f ca="1">IF(ISBLANK(Entries[[#This Row],[Date]])," ",IFERROR(TODAY()-B508," "))</f>
        <v xml:space="preserve"> </v>
      </c>
    </row>
    <row r="509" spans="1:5" x14ac:dyDescent="0.25">
      <c r="A509" s="25"/>
      <c r="B509" s="26"/>
      <c r="C509" s="25"/>
      <c r="D509" s="27"/>
      <c r="E509" s="25" t="str">
        <f ca="1">IF(ISBLANK(Entries[[#This Row],[Date]])," ",IFERROR(TODAY()-B509," "))</f>
        <v xml:space="preserve"> </v>
      </c>
    </row>
    <row r="510" spans="1:5" x14ac:dyDescent="0.25">
      <c r="A510" s="25"/>
      <c r="B510" s="26"/>
      <c r="C510" s="25"/>
      <c r="D510" s="27"/>
      <c r="E510" s="25" t="str">
        <f ca="1">IF(ISBLANK(Entries[[#This Row],[Date]])," ",IFERROR(TODAY()-B510," "))</f>
        <v xml:space="preserve"> </v>
      </c>
    </row>
    <row r="511" spans="1:5" x14ac:dyDescent="0.25">
      <c r="A511" s="25"/>
      <c r="B511" s="26"/>
      <c r="C511" s="25"/>
      <c r="D511" s="27"/>
      <c r="E511" s="25" t="str">
        <f ca="1">IF(ISBLANK(Entries[[#This Row],[Date]])," ",IFERROR(TODAY()-B511," "))</f>
        <v xml:space="preserve"> </v>
      </c>
    </row>
    <row r="512" spans="1:5" x14ac:dyDescent="0.25">
      <c r="A512" s="25"/>
      <c r="B512" s="26"/>
      <c r="C512" s="25"/>
      <c r="D512" s="27"/>
      <c r="E512" s="25" t="str">
        <f ca="1">IF(ISBLANK(Entries[[#This Row],[Date]])," ",IFERROR(TODAY()-B512," "))</f>
        <v xml:space="preserve"> </v>
      </c>
    </row>
    <row r="513" spans="1:5" x14ac:dyDescent="0.25">
      <c r="A513" s="25"/>
      <c r="B513" s="26"/>
      <c r="C513" s="25"/>
      <c r="D513" s="27"/>
      <c r="E513" s="25" t="str">
        <f ca="1">IF(ISBLANK(Entries[[#This Row],[Date]])," ",IFERROR(TODAY()-B513," "))</f>
        <v xml:space="preserve"> </v>
      </c>
    </row>
    <row r="514" spans="1:5" x14ac:dyDescent="0.25">
      <c r="A514" s="25"/>
      <c r="B514" s="26"/>
      <c r="C514" s="25"/>
      <c r="D514" s="27"/>
      <c r="E514" s="25" t="str">
        <f ca="1">IF(ISBLANK(Entries[[#This Row],[Date]])," ",IFERROR(TODAY()-B514," "))</f>
        <v xml:space="preserve"> </v>
      </c>
    </row>
    <row r="515" spans="1:5" x14ac:dyDescent="0.25">
      <c r="A515" s="25"/>
      <c r="B515" s="26"/>
      <c r="C515" s="25"/>
      <c r="D515" s="27"/>
      <c r="E515" s="25" t="str">
        <f ca="1">IF(ISBLANK(Entries[[#This Row],[Date]])," ",IFERROR(TODAY()-B515," "))</f>
        <v xml:space="preserve"> </v>
      </c>
    </row>
    <row r="516" spans="1:5" x14ac:dyDescent="0.25">
      <c r="A516" s="25"/>
      <c r="B516" s="26"/>
      <c r="C516" s="25"/>
      <c r="D516" s="27"/>
      <c r="E516" s="25" t="str">
        <f ca="1">IF(ISBLANK(Entries[[#This Row],[Date]])," ",IFERROR(TODAY()-B516," "))</f>
        <v xml:space="preserve"> </v>
      </c>
    </row>
    <row r="517" spans="1:5" x14ac:dyDescent="0.25">
      <c r="A517" s="25"/>
      <c r="B517" s="26"/>
      <c r="C517" s="25"/>
      <c r="D517" s="27"/>
      <c r="E517" s="25" t="str">
        <f ca="1">IF(ISBLANK(Entries[[#This Row],[Date]])," ",IFERROR(TODAY()-B517," "))</f>
        <v xml:space="preserve"> </v>
      </c>
    </row>
    <row r="518" spans="1:5" x14ac:dyDescent="0.25">
      <c r="A518" s="25"/>
      <c r="B518" s="26"/>
      <c r="C518" s="25"/>
      <c r="D518" s="27"/>
      <c r="E518" s="25" t="str">
        <f ca="1">IF(ISBLANK(Entries[[#This Row],[Date]])," ",IFERROR(TODAY()-B518," "))</f>
        <v xml:space="preserve"> </v>
      </c>
    </row>
    <row r="519" spans="1:5" x14ac:dyDescent="0.25">
      <c r="A519" s="25"/>
      <c r="B519" s="26"/>
      <c r="C519" s="25"/>
      <c r="D519" s="27"/>
      <c r="E519" s="25" t="str">
        <f ca="1">IF(ISBLANK(Entries[[#This Row],[Date]])," ",IFERROR(TODAY()-B519," "))</f>
        <v xml:space="preserve"> </v>
      </c>
    </row>
    <row r="520" spans="1:5" x14ac:dyDescent="0.25">
      <c r="A520" s="25"/>
      <c r="B520" s="26"/>
      <c r="C520" s="25"/>
      <c r="D520" s="27"/>
      <c r="E520" s="25" t="str">
        <f ca="1">IF(ISBLANK(Entries[[#This Row],[Date]])," ",IFERROR(TODAY()-B520," "))</f>
        <v xml:space="preserve"> </v>
      </c>
    </row>
    <row r="521" spans="1:5" x14ac:dyDescent="0.25">
      <c r="A521" s="25"/>
      <c r="B521" s="26"/>
      <c r="C521" s="25"/>
      <c r="D521" s="27"/>
      <c r="E521" s="25" t="str">
        <f ca="1">IF(ISBLANK(Entries[[#This Row],[Date]])," ",IFERROR(TODAY()-B521," "))</f>
        <v xml:space="preserve"> </v>
      </c>
    </row>
    <row r="522" spans="1:5" x14ac:dyDescent="0.25">
      <c r="A522" s="25"/>
      <c r="B522" s="26"/>
      <c r="C522" s="25"/>
      <c r="D522" s="27"/>
      <c r="E522" s="25" t="str">
        <f ca="1">IF(ISBLANK(Entries[[#This Row],[Date]])," ",IFERROR(TODAY()-B522," "))</f>
        <v xml:space="preserve"> </v>
      </c>
    </row>
    <row r="523" spans="1:5" x14ac:dyDescent="0.25">
      <c r="A523" s="25"/>
      <c r="B523" s="26"/>
      <c r="C523" s="25"/>
      <c r="D523" s="27"/>
      <c r="E523" s="25" t="str">
        <f ca="1">IF(ISBLANK(Entries[[#This Row],[Date]])," ",IFERROR(TODAY()-B523," "))</f>
        <v xml:space="preserve"> </v>
      </c>
    </row>
    <row r="524" spans="1:5" x14ac:dyDescent="0.25">
      <c r="A524" s="25"/>
      <c r="B524" s="26"/>
      <c r="C524" s="25"/>
      <c r="D524" s="27"/>
      <c r="E524" s="25" t="str">
        <f ca="1">IF(ISBLANK(Entries[[#This Row],[Date]])," ",IFERROR(TODAY()-B524," "))</f>
        <v xml:space="preserve"> </v>
      </c>
    </row>
    <row r="525" spans="1:5" x14ac:dyDescent="0.25">
      <c r="A525" s="25"/>
      <c r="B525" s="26"/>
      <c r="C525" s="25"/>
      <c r="D525" s="27"/>
      <c r="E525" s="25" t="str">
        <f ca="1">IF(ISBLANK(Entries[[#This Row],[Date]])," ",IFERROR(TODAY()-B525," "))</f>
        <v xml:space="preserve"> </v>
      </c>
    </row>
    <row r="526" spans="1:5" x14ac:dyDescent="0.25">
      <c r="A526" s="25"/>
      <c r="B526" s="26"/>
      <c r="C526" s="25"/>
      <c r="D526" s="27"/>
      <c r="E526" s="25" t="str">
        <f ca="1">IF(ISBLANK(Entries[[#This Row],[Date]])," ",IFERROR(TODAY()-B526," "))</f>
        <v xml:space="preserve"> </v>
      </c>
    </row>
    <row r="527" spans="1:5" x14ac:dyDescent="0.25">
      <c r="A527" s="25"/>
      <c r="B527" s="26"/>
      <c r="C527" s="25"/>
      <c r="D527" s="27"/>
      <c r="E527" s="25" t="str">
        <f ca="1">IF(ISBLANK(Entries[[#This Row],[Date]])," ",IFERROR(TODAY()-B527," "))</f>
        <v xml:space="preserve"> </v>
      </c>
    </row>
    <row r="528" spans="1:5" x14ac:dyDescent="0.25">
      <c r="A528" s="25"/>
      <c r="B528" s="26"/>
      <c r="C528" s="25"/>
      <c r="D528" s="27"/>
      <c r="E528" s="25" t="str">
        <f ca="1">IF(ISBLANK(Entries[[#This Row],[Date]])," ",IFERROR(TODAY()-B528," "))</f>
        <v xml:space="preserve"> </v>
      </c>
    </row>
    <row r="529" spans="1:5" x14ac:dyDescent="0.25">
      <c r="A529" s="25"/>
      <c r="B529" s="26"/>
      <c r="C529" s="25"/>
      <c r="D529" s="27"/>
      <c r="E529" s="25" t="str">
        <f ca="1">IF(ISBLANK(Entries[[#This Row],[Date]])," ",IFERROR(TODAY()-B529," "))</f>
        <v xml:space="preserve"> </v>
      </c>
    </row>
    <row r="530" spans="1:5" x14ac:dyDescent="0.25">
      <c r="A530" s="25"/>
      <c r="B530" s="26"/>
      <c r="C530" s="25"/>
      <c r="D530" s="27"/>
      <c r="E530" s="25" t="str">
        <f ca="1">IF(ISBLANK(Entries[[#This Row],[Date]])," ",IFERROR(TODAY()-B530," "))</f>
        <v xml:space="preserve"> </v>
      </c>
    </row>
    <row r="531" spans="1:5" x14ac:dyDescent="0.25">
      <c r="A531" s="25"/>
      <c r="B531" s="26"/>
      <c r="C531" s="25"/>
      <c r="D531" s="27"/>
      <c r="E531" s="25" t="str">
        <f ca="1">IF(ISBLANK(Entries[[#This Row],[Date]])," ",IFERROR(TODAY()-B531," "))</f>
        <v xml:space="preserve"> </v>
      </c>
    </row>
    <row r="532" spans="1:5" x14ac:dyDescent="0.25">
      <c r="A532" s="25"/>
      <c r="B532" s="26"/>
      <c r="C532" s="25"/>
      <c r="D532" s="27"/>
      <c r="E532" s="25" t="str">
        <f ca="1">IF(ISBLANK(Entries[[#This Row],[Date]])," ",IFERROR(TODAY()-B532," "))</f>
        <v xml:space="preserve"> </v>
      </c>
    </row>
    <row r="533" spans="1:5" x14ac:dyDescent="0.25">
      <c r="A533" s="25"/>
      <c r="B533" s="26"/>
      <c r="C533" s="25"/>
      <c r="D533" s="27"/>
      <c r="E533" s="25" t="str">
        <f ca="1">IF(ISBLANK(Entries[[#This Row],[Date]])," ",IFERROR(TODAY()-B533," "))</f>
        <v xml:space="preserve"> </v>
      </c>
    </row>
    <row r="534" spans="1:5" x14ac:dyDescent="0.25">
      <c r="A534" s="25"/>
      <c r="B534" s="26"/>
      <c r="C534" s="25"/>
      <c r="D534" s="27"/>
      <c r="E534" s="25" t="str">
        <f ca="1">IF(ISBLANK(Entries[[#This Row],[Date]])," ",IFERROR(TODAY()-B534," "))</f>
        <v xml:space="preserve"> </v>
      </c>
    </row>
    <row r="535" spans="1:5" x14ac:dyDescent="0.25">
      <c r="A535" s="25"/>
      <c r="B535" s="26"/>
      <c r="C535" s="25"/>
      <c r="D535" s="27"/>
      <c r="E535" s="25" t="str">
        <f ca="1">IF(ISBLANK(Entries[[#This Row],[Date]])," ",IFERROR(TODAY()-B535," "))</f>
        <v xml:space="preserve"> </v>
      </c>
    </row>
    <row r="536" spans="1:5" x14ac:dyDescent="0.25">
      <c r="A536" s="25"/>
      <c r="B536" s="26"/>
      <c r="C536" s="25"/>
      <c r="D536" s="27"/>
      <c r="E536" s="25" t="str">
        <f ca="1">IF(ISBLANK(Entries[[#This Row],[Date]])," ",IFERROR(TODAY()-B536," "))</f>
        <v xml:space="preserve"> </v>
      </c>
    </row>
    <row r="537" spans="1:5" x14ac:dyDescent="0.25">
      <c r="A537" s="25"/>
      <c r="B537" s="26"/>
      <c r="C537" s="25"/>
      <c r="D537" s="27"/>
      <c r="E537" s="25" t="str">
        <f ca="1">IF(ISBLANK(Entries[[#This Row],[Date]])," ",IFERROR(TODAY()-B537," "))</f>
        <v xml:space="preserve"> </v>
      </c>
    </row>
    <row r="538" spans="1:5" x14ac:dyDescent="0.25">
      <c r="A538" s="25"/>
      <c r="B538" s="26"/>
      <c r="C538" s="25"/>
      <c r="D538" s="27"/>
      <c r="E538" s="25" t="str">
        <f ca="1">IF(ISBLANK(Entries[[#This Row],[Date]])," ",IFERROR(TODAY()-B538," "))</f>
        <v xml:space="preserve"> </v>
      </c>
    </row>
    <row r="539" spans="1:5" x14ac:dyDescent="0.25">
      <c r="A539" s="25"/>
      <c r="B539" s="26"/>
      <c r="C539" s="25"/>
      <c r="D539" s="27"/>
      <c r="E539" s="25" t="str">
        <f ca="1">IF(ISBLANK(Entries[[#This Row],[Date]])," ",IFERROR(TODAY()-B539," "))</f>
        <v xml:space="preserve"> </v>
      </c>
    </row>
    <row r="540" spans="1:5" x14ac:dyDescent="0.25">
      <c r="A540" s="25"/>
      <c r="B540" s="26"/>
      <c r="C540" s="25"/>
      <c r="D540" s="27"/>
      <c r="E540" s="25" t="str">
        <f ca="1">IF(ISBLANK(Entries[[#This Row],[Date]])," ",IFERROR(TODAY()-B540," "))</f>
        <v xml:space="preserve"> </v>
      </c>
    </row>
    <row r="541" spans="1:5" x14ac:dyDescent="0.25">
      <c r="A541" s="25"/>
      <c r="B541" s="26"/>
      <c r="C541" s="25"/>
      <c r="D541" s="27"/>
      <c r="E541" s="25" t="str">
        <f ca="1">IF(ISBLANK(Entries[[#This Row],[Date]])," ",IFERROR(TODAY()-B541," "))</f>
        <v xml:space="preserve"> </v>
      </c>
    </row>
    <row r="542" spans="1:5" x14ac:dyDescent="0.25">
      <c r="A542" s="25"/>
      <c r="B542" s="26"/>
      <c r="C542" s="25"/>
      <c r="D542" s="27"/>
      <c r="E542" s="25" t="str">
        <f ca="1">IF(ISBLANK(Entries[[#This Row],[Date]])," ",IFERROR(TODAY()-B542," "))</f>
        <v xml:space="preserve"> </v>
      </c>
    </row>
    <row r="543" spans="1:5" x14ac:dyDescent="0.25">
      <c r="A543" s="25"/>
      <c r="B543" s="26"/>
      <c r="C543" s="25"/>
      <c r="D543" s="27"/>
      <c r="E543" s="25" t="str">
        <f ca="1">IF(ISBLANK(Entries[[#This Row],[Date]])," ",IFERROR(TODAY()-B543," "))</f>
        <v xml:space="preserve"> </v>
      </c>
    </row>
    <row r="544" spans="1:5" x14ac:dyDescent="0.25">
      <c r="A544" s="25"/>
      <c r="B544" s="26"/>
      <c r="C544" s="25"/>
      <c r="D544" s="27"/>
      <c r="E544" s="25" t="str">
        <f ca="1">IF(ISBLANK(Entries[[#This Row],[Date]])," ",IFERROR(TODAY()-B544," "))</f>
        <v xml:space="preserve"> </v>
      </c>
    </row>
    <row r="545" spans="1:5" x14ac:dyDescent="0.25">
      <c r="A545" s="25"/>
      <c r="B545" s="26"/>
      <c r="C545" s="25"/>
      <c r="D545" s="27"/>
      <c r="E545" s="25" t="str">
        <f ca="1">IF(ISBLANK(Entries[[#This Row],[Date]])," ",IFERROR(TODAY()-B545," "))</f>
        <v xml:space="preserve"> </v>
      </c>
    </row>
    <row r="546" spans="1:5" x14ac:dyDescent="0.25">
      <c r="A546" s="25"/>
      <c r="B546" s="26"/>
      <c r="C546" s="25"/>
      <c r="D546" s="27"/>
      <c r="E546" s="25" t="str">
        <f ca="1">IF(ISBLANK(Entries[[#This Row],[Date]])," ",IFERROR(TODAY()-B546," "))</f>
        <v xml:space="preserve"> </v>
      </c>
    </row>
    <row r="547" spans="1:5" x14ac:dyDescent="0.25">
      <c r="A547" s="25"/>
      <c r="B547" s="26"/>
      <c r="C547" s="25"/>
      <c r="D547" s="27"/>
      <c r="E547" s="25" t="str">
        <f ca="1">IF(ISBLANK(Entries[[#This Row],[Date]])," ",IFERROR(TODAY()-B547," "))</f>
        <v xml:space="preserve"> </v>
      </c>
    </row>
    <row r="548" spans="1:5" x14ac:dyDescent="0.25">
      <c r="A548" s="25"/>
      <c r="B548" s="26"/>
      <c r="C548" s="25"/>
      <c r="D548" s="27"/>
      <c r="E548" s="25" t="str">
        <f ca="1">IF(ISBLANK(Entries[[#This Row],[Date]])," ",IFERROR(TODAY()-B548," "))</f>
        <v xml:space="preserve"> </v>
      </c>
    </row>
    <row r="549" spans="1:5" x14ac:dyDescent="0.25">
      <c r="A549" s="25"/>
      <c r="B549" s="26"/>
      <c r="C549" s="25"/>
      <c r="D549" s="27"/>
      <c r="E549" s="25" t="str">
        <f ca="1">IF(ISBLANK(Entries[[#This Row],[Date]])," ",IFERROR(TODAY()-B549," "))</f>
        <v xml:space="preserve"> </v>
      </c>
    </row>
    <row r="550" spans="1:5" x14ac:dyDescent="0.25">
      <c r="A550" s="25"/>
      <c r="B550" s="26"/>
      <c r="C550" s="25"/>
      <c r="D550" s="27"/>
      <c r="E550" s="25" t="str">
        <f ca="1">IF(ISBLANK(Entries[[#This Row],[Date]])," ",IFERROR(TODAY()-B550," "))</f>
        <v xml:space="preserve"> </v>
      </c>
    </row>
    <row r="551" spans="1:5" x14ac:dyDescent="0.25">
      <c r="A551" s="25"/>
      <c r="B551" s="26"/>
      <c r="C551" s="25"/>
      <c r="D551" s="27"/>
      <c r="E551" s="25" t="str">
        <f ca="1">IF(ISBLANK(Entries[[#This Row],[Date]])," ",IFERROR(TODAY()-B551," "))</f>
        <v xml:space="preserve"> </v>
      </c>
    </row>
    <row r="552" spans="1:5" x14ac:dyDescent="0.25">
      <c r="A552" s="25"/>
      <c r="B552" s="26"/>
      <c r="C552" s="25"/>
      <c r="D552" s="27"/>
      <c r="E552" s="25" t="str">
        <f ca="1">IF(ISBLANK(Entries[[#This Row],[Date]])," ",IFERROR(TODAY()-B552," "))</f>
        <v xml:space="preserve"> </v>
      </c>
    </row>
    <row r="553" spans="1:5" x14ac:dyDescent="0.25">
      <c r="A553" s="25"/>
      <c r="B553" s="26"/>
      <c r="C553" s="25"/>
      <c r="D553" s="27"/>
      <c r="E553" s="25" t="str">
        <f ca="1">IF(ISBLANK(Entries[[#This Row],[Date]])," ",IFERROR(TODAY()-B553," "))</f>
        <v xml:space="preserve"> </v>
      </c>
    </row>
    <row r="554" spans="1:5" x14ac:dyDescent="0.25">
      <c r="A554" s="25"/>
      <c r="B554" s="26"/>
      <c r="C554" s="25"/>
      <c r="D554" s="27"/>
      <c r="E554" s="25" t="str">
        <f ca="1">IF(ISBLANK(Entries[[#This Row],[Date]])," ",IFERROR(TODAY()-B554," "))</f>
        <v xml:space="preserve"> </v>
      </c>
    </row>
    <row r="555" spans="1:5" x14ac:dyDescent="0.25">
      <c r="A555" s="25"/>
      <c r="B555" s="26"/>
      <c r="C555" s="25"/>
      <c r="D555" s="27"/>
      <c r="E555" s="25" t="str">
        <f ca="1">IF(ISBLANK(Entries[[#This Row],[Date]])," ",IFERROR(TODAY()-B555," "))</f>
        <v xml:space="preserve"> </v>
      </c>
    </row>
    <row r="556" spans="1:5" x14ac:dyDescent="0.25">
      <c r="A556" s="25"/>
      <c r="B556" s="26"/>
      <c r="C556" s="25"/>
      <c r="D556" s="27"/>
      <c r="E556" s="25" t="str">
        <f ca="1">IF(ISBLANK(Entries[[#This Row],[Date]])," ",IFERROR(TODAY()-B556," "))</f>
        <v xml:space="preserve"> </v>
      </c>
    </row>
    <row r="557" spans="1:5" x14ac:dyDescent="0.25">
      <c r="A557" s="25"/>
      <c r="B557" s="26"/>
      <c r="C557" s="25"/>
      <c r="D557" s="27"/>
      <c r="E557" s="25" t="str">
        <f ca="1">IF(ISBLANK(Entries[[#This Row],[Date]])," ",IFERROR(TODAY()-B557," "))</f>
        <v xml:space="preserve"> </v>
      </c>
    </row>
    <row r="558" spans="1:5" x14ac:dyDescent="0.25">
      <c r="A558" s="25"/>
      <c r="B558" s="26"/>
      <c r="C558" s="25"/>
      <c r="D558" s="27"/>
      <c r="E558" s="25" t="str">
        <f ca="1">IF(ISBLANK(Entries[[#This Row],[Date]])," ",IFERROR(TODAY()-B558," "))</f>
        <v xml:space="preserve"> </v>
      </c>
    </row>
    <row r="559" spans="1:5" x14ac:dyDescent="0.25">
      <c r="A559" s="25"/>
      <c r="B559" s="26"/>
      <c r="C559" s="25"/>
      <c r="D559" s="27"/>
      <c r="E559" s="25" t="str">
        <f ca="1">IF(ISBLANK(Entries[[#This Row],[Date]])," ",IFERROR(TODAY()-B559," "))</f>
        <v xml:space="preserve"> </v>
      </c>
    </row>
    <row r="560" spans="1:5" x14ac:dyDescent="0.25">
      <c r="A560" s="25"/>
      <c r="B560" s="26"/>
      <c r="C560" s="25"/>
      <c r="D560" s="27"/>
      <c r="E560" s="25" t="str">
        <f ca="1">IF(ISBLANK(Entries[[#This Row],[Date]])," ",IFERROR(TODAY()-B560," "))</f>
        <v xml:space="preserve"> </v>
      </c>
    </row>
    <row r="561" spans="1:5" x14ac:dyDescent="0.25">
      <c r="A561" s="25"/>
      <c r="B561" s="26"/>
      <c r="C561" s="25"/>
      <c r="D561" s="27"/>
      <c r="E561" s="25" t="str">
        <f ca="1">IF(ISBLANK(Entries[[#This Row],[Date]])," ",IFERROR(TODAY()-B561," "))</f>
        <v xml:space="preserve"> </v>
      </c>
    </row>
    <row r="562" spans="1:5" x14ac:dyDescent="0.25">
      <c r="A562" s="25"/>
      <c r="B562" s="26"/>
      <c r="C562" s="25"/>
      <c r="D562" s="27"/>
      <c r="E562" s="25" t="str">
        <f ca="1">IF(ISBLANK(Entries[[#This Row],[Date]])," ",IFERROR(TODAY()-B562," "))</f>
        <v xml:space="preserve"> </v>
      </c>
    </row>
    <row r="563" spans="1:5" x14ac:dyDescent="0.25">
      <c r="A563" s="25"/>
      <c r="B563" s="26"/>
      <c r="C563" s="25"/>
      <c r="D563" s="27"/>
      <c r="E563" s="25" t="str">
        <f ca="1">IF(ISBLANK(Entries[[#This Row],[Date]])," ",IFERROR(TODAY()-B563," "))</f>
        <v xml:space="preserve"> </v>
      </c>
    </row>
    <row r="564" spans="1:5" x14ac:dyDescent="0.25">
      <c r="A564" s="25"/>
      <c r="B564" s="26"/>
      <c r="C564" s="25"/>
      <c r="D564" s="27"/>
      <c r="E564" s="25" t="str">
        <f ca="1">IF(ISBLANK(Entries[[#This Row],[Date]])," ",IFERROR(TODAY()-B564," "))</f>
        <v xml:space="preserve"> </v>
      </c>
    </row>
    <row r="565" spans="1:5" x14ac:dyDescent="0.25">
      <c r="A565" s="25"/>
      <c r="B565" s="26"/>
      <c r="C565" s="25"/>
      <c r="D565" s="27"/>
      <c r="E565" s="25" t="str">
        <f ca="1">IF(ISBLANK(Entries[[#This Row],[Date]])," ",IFERROR(TODAY()-B565," "))</f>
        <v xml:space="preserve"> </v>
      </c>
    </row>
    <row r="566" spans="1:5" x14ac:dyDescent="0.25">
      <c r="A566" s="25"/>
      <c r="B566" s="26"/>
      <c r="C566" s="25"/>
      <c r="D566" s="27"/>
      <c r="E566" s="25" t="str">
        <f ca="1">IF(ISBLANK(Entries[[#This Row],[Date]])," ",IFERROR(TODAY()-B566," "))</f>
        <v xml:space="preserve"> </v>
      </c>
    </row>
    <row r="567" spans="1:5" x14ac:dyDescent="0.25">
      <c r="A567" s="25"/>
      <c r="B567" s="26"/>
      <c r="C567" s="25"/>
      <c r="D567" s="27"/>
      <c r="E567" s="25" t="str">
        <f ca="1">IF(ISBLANK(Entries[[#This Row],[Date]])," ",IFERROR(TODAY()-B567," "))</f>
        <v xml:space="preserve"> </v>
      </c>
    </row>
    <row r="568" spans="1:5" x14ac:dyDescent="0.25">
      <c r="A568" s="25"/>
      <c r="B568" s="26"/>
      <c r="C568" s="25"/>
      <c r="D568" s="27"/>
      <c r="E568" s="25" t="str">
        <f ca="1">IF(ISBLANK(Entries[[#This Row],[Date]])," ",IFERROR(TODAY()-B568," "))</f>
        <v xml:space="preserve"> </v>
      </c>
    </row>
    <row r="569" spans="1:5" x14ac:dyDescent="0.25">
      <c r="A569" s="25"/>
      <c r="B569" s="26"/>
      <c r="C569" s="25"/>
      <c r="D569" s="27"/>
      <c r="E569" s="25" t="str">
        <f ca="1">IF(ISBLANK(Entries[[#This Row],[Date]])," ",IFERROR(TODAY()-B569," "))</f>
        <v xml:space="preserve"> </v>
      </c>
    </row>
    <row r="570" spans="1:5" x14ac:dyDescent="0.25">
      <c r="A570" s="25"/>
      <c r="B570" s="26"/>
      <c r="C570" s="25"/>
      <c r="D570" s="27"/>
      <c r="E570" s="25" t="str">
        <f ca="1">IF(ISBLANK(Entries[[#This Row],[Date]])," ",IFERROR(TODAY()-B570," "))</f>
        <v xml:space="preserve"> </v>
      </c>
    </row>
    <row r="571" spans="1:5" x14ac:dyDescent="0.25">
      <c r="A571" s="25"/>
      <c r="B571" s="26"/>
      <c r="C571" s="25"/>
      <c r="D571" s="27"/>
      <c r="E571" s="25" t="str">
        <f ca="1">IF(ISBLANK(Entries[[#This Row],[Date]])," ",IFERROR(TODAY()-B571," "))</f>
        <v xml:space="preserve"> </v>
      </c>
    </row>
    <row r="572" spans="1:5" x14ac:dyDescent="0.25">
      <c r="A572" s="25"/>
      <c r="B572" s="26"/>
      <c r="C572" s="25"/>
      <c r="D572" s="27"/>
      <c r="E572" s="25" t="str">
        <f ca="1">IF(ISBLANK(Entries[[#This Row],[Date]])," ",IFERROR(TODAY()-B572," "))</f>
        <v xml:space="preserve"> </v>
      </c>
    </row>
    <row r="573" spans="1:5" x14ac:dyDescent="0.25">
      <c r="A573" s="25"/>
      <c r="B573" s="26"/>
      <c r="C573" s="25"/>
      <c r="D573" s="27"/>
      <c r="E573" s="25" t="str">
        <f ca="1">IF(ISBLANK(Entries[[#This Row],[Date]])," ",IFERROR(TODAY()-B573," "))</f>
        <v xml:space="preserve"> </v>
      </c>
    </row>
    <row r="574" spans="1:5" x14ac:dyDescent="0.25">
      <c r="A574" s="25"/>
      <c r="B574" s="26"/>
      <c r="C574" s="25"/>
      <c r="D574" s="27"/>
      <c r="E574" s="25" t="str">
        <f ca="1">IF(ISBLANK(Entries[[#This Row],[Date]])," ",IFERROR(TODAY()-B574," "))</f>
        <v xml:space="preserve"> </v>
      </c>
    </row>
    <row r="575" spans="1:5" x14ac:dyDescent="0.25">
      <c r="A575" s="25"/>
      <c r="B575" s="26"/>
      <c r="C575" s="25"/>
      <c r="D575" s="27"/>
      <c r="E575" s="25" t="str">
        <f ca="1">IF(ISBLANK(Entries[[#This Row],[Date]])," ",IFERROR(TODAY()-B575," "))</f>
        <v xml:space="preserve"> </v>
      </c>
    </row>
    <row r="576" spans="1:5" x14ac:dyDescent="0.25">
      <c r="A576" s="25"/>
      <c r="B576" s="26"/>
      <c r="C576" s="25"/>
      <c r="D576" s="27"/>
      <c r="E576" s="25" t="str">
        <f ca="1">IF(ISBLANK(Entries[[#This Row],[Date]])," ",IFERROR(TODAY()-B576," "))</f>
        <v xml:space="preserve"> </v>
      </c>
    </row>
    <row r="577" spans="1:5" x14ac:dyDescent="0.25">
      <c r="A577" s="25"/>
      <c r="B577" s="26"/>
      <c r="C577" s="25"/>
      <c r="D577" s="27"/>
      <c r="E577" s="25" t="str">
        <f ca="1">IF(ISBLANK(Entries[[#This Row],[Date]])," ",IFERROR(TODAY()-B577," "))</f>
        <v xml:space="preserve"> </v>
      </c>
    </row>
    <row r="578" spans="1:5" x14ac:dyDescent="0.25">
      <c r="A578" s="25"/>
      <c r="B578" s="26"/>
      <c r="C578" s="25"/>
      <c r="D578" s="27"/>
      <c r="E578" s="25" t="str">
        <f ca="1">IF(ISBLANK(Entries[[#This Row],[Date]])," ",IFERROR(TODAY()-B578," "))</f>
        <v xml:space="preserve"> </v>
      </c>
    </row>
    <row r="579" spans="1:5" x14ac:dyDescent="0.25">
      <c r="A579" s="25"/>
      <c r="B579" s="26"/>
      <c r="C579" s="25"/>
      <c r="D579" s="27"/>
      <c r="E579" s="25" t="str">
        <f ca="1">IF(ISBLANK(Entries[[#This Row],[Date]])," ",IFERROR(TODAY()-B579," "))</f>
        <v xml:space="preserve"> </v>
      </c>
    </row>
    <row r="580" spans="1:5" x14ac:dyDescent="0.25">
      <c r="A580" s="25"/>
      <c r="B580" s="26"/>
      <c r="C580" s="25"/>
      <c r="D580" s="27"/>
      <c r="E580" s="25" t="str">
        <f ca="1">IF(ISBLANK(Entries[[#This Row],[Date]])," ",IFERROR(TODAY()-B580," "))</f>
        <v xml:space="preserve"> </v>
      </c>
    </row>
    <row r="581" spans="1:5" x14ac:dyDescent="0.25">
      <c r="A581" s="25"/>
      <c r="B581" s="26"/>
      <c r="C581" s="25"/>
      <c r="D581" s="27"/>
      <c r="E581" s="25" t="str">
        <f ca="1">IF(ISBLANK(Entries[[#This Row],[Date]])," ",IFERROR(TODAY()-B581," "))</f>
        <v xml:space="preserve"> </v>
      </c>
    </row>
    <row r="582" spans="1:5" x14ac:dyDescent="0.25">
      <c r="A582" s="25"/>
      <c r="B582" s="26"/>
      <c r="C582" s="25"/>
      <c r="D582" s="27"/>
      <c r="E582" s="25" t="str">
        <f ca="1">IF(ISBLANK(Entries[[#This Row],[Date]])," ",IFERROR(TODAY()-B582," "))</f>
        <v xml:space="preserve"> </v>
      </c>
    </row>
    <row r="583" spans="1:5" x14ac:dyDescent="0.25">
      <c r="A583" s="25"/>
      <c r="B583" s="26"/>
      <c r="C583" s="25"/>
      <c r="D583" s="27"/>
      <c r="E583" s="25" t="str">
        <f ca="1">IF(ISBLANK(Entries[[#This Row],[Date]])," ",IFERROR(TODAY()-B583," "))</f>
        <v xml:space="preserve"> </v>
      </c>
    </row>
    <row r="584" spans="1:5" x14ac:dyDescent="0.25">
      <c r="A584" s="25"/>
      <c r="B584" s="26"/>
      <c r="C584" s="25"/>
      <c r="D584" s="27"/>
      <c r="E584" s="25" t="str">
        <f ca="1">IF(ISBLANK(Entries[[#This Row],[Date]])," ",IFERROR(TODAY()-B584," "))</f>
        <v xml:space="preserve"> </v>
      </c>
    </row>
    <row r="585" spans="1:5" x14ac:dyDescent="0.25">
      <c r="A585" s="25"/>
      <c r="B585" s="26"/>
      <c r="C585" s="25"/>
      <c r="D585" s="27"/>
      <c r="E585" s="25" t="str">
        <f ca="1">IF(ISBLANK(Entries[[#This Row],[Date]])," ",IFERROR(TODAY()-B585," "))</f>
        <v xml:space="preserve"> </v>
      </c>
    </row>
    <row r="586" spans="1:5" x14ac:dyDescent="0.25">
      <c r="A586" s="25"/>
      <c r="B586" s="26"/>
      <c r="C586" s="25"/>
      <c r="D586" s="27"/>
      <c r="E586" s="25" t="str">
        <f ca="1">IF(ISBLANK(Entries[[#This Row],[Date]])," ",IFERROR(TODAY()-B586," "))</f>
        <v xml:space="preserve"> </v>
      </c>
    </row>
    <row r="587" spans="1:5" x14ac:dyDescent="0.25">
      <c r="A587" s="25"/>
      <c r="B587" s="26"/>
      <c r="C587" s="25"/>
      <c r="D587" s="27"/>
      <c r="E587" s="25" t="str">
        <f ca="1">IF(ISBLANK(Entries[[#This Row],[Date]])," ",IFERROR(TODAY()-B587," "))</f>
        <v xml:space="preserve"> </v>
      </c>
    </row>
    <row r="588" spans="1:5" x14ac:dyDescent="0.25">
      <c r="A588" s="25"/>
      <c r="B588" s="26"/>
      <c r="C588" s="25"/>
      <c r="D588" s="27"/>
      <c r="E588" s="25" t="str">
        <f ca="1">IF(ISBLANK(Entries[[#This Row],[Date]])," ",IFERROR(TODAY()-B588," "))</f>
        <v xml:space="preserve"> </v>
      </c>
    </row>
    <row r="589" spans="1:5" x14ac:dyDescent="0.25">
      <c r="A589" s="25"/>
      <c r="B589" s="26"/>
      <c r="C589" s="25"/>
      <c r="D589" s="27"/>
      <c r="E589" s="25" t="str">
        <f ca="1">IF(ISBLANK(Entries[[#This Row],[Date]])," ",IFERROR(TODAY()-B589," "))</f>
        <v xml:space="preserve"> </v>
      </c>
    </row>
    <row r="590" spans="1:5" x14ac:dyDescent="0.25">
      <c r="A590" s="25"/>
      <c r="B590" s="26"/>
      <c r="C590" s="25"/>
      <c r="D590" s="27"/>
      <c r="E590" s="25" t="str">
        <f ca="1">IF(ISBLANK(Entries[[#This Row],[Date]])," ",IFERROR(TODAY()-B590," "))</f>
        <v xml:space="preserve"> </v>
      </c>
    </row>
    <row r="591" spans="1:5" x14ac:dyDescent="0.25">
      <c r="A591" s="25"/>
      <c r="B591" s="26"/>
      <c r="C591" s="25"/>
      <c r="D591" s="27"/>
      <c r="E591" s="25" t="str">
        <f ca="1">IF(ISBLANK(Entries[[#This Row],[Date]])," ",IFERROR(TODAY()-B591," "))</f>
        <v xml:space="preserve"> </v>
      </c>
    </row>
    <row r="592" spans="1:5" x14ac:dyDescent="0.25">
      <c r="A592" s="25"/>
      <c r="B592" s="26"/>
      <c r="C592" s="25"/>
      <c r="D592" s="27"/>
      <c r="E592" s="25" t="str">
        <f ca="1">IF(ISBLANK(Entries[[#This Row],[Date]])," ",IFERROR(TODAY()-B592," "))</f>
        <v xml:space="preserve"> </v>
      </c>
    </row>
    <row r="593" spans="1:5" x14ac:dyDescent="0.25">
      <c r="A593" s="25"/>
      <c r="B593" s="26"/>
      <c r="C593" s="25"/>
      <c r="D593" s="27"/>
      <c r="E593" s="25" t="str">
        <f ca="1">IF(ISBLANK(Entries[[#This Row],[Date]])," ",IFERROR(TODAY()-B593," "))</f>
        <v xml:space="preserve"> </v>
      </c>
    </row>
    <row r="594" spans="1:5" x14ac:dyDescent="0.25">
      <c r="A594" s="25"/>
      <c r="B594" s="26"/>
      <c r="C594" s="25"/>
      <c r="D594" s="27"/>
      <c r="E594" s="25" t="str">
        <f ca="1">IF(ISBLANK(Entries[[#This Row],[Date]])," ",IFERROR(TODAY()-B594," "))</f>
        <v xml:space="preserve"> </v>
      </c>
    </row>
    <row r="595" spans="1:5" x14ac:dyDescent="0.25">
      <c r="A595" s="25"/>
      <c r="B595" s="26"/>
      <c r="C595" s="25"/>
      <c r="D595" s="27"/>
      <c r="E595" s="25" t="str">
        <f ca="1">IF(ISBLANK(Entries[[#This Row],[Date]])," ",IFERROR(TODAY()-B595," "))</f>
        <v xml:space="preserve"> </v>
      </c>
    </row>
    <row r="596" spans="1:5" x14ac:dyDescent="0.25">
      <c r="A596" s="25"/>
      <c r="B596" s="26"/>
      <c r="C596" s="25"/>
      <c r="D596" s="27"/>
      <c r="E596" s="25" t="str">
        <f ca="1">IF(ISBLANK(Entries[[#This Row],[Date]])," ",IFERROR(TODAY()-B596," "))</f>
        <v xml:space="preserve"> </v>
      </c>
    </row>
    <row r="597" spans="1:5" x14ac:dyDescent="0.25">
      <c r="A597" s="25"/>
      <c r="B597" s="26"/>
      <c r="C597" s="25"/>
      <c r="D597" s="27"/>
      <c r="E597" s="25" t="str">
        <f ca="1">IF(ISBLANK(Entries[[#This Row],[Date]])," ",IFERROR(TODAY()-B597," "))</f>
        <v xml:space="preserve"> </v>
      </c>
    </row>
    <row r="598" spans="1:5" x14ac:dyDescent="0.25">
      <c r="A598" s="25"/>
      <c r="B598" s="26"/>
      <c r="C598" s="25"/>
      <c r="D598" s="27"/>
      <c r="E598" s="25" t="str">
        <f ca="1">IF(ISBLANK(Entries[[#This Row],[Date]])," ",IFERROR(TODAY()-B598," "))</f>
        <v xml:space="preserve"> </v>
      </c>
    </row>
    <row r="599" spans="1:5" x14ac:dyDescent="0.25">
      <c r="A599" s="25"/>
      <c r="B599" s="26"/>
      <c r="C599" s="25"/>
      <c r="D599" s="27"/>
      <c r="E599" s="25" t="str">
        <f ca="1">IF(ISBLANK(Entries[[#This Row],[Date]])," ",IFERROR(TODAY()-B599," "))</f>
        <v xml:space="preserve"> </v>
      </c>
    </row>
    <row r="600" spans="1:5" x14ac:dyDescent="0.25">
      <c r="A600" s="25"/>
      <c r="B600" s="26"/>
      <c r="C600" s="25"/>
      <c r="D600" s="27"/>
      <c r="E600" s="25" t="str">
        <f ca="1">IF(ISBLANK(Entries[[#This Row],[Date]])," ",IFERROR(TODAY()-B600," "))</f>
        <v xml:space="preserve"> </v>
      </c>
    </row>
    <row r="601" spans="1:5" x14ac:dyDescent="0.25">
      <c r="A601" s="25"/>
      <c r="B601" s="26"/>
      <c r="C601" s="25"/>
      <c r="D601" s="27"/>
      <c r="E601" s="25" t="str">
        <f ca="1">IF(ISBLANK(Entries[[#This Row],[Date]])," ",IFERROR(TODAY()-B601," "))</f>
        <v xml:space="preserve"> </v>
      </c>
    </row>
    <row r="602" spans="1:5" x14ac:dyDescent="0.25">
      <c r="A602" s="25"/>
      <c r="B602" s="26"/>
      <c r="C602" s="25"/>
      <c r="D602" s="27"/>
      <c r="E602" s="25" t="str">
        <f ca="1">IF(ISBLANK(Entries[[#This Row],[Date]])," ",IFERROR(TODAY()-B602," "))</f>
        <v xml:space="preserve"> </v>
      </c>
    </row>
    <row r="603" spans="1:5" x14ac:dyDescent="0.25">
      <c r="A603" s="25"/>
      <c r="B603" s="26"/>
      <c r="C603" s="25"/>
      <c r="D603" s="27"/>
      <c r="E603" s="25" t="str">
        <f ca="1">IF(ISBLANK(Entries[[#This Row],[Date]])," ",IFERROR(TODAY()-B603," "))</f>
        <v xml:space="preserve"> </v>
      </c>
    </row>
    <row r="604" spans="1:5" x14ac:dyDescent="0.25">
      <c r="A604" s="25"/>
      <c r="B604" s="26"/>
      <c r="C604" s="25"/>
      <c r="D604" s="27"/>
      <c r="E604" s="25" t="str">
        <f ca="1">IF(ISBLANK(Entries[[#This Row],[Date]])," ",IFERROR(TODAY()-B604," "))</f>
        <v xml:space="preserve"> </v>
      </c>
    </row>
    <row r="605" spans="1:5" x14ac:dyDescent="0.25">
      <c r="A605" s="25"/>
      <c r="B605" s="26"/>
      <c r="C605" s="25"/>
      <c r="D605" s="27"/>
      <c r="E605" s="25" t="str">
        <f ca="1">IF(ISBLANK(Entries[[#This Row],[Date]])," ",IFERROR(TODAY()-B605," "))</f>
        <v xml:space="preserve"> </v>
      </c>
    </row>
    <row r="606" spans="1:5" x14ac:dyDescent="0.25">
      <c r="A606" s="25"/>
      <c r="B606" s="26"/>
      <c r="C606" s="25"/>
      <c r="D606" s="27"/>
      <c r="E606" s="25" t="str">
        <f ca="1">IF(ISBLANK(Entries[[#This Row],[Date]])," ",IFERROR(TODAY()-B606," "))</f>
        <v xml:space="preserve"> </v>
      </c>
    </row>
    <row r="607" spans="1:5" x14ac:dyDescent="0.25">
      <c r="A607" s="25"/>
      <c r="B607" s="26"/>
      <c r="C607" s="25"/>
      <c r="D607" s="27"/>
      <c r="E607" s="25" t="str">
        <f ca="1">IF(ISBLANK(Entries[[#This Row],[Date]])," ",IFERROR(TODAY()-B607," "))</f>
        <v xml:space="preserve"> </v>
      </c>
    </row>
    <row r="608" spans="1:5" x14ac:dyDescent="0.25">
      <c r="A608" s="25"/>
      <c r="B608" s="26"/>
      <c r="C608" s="25"/>
      <c r="D608" s="27"/>
      <c r="E608" s="25" t="str">
        <f ca="1">IF(ISBLANK(Entries[[#This Row],[Date]])," ",IFERROR(TODAY()-B608," "))</f>
        <v xml:space="preserve"> </v>
      </c>
    </row>
    <row r="609" spans="1:5" x14ac:dyDescent="0.25">
      <c r="A609" s="25"/>
      <c r="B609" s="26"/>
      <c r="C609" s="25"/>
      <c r="D609" s="27"/>
      <c r="E609" s="25" t="str">
        <f ca="1">IF(ISBLANK(Entries[[#This Row],[Date]])," ",IFERROR(TODAY()-B609," "))</f>
        <v xml:space="preserve"> </v>
      </c>
    </row>
    <row r="610" spans="1:5" x14ac:dyDescent="0.25">
      <c r="A610" s="25"/>
      <c r="B610" s="26"/>
      <c r="C610" s="25"/>
      <c r="D610" s="27"/>
      <c r="E610" s="25" t="str">
        <f ca="1">IF(ISBLANK(Entries[[#This Row],[Date]])," ",IFERROR(TODAY()-B610," "))</f>
        <v xml:space="preserve"> </v>
      </c>
    </row>
    <row r="611" spans="1:5" x14ac:dyDescent="0.25">
      <c r="A611" s="25"/>
      <c r="B611" s="26"/>
      <c r="C611" s="25"/>
      <c r="D611" s="27"/>
      <c r="E611" s="25" t="str">
        <f ca="1">IF(ISBLANK(Entries[[#This Row],[Date]])," ",IFERROR(TODAY()-B611," "))</f>
        <v xml:space="preserve"> </v>
      </c>
    </row>
    <row r="612" spans="1:5" x14ac:dyDescent="0.25">
      <c r="A612" s="25"/>
      <c r="B612" s="26"/>
      <c r="C612" s="25"/>
      <c r="D612" s="27"/>
      <c r="E612" s="25" t="str">
        <f ca="1">IF(ISBLANK(Entries[[#This Row],[Date]])," ",IFERROR(TODAY()-B612," "))</f>
        <v xml:space="preserve"> </v>
      </c>
    </row>
    <row r="613" spans="1:5" x14ac:dyDescent="0.25">
      <c r="A613" s="25"/>
      <c r="B613" s="26"/>
      <c r="C613" s="25"/>
      <c r="D613" s="27"/>
      <c r="E613" s="25" t="str">
        <f ca="1">IF(ISBLANK(Entries[[#This Row],[Date]])," ",IFERROR(TODAY()-B613," "))</f>
        <v xml:space="preserve"> </v>
      </c>
    </row>
    <row r="614" spans="1:5" x14ac:dyDescent="0.25">
      <c r="A614" s="25"/>
      <c r="B614" s="26"/>
      <c r="C614" s="25"/>
      <c r="D614" s="27"/>
      <c r="E614" s="25" t="str">
        <f ca="1">IF(ISBLANK(Entries[[#This Row],[Date]])," ",IFERROR(TODAY()-B614," "))</f>
        <v xml:space="preserve"> </v>
      </c>
    </row>
    <row r="615" spans="1:5" x14ac:dyDescent="0.25">
      <c r="A615" s="25"/>
      <c r="B615" s="26"/>
      <c r="C615" s="25"/>
      <c r="D615" s="27"/>
      <c r="E615" s="25" t="str">
        <f ca="1">IF(ISBLANK(Entries[[#This Row],[Date]])," ",IFERROR(TODAY()-B615," "))</f>
        <v xml:space="preserve"> </v>
      </c>
    </row>
    <row r="616" spans="1:5" x14ac:dyDescent="0.25">
      <c r="A616" s="25"/>
      <c r="B616" s="26"/>
      <c r="C616" s="25"/>
      <c r="D616" s="27"/>
      <c r="E616" s="25" t="str">
        <f ca="1">IF(ISBLANK(Entries[[#This Row],[Date]])," ",IFERROR(TODAY()-B616," "))</f>
        <v xml:space="preserve"> </v>
      </c>
    </row>
    <row r="617" spans="1:5" x14ac:dyDescent="0.25">
      <c r="A617" s="25"/>
      <c r="B617" s="26"/>
      <c r="C617" s="25"/>
      <c r="D617" s="27"/>
      <c r="E617" s="25" t="str">
        <f ca="1">IF(ISBLANK(Entries[[#This Row],[Date]])," ",IFERROR(TODAY()-B617," "))</f>
        <v xml:space="preserve"> </v>
      </c>
    </row>
    <row r="618" spans="1:5" x14ac:dyDescent="0.25">
      <c r="A618" s="25"/>
      <c r="B618" s="26"/>
      <c r="C618" s="25"/>
      <c r="D618" s="27"/>
      <c r="E618" s="25" t="str">
        <f ca="1">IF(ISBLANK(Entries[[#This Row],[Date]])," ",IFERROR(TODAY()-B618," "))</f>
        <v xml:space="preserve"> </v>
      </c>
    </row>
    <row r="619" spans="1:5" x14ac:dyDescent="0.25">
      <c r="A619" s="25"/>
      <c r="B619" s="26"/>
      <c r="C619" s="25"/>
      <c r="D619" s="27"/>
      <c r="E619" s="25" t="str">
        <f ca="1">IF(ISBLANK(Entries[[#This Row],[Date]])," ",IFERROR(TODAY()-B619," "))</f>
        <v xml:space="preserve"> </v>
      </c>
    </row>
    <row r="620" spans="1:5" x14ac:dyDescent="0.25">
      <c r="A620" s="25"/>
      <c r="B620" s="26"/>
      <c r="C620" s="25"/>
      <c r="D620" s="27"/>
      <c r="E620" s="25" t="str">
        <f ca="1">IF(ISBLANK(Entries[[#This Row],[Date]])," ",IFERROR(TODAY()-B620," "))</f>
        <v xml:space="preserve"> </v>
      </c>
    </row>
    <row r="621" spans="1:5" x14ac:dyDescent="0.25">
      <c r="A621" s="25"/>
      <c r="B621" s="26"/>
      <c r="C621" s="25"/>
      <c r="D621" s="27"/>
      <c r="E621" s="25" t="str">
        <f ca="1">IF(ISBLANK(Entries[[#This Row],[Date]])," ",IFERROR(TODAY()-B621," "))</f>
        <v xml:space="preserve"> </v>
      </c>
    </row>
    <row r="622" spans="1:5" x14ac:dyDescent="0.25">
      <c r="A622" s="25"/>
      <c r="B622" s="26"/>
      <c r="C622" s="25"/>
      <c r="D622" s="27"/>
      <c r="E622" s="25" t="str">
        <f ca="1">IF(ISBLANK(Entries[[#This Row],[Date]])," ",IFERROR(TODAY()-B622," "))</f>
        <v xml:space="preserve"> </v>
      </c>
    </row>
    <row r="623" spans="1:5" x14ac:dyDescent="0.25">
      <c r="A623" s="25"/>
      <c r="B623" s="26"/>
      <c r="C623" s="25"/>
      <c r="D623" s="27"/>
      <c r="E623" s="25" t="str">
        <f ca="1">IF(ISBLANK(Entries[[#This Row],[Date]])," ",IFERROR(TODAY()-B623," "))</f>
        <v xml:space="preserve"> </v>
      </c>
    </row>
    <row r="624" spans="1:5" x14ac:dyDescent="0.25">
      <c r="A624" s="25"/>
      <c r="B624" s="26"/>
      <c r="C624" s="25"/>
      <c r="D624" s="27"/>
      <c r="E624" s="25" t="str">
        <f ca="1">IF(ISBLANK(Entries[[#This Row],[Date]])," ",IFERROR(TODAY()-B624," "))</f>
        <v xml:space="preserve"> </v>
      </c>
    </row>
    <row r="625" spans="1:5" x14ac:dyDescent="0.25">
      <c r="A625" s="25"/>
      <c r="B625" s="26"/>
      <c r="C625" s="25"/>
      <c r="D625" s="27"/>
      <c r="E625" s="25" t="str">
        <f ca="1">IF(ISBLANK(Entries[[#This Row],[Date]])," ",IFERROR(TODAY()-B625," "))</f>
        <v xml:space="preserve"> </v>
      </c>
    </row>
    <row r="626" spans="1:5" x14ac:dyDescent="0.25">
      <c r="A626" s="25"/>
      <c r="B626" s="26"/>
      <c r="C626" s="25"/>
      <c r="D626" s="27"/>
      <c r="E626" s="25" t="str">
        <f ca="1">IF(ISBLANK(Entries[[#This Row],[Date]])," ",IFERROR(TODAY()-B626," "))</f>
        <v xml:space="preserve"> </v>
      </c>
    </row>
    <row r="627" spans="1:5" x14ac:dyDescent="0.25">
      <c r="A627" s="25"/>
      <c r="B627" s="26"/>
      <c r="C627" s="25"/>
      <c r="D627" s="27"/>
      <c r="E627" s="25" t="str">
        <f ca="1">IF(ISBLANK(Entries[[#This Row],[Date]])," ",IFERROR(TODAY()-B627," "))</f>
        <v xml:space="preserve"> </v>
      </c>
    </row>
    <row r="628" spans="1:5" x14ac:dyDescent="0.25">
      <c r="A628" s="25"/>
      <c r="B628" s="26"/>
      <c r="C628" s="25"/>
      <c r="D628" s="27"/>
      <c r="E628" s="25" t="str">
        <f ca="1">IF(ISBLANK(Entries[[#This Row],[Date]])," ",IFERROR(TODAY()-B628," "))</f>
        <v xml:space="preserve"> </v>
      </c>
    </row>
    <row r="629" spans="1:5" x14ac:dyDescent="0.25">
      <c r="A629" s="25"/>
      <c r="B629" s="26"/>
      <c r="C629" s="25"/>
      <c r="D629" s="27"/>
      <c r="E629" s="25" t="str">
        <f ca="1">IF(ISBLANK(Entries[[#This Row],[Date]])," ",IFERROR(TODAY()-B629," "))</f>
        <v xml:space="preserve"> </v>
      </c>
    </row>
    <row r="630" spans="1:5" x14ac:dyDescent="0.25">
      <c r="A630" s="25"/>
      <c r="B630" s="26"/>
      <c r="C630" s="25"/>
      <c r="D630" s="27"/>
      <c r="E630" s="25" t="str">
        <f ca="1">IF(ISBLANK(Entries[[#This Row],[Date]])," ",IFERROR(TODAY()-B630," "))</f>
        <v xml:space="preserve"> </v>
      </c>
    </row>
    <row r="631" spans="1:5" x14ac:dyDescent="0.25">
      <c r="A631" s="25"/>
      <c r="B631" s="26"/>
      <c r="C631" s="25"/>
      <c r="D631" s="27"/>
      <c r="E631" s="25" t="str">
        <f ca="1">IF(ISBLANK(Entries[[#This Row],[Date]])," ",IFERROR(TODAY()-B631," "))</f>
        <v xml:space="preserve"> </v>
      </c>
    </row>
    <row r="632" spans="1:5" x14ac:dyDescent="0.25">
      <c r="A632" s="25"/>
      <c r="B632" s="26"/>
      <c r="C632" s="25"/>
      <c r="D632" s="27"/>
      <c r="E632" s="25" t="str">
        <f ca="1">IF(ISBLANK(Entries[[#This Row],[Date]])," ",IFERROR(TODAY()-B632," "))</f>
        <v xml:space="preserve"> </v>
      </c>
    </row>
    <row r="633" spans="1:5" x14ac:dyDescent="0.25">
      <c r="A633" s="25"/>
      <c r="B633" s="26"/>
      <c r="C633" s="25"/>
      <c r="D633" s="27"/>
      <c r="E633" s="25" t="str">
        <f ca="1">IF(ISBLANK(Entries[[#This Row],[Date]])," ",IFERROR(TODAY()-B633," "))</f>
        <v xml:space="preserve"> </v>
      </c>
    </row>
    <row r="634" spans="1:5" x14ac:dyDescent="0.25">
      <c r="A634" s="25"/>
      <c r="B634" s="26"/>
      <c r="C634" s="25"/>
      <c r="D634" s="27"/>
      <c r="E634" s="25" t="str">
        <f ca="1">IF(ISBLANK(Entries[[#This Row],[Date]])," ",IFERROR(TODAY()-B634," "))</f>
        <v xml:space="preserve"> </v>
      </c>
    </row>
    <row r="635" spans="1:5" x14ac:dyDescent="0.25">
      <c r="A635" s="25"/>
      <c r="B635" s="26"/>
      <c r="C635" s="25"/>
      <c r="D635" s="27"/>
      <c r="E635" s="25" t="str">
        <f ca="1">IF(ISBLANK(Entries[[#This Row],[Date]])," ",IFERROR(TODAY()-B635," "))</f>
        <v xml:space="preserve"> </v>
      </c>
    </row>
    <row r="636" spans="1:5" x14ac:dyDescent="0.25">
      <c r="A636" s="25"/>
      <c r="B636" s="26"/>
      <c r="C636" s="25"/>
      <c r="D636" s="27"/>
      <c r="E636" s="25" t="str">
        <f ca="1">IF(ISBLANK(Entries[[#This Row],[Date]])," ",IFERROR(TODAY()-B636," "))</f>
        <v xml:space="preserve"> </v>
      </c>
    </row>
    <row r="637" spans="1:5" x14ac:dyDescent="0.25">
      <c r="A637" s="25"/>
      <c r="B637" s="26"/>
      <c r="C637" s="25"/>
      <c r="D637" s="27"/>
      <c r="E637" s="25" t="str">
        <f ca="1">IF(ISBLANK(Entries[[#This Row],[Date]])," ",IFERROR(TODAY()-B637," "))</f>
        <v xml:space="preserve"> </v>
      </c>
    </row>
    <row r="638" spans="1:5" x14ac:dyDescent="0.25">
      <c r="A638" s="25"/>
      <c r="B638" s="26"/>
      <c r="C638" s="25"/>
      <c r="D638" s="27"/>
      <c r="E638" s="25" t="str">
        <f ca="1">IF(ISBLANK(Entries[[#This Row],[Date]])," ",IFERROR(TODAY()-B638," "))</f>
        <v xml:space="preserve"> </v>
      </c>
    </row>
    <row r="639" spans="1:5" x14ac:dyDescent="0.25">
      <c r="A639" s="25"/>
      <c r="B639" s="26"/>
      <c r="C639" s="25"/>
      <c r="D639" s="27"/>
      <c r="E639" s="25" t="str">
        <f ca="1">IF(ISBLANK(Entries[[#This Row],[Date]])," ",IFERROR(TODAY()-B639," "))</f>
        <v xml:space="preserve"> </v>
      </c>
    </row>
    <row r="640" spans="1:5" x14ac:dyDescent="0.25">
      <c r="A640" s="25"/>
      <c r="B640" s="26"/>
      <c r="C640" s="25"/>
      <c r="D640" s="27"/>
      <c r="E640" s="25" t="str">
        <f ca="1">IF(ISBLANK(Entries[[#This Row],[Date]])," ",IFERROR(TODAY()-B640," "))</f>
        <v xml:space="preserve"> </v>
      </c>
    </row>
    <row r="641" spans="1:5" x14ac:dyDescent="0.25">
      <c r="A641" s="25"/>
      <c r="B641" s="26"/>
      <c r="C641" s="25"/>
      <c r="D641" s="27"/>
      <c r="E641" s="25" t="str">
        <f ca="1">IF(ISBLANK(Entries[[#This Row],[Date]])," ",IFERROR(TODAY()-B641," "))</f>
        <v xml:space="preserve"> </v>
      </c>
    </row>
    <row r="642" spans="1:5" x14ac:dyDescent="0.25">
      <c r="A642" s="25"/>
      <c r="B642" s="26"/>
      <c r="C642" s="25"/>
      <c r="D642" s="27"/>
      <c r="E642" s="25" t="str">
        <f ca="1">IF(ISBLANK(Entries[[#This Row],[Date]])," ",IFERROR(TODAY()-B642," "))</f>
        <v xml:space="preserve"> </v>
      </c>
    </row>
    <row r="643" spans="1:5" x14ac:dyDescent="0.25">
      <c r="A643" s="25"/>
      <c r="B643" s="26"/>
      <c r="C643" s="25"/>
      <c r="D643" s="27"/>
      <c r="E643" s="25" t="str">
        <f ca="1">IF(ISBLANK(Entries[[#This Row],[Date]])," ",IFERROR(TODAY()-B643," "))</f>
        <v xml:space="preserve"> </v>
      </c>
    </row>
    <row r="644" spans="1:5" x14ac:dyDescent="0.25">
      <c r="A644" s="25"/>
      <c r="B644" s="26"/>
      <c r="C644" s="25"/>
      <c r="D644" s="27"/>
      <c r="E644" s="25" t="str">
        <f ca="1">IF(ISBLANK(Entries[[#This Row],[Date]])," ",IFERROR(TODAY()-B644," "))</f>
        <v xml:space="preserve"> </v>
      </c>
    </row>
    <row r="645" spans="1:5" x14ac:dyDescent="0.25">
      <c r="A645" s="25"/>
      <c r="B645" s="26"/>
      <c r="C645" s="25"/>
      <c r="D645" s="27"/>
      <c r="E645" s="25" t="str">
        <f ca="1">IF(ISBLANK(Entries[[#This Row],[Date]])," ",IFERROR(TODAY()-B645," "))</f>
        <v xml:space="preserve"> </v>
      </c>
    </row>
    <row r="646" spans="1:5" x14ac:dyDescent="0.25">
      <c r="A646" s="25"/>
      <c r="B646" s="26"/>
      <c r="C646" s="25"/>
      <c r="D646" s="27"/>
      <c r="E646" s="25" t="str">
        <f ca="1">IF(ISBLANK(Entries[[#This Row],[Date]])," ",IFERROR(TODAY()-B646," "))</f>
        <v xml:space="preserve"> </v>
      </c>
    </row>
    <row r="647" spans="1:5" x14ac:dyDescent="0.25">
      <c r="A647" s="25"/>
      <c r="B647" s="26"/>
      <c r="C647" s="25"/>
      <c r="D647" s="27"/>
      <c r="E647" s="25" t="str">
        <f ca="1">IF(ISBLANK(Entries[[#This Row],[Date]])," ",IFERROR(TODAY()-B647," "))</f>
        <v xml:space="preserve"> </v>
      </c>
    </row>
    <row r="648" spans="1:5" x14ac:dyDescent="0.25">
      <c r="A648" s="25"/>
      <c r="B648" s="26"/>
      <c r="C648" s="25"/>
      <c r="D648" s="27"/>
      <c r="E648" s="25" t="str">
        <f ca="1">IF(ISBLANK(Entries[[#This Row],[Date]])," ",IFERROR(TODAY()-B648," "))</f>
        <v xml:space="preserve"> </v>
      </c>
    </row>
    <row r="649" spans="1:5" x14ac:dyDescent="0.25">
      <c r="A649" s="25"/>
      <c r="B649" s="26"/>
      <c r="C649" s="25"/>
      <c r="D649" s="27"/>
      <c r="E649" s="25" t="str">
        <f ca="1">IF(ISBLANK(Entries[[#This Row],[Date]])," ",IFERROR(TODAY()-B649," "))</f>
        <v xml:space="preserve"> </v>
      </c>
    </row>
    <row r="650" spans="1:5" x14ac:dyDescent="0.25">
      <c r="A650" s="25"/>
      <c r="B650" s="26"/>
      <c r="C650" s="25"/>
      <c r="D650" s="27"/>
      <c r="E650" s="25" t="str">
        <f ca="1">IF(ISBLANK(Entries[[#This Row],[Date]])," ",IFERROR(TODAY()-B650," "))</f>
        <v xml:space="preserve"> </v>
      </c>
    </row>
    <row r="651" spans="1:5" x14ac:dyDescent="0.25">
      <c r="A651" s="25"/>
      <c r="B651" s="26"/>
      <c r="C651" s="25"/>
      <c r="D651" s="27"/>
      <c r="E651" s="25" t="str">
        <f ca="1">IF(ISBLANK(Entries[[#This Row],[Date]])," ",IFERROR(TODAY()-B651," "))</f>
        <v xml:space="preserve"> </v>
      </c>
    </row>
    <row r="652" spans="1:5" x14ac:dyDescent="0.25">
      <c r="A652" s="25"/>
      <c r="B652" s="26"/>
      <c r="C652" s="25"/>
      <c r="D652" s="27"/>
      <c r="E652" s="25" t="str">
        <f ca="1">IF(ISBLANK(Entries[[#This Row],[Date]])," ",IFERROR(TODAY()-B652," "))</f>
        <v xml:space="preserve"> </v>
      </c>
    </row>
    <row r="653" spans="1:5" x14ac:dyDescent="0.25">
      <c r="A653" s="25"/>
      <c r="B653" s="26"/>
      <c r="C653" s="25"/>
      <c r="D653" s="27"/>
      <c r="E653" s="25" t="str">
        <f ca="1">IF(ISBLANK(Entries[[#This Row],[Date]])," ",IFERROR(TODAY()-B653," "))</f>
        <v xml:space="preserve"> </v>
      </c>
    </row>
    <row r="654" spans="1:5" x14ac:dyDescent="0.25">
      <c r="A654" s="25"/>
      <c r="B654" s="26"/>
      <c r="C654" s="25"/>
      <c r="D654" s="27"/>
      <c r="E654" s="25" t="str">
        <f ca="1">IF(ISBLANK(Entries[[#This Row],[Date]])," ",IFERROR(TODAY()-B654," "))</f>
        <v xml:space="preserve"> </v>
      </c>
    </row>
    <row r="655" spans="1:5" x14ac:dyDescent="0.25">
      <c r="A655" s="25"/>
      <c r="B655" s="26"/>
      <c r="C655" s="25"/>
      <c r="D655" s="27"/>
      <c r="E655" s="25" t="str">
        <f ca="1">IF(ISBLANK(Entries[[#This Row],[Date]])," ",IFERROR(TODAY()-B655," "))</f>
        <v xml:space="preserve"> </v>
      </c>
    </row>
    <row r="656" spans="1:5" x14ac:dyDescent="0.25">
      <c r="A656" s="25"/>
      <c r="B656" s="26"/>
      <c r="C656" s="25"/>
      <c r="D656" s="27"/>
      <c r="E656" s="25" t="str">
        <f ca="1">IF(ISBLANK(Entries[[#This Row],[Date]])," ",IFERROR(TODAY()-B656," "))</f>
        <v xml:space="preserve"> </v>
      </c>
    </row>
    <row r="657" spans="1:5" x14ac:dyDescent="0.25">
      <c r="A657" s="25"/>
      <c r="B657" s="26"/>
      <c r="C657" s="25"/>
      <c r="D657" s="27"/>
      <c r="E657" s="25" t="str">
        <f ca="1">IF(ISBLANK(Entries[[#This Row],[Date]])," ",IFERROR(TODAY()-B657," "))</f>
        <v xml:space="preserve"> </v>
      </c>
    </row>
    <row r="658" spans="1:5" x14ac:dyDescent="0.25">
      <c r="A658" s="25"/>
      <c r="B658" s="26"/>
      <c r="C658" s="25"/>
      <c r="D658" s="27"/>
      <c r="E658" s="25" t="str">
        <f ca="1">IF(ISBLANK(Entries[[#This Row],[Date]])," ",IFERROR(TODAY()-B658," "))</f>
        <v xml:space="preserve"> </v>
      </c>
    </row>
    <row r="659" spans="1:5" x14ac:dyDescent="0.25">
      <c r="A659" s="25"/>
      <c r="B659" s="26"/>
      <c r="C659" s="25"/>
      <c r="D659" s="27"/>
      <c r="E659" s="25" t="str">
        <f ca="1">IF(ISBLANK(Entries[[#This Row],[Date]])," ",IFERROR(TODAY()-B659," "))</f>
        <v xml:space="preserve"> </v>
      </c>
    </row>
    <row r="660" spans="1:5" x14ac:dyDescent="0.25">
      <c r="A660" s="25"/>
      <c r="B660" s="26"/>
      <c r="C660" s="25"/>
      <c r="D660" s="27"/>
      <c r="E660" s="25" t="str">
        <f ca="1">IF(ISBLANK(Entries[[#This Row],[Date]])," ",IFERROR(TODAY()-B660," "))</f>
        <v xml:space="preserve"> </v>
      </c>
    </row>
    <row r="661" spans="1:5" x14ac:dyDescent="0.25">
      <c r="A661" s="25"/>
      <c r="B661" s="26"/>
      <c r="C661" s="25"/>
      <c r="D661" s="27"/>
      <c r="E661" s="25" t="str">
        <f ca="1">IF(ISBLANK(Entries[[#This Row],[Date]])," ",IFERROR(TODAY()-B661," "))</f>
        <v xml:space="preserve"> </v>
      </c>
    </row>
    <row r="662" spans="1:5" x14ac:dyDescent="0.25">
      <c r="A662" s="25"/>
      <c r="B662" s="26"/>
      <c r="C662" s="25"/>
      <c r="D662" s="27"/>
      <c r="E662" s="25" t="str">
        <f ca="1">IF(ISBLANK(Entries[[#This Row],[Date]])," ",IFERROR(TODAY()-B662," "))</f>
        <v xml:space="preserve"> </v>
      </c>
    </row>
    <row r="663" spans="1:5" x14ac:dyDescent="0.25">
      <c r="A663" s="25"/>
      <c r="B663" s="26"/>
      <c r="C663" s="25"/>
      <c r="D663" s="27"/>
      <c r="E663" s="25" t="str">
        <f ca="1">IF(ISBLANK(Entries[[#This Row],[Date]])," ",IFERROR(TODAY()-B663," "))</f>
        <v xml:space="preserve"> </v>
      </c>
    </row>
    <row r="664" spans="1:5" x14ac:dyDescent="0.25">
      <c r="A664" s="25"/>
      <c r="B664" s="26"/>
      <c r="C664" s="25"/>
      <c r="D664" s="27"/>
      <c r="E664" s="25" t="str">
        <f ca="1">IF(ISBLANK(Entries[[#This Row],[Date]])," ",IFERROR(TODAY()-B664," "))</f>
        <v xml:space="preserve"> </v>
      </c>
    </row>
    <row r="665" spans="1:5" x14ac:dyDescent="0.25">
      <c r="A665" s="25"/>
      <c r="B665" s="26"/>
      <c r="C665" s="25"/>
      <c r="D665" s="27"/>
      <c r="E665" s="25" t="str">
        <f ca="1">IF(ISBLANK(Entries[[#This Row],[Date]])," ",IFERROR(TODAY()-B665," "))</f>
        <v xml:space="preserve"> </v>
      </c>
    </row>
    <row r="666" spans="1:5" x14ac:dyDescent="0.25">
      <c r="A666" s="25"/>
      <c r="B666" s="26"/>
      <c r="C666" s="25"/>
      <c r="D666" s="27"/>
      <c r="E666" s="25" t="str">
        <f ca="1">IF(ISBLANK(Entries[[#This Row],[Date]])," ",IFERROR(TODAY()-B666," "))</f>
        <v xml:space="preserve"> </v>
      </c>
    </row>
    <row r="667" spans="1:5" x14ac:dyDescent="0.25">
      <c r="A667" s="25"/>
      <c r="B667" s="26"/>
      <c r="C667" s="25"/>
      <c r="D667" s="27"/>
      <c r="E667" s="25" t="str">
        <f ca="1">IF(ISBLANK(Entries[[#This Row],[Date]])," ",IFERROR(TODAY()-B667," "))</f>
        <v xml:space="preserve"> </v>
      </c>
    </row>
    <row r="668" spans="1:5" x14ac:dyDescent="0.25">
      <c r="A668" s="25"/>
      <c r="B668" s="26"/>
      <c r="C668" s="25"/>
      <c r="D668" s="27"/>
      <c r="E668" s="25" t="str">
        <f ca="1">IF(ISBLANK(Entries[[#This Row],[Date]])," ",IFERROR(TODAY()-B668," "))</f>
        <v xml:space="preserve"> </v>
      </c>
    </row>
    <row r="669" spans="1:5" x14ac:dyDescent="0.25">
      <c r="A669" s="25"/>
      <c r="B669" s="26"/>
      <c r="C669" s="25"/>
      <c r="D669" s="27"/>
      <c r="E669" s="25" t="str">
        <f ca="1">IF(ISBLANK(Entries[[#This Row],[Date]])," ",IFERROR(TODAY()-B669," "))</f>
        <v xml:space="preserve"> </v>
      </c>
    </row>
    <row r="670" spans="1:5" x14ac:dyDescent="0.25">
      <c r="A670" s="25"/>
      <c r="B670" s="26"/>
      <c r="C670" s="25"/>
      <c r="D670" s="27"/>
      <c r="E670" s="25" t="str">
        <f ca="1">IF(ISBLANK(Entries[[#This Row],[Date]])," ",IFERROR(TODAY()-B670," "))</f>
        <v xml:space="preserve"> </v>
      </c>
    </row>
    <row r="671" spans="1:5" x14ac:dyDescent="0.25">
      <c r="A671" s="25"/>
      <c r="B671" s="26"/>
      <c r="C671" s="25"/>
      <c r="D671" s="27"/>
      <c r="E671" s="25" t="str">
        <f ca="1">IF(ISBLANK(Entries[[#This Row],[Date]])," ",IFERROR(TODAY()-B671," "))</f>
        <v xml:space="preserve"> </v>
      </c>
    </row>
    <row r="672" spans="1:5" x14ac:dyDescent="0.25">
      <c r="A672" s="25"/>
      <c r="B672" s="26"/>
      <c r="C672" s="25"/>
      <c r="D672" s="27"/>
      <c r="E672" s="25" t="str">
        <f ca="1">IF(ISBLANK(Entries[[#This Row],[Date]])," ",IFERROR(TODAY()-B672," "))</f>
        <v xml:space="preserve"> </v>
      </c>
    </row>
    <row r="673" spans="1:5" x14ac:dyDescent="0.25">
      <c r="A673" s="25"/>
      <c r="B673" s="26"/>
      <c r="C673" s="25"/>
      <c r="D673" s="27"/>
      <c r="E673" s="25" t="str">
        <f ca="1">IF(ISBLANK(Entries[[#This Row],[Date]])," ",IFERROR(TODAY()-B673," "))</f>
        <v xml:space="preserve"> </v>
      </c>
    </row>
    <row r="674" spans="1:5" x14ac:dyDescent="0.25">
      <c r="A674" s="25"/>
      <c r="B674" s="26"/>
      <c r="C674" s="25"/>
      <c r="D674" s="27"/>
      <c r="E674" s="25" t="str">
        <f ca="1">IF(ISBLANK(Entries[[#This Row],[Date]])," ",IFERROR(TODAY()-B674," "))</f>
        <v xml:space="preserve"> </v>
      </c>
    </row>
    <row r="675" spans="1:5" x14ac:dyDescent="0.25">
      <c r="A675" s="25"/>
      <c r="B675" s="26"/>
      <c r="C675" s="25"/>
      <c r="D675" s="27"/>
      <c r="E675" s="25" t="str">
        <f ca="1">IF(ISBLANK(Entries[[#This Row],[Date]])," ",IFERROR(TODAY()-B675," "))</f>
        <v xml:space="preserve"> </v>
      </c>
    </row>
    <row r="676" spans="1:5" x14ac:dyDescent="0.25">
      <c r="A676" s="25"/>
      <c r="B676" s="26"/>
      <c r="C676" s="25"/>
      <c r="D676" s="27"/>
      <c r="E676" s="25" t="str">
        <f ca="1">IF(ISBLANK(Entries[[#This Row],[Date]])," ",IFERROR(TODAY()-B676," "))</f>
        <v xml:space="preserve"> </v>
      </c>
    </row>
    <row r="677" spans="1:5" x14ac:dyDescent="0.25">
      <c r="A677" s="25"/>
      <c r="B677" s="26"/>
      <c r="C677" s="25"/>
      <c r="D677" s="27"/>
      <c r="E677" s="25" t="str">
        <f ca="1">IF(ISBLANK(Entries[[#This Row],[Date]])," ",IFERROR(TODAY()-B677," "))</f>
        <v xml:space="preserve"> </v>
      </c>
    </row>
    <row r="678" spans="1:5" x14ac:dyDescent="0.25">
      <c r="A678" s="25"/>
      <c r="B678" s="26"/>
      <c r="C678" s="25"/>
      <c r="D678" s="27"/>
      <c r="E678" s="25" t="str">
        <f ca="1">IF(ISBLANK(Entries[[#This Row],[Date]])," ",IFERROR(TODAY()-B678," "))</f>
        <v xml:space="preserve"> </v>
      </c>
    </row>
    <row r="679" spans="1:5" x14ac:dyDescent="0.25">
      <c r="A679" s="25"/>
      <c r="B679" s="26"/>
      <c r="C679" s="25"/>
      <c r="D679" s="27"/>
      <c r="E679" s="25" t="str">
        <f ca="1">IF(ISBLANK(Entries[[#This Row],[Date]])," ",IFERROR(TODAY()-B679," "))</f>
        <v xml:space="preserve"> </v>
      </c>
    </row>
    <row r="680" spans="1:5" x14ac:dyDescent="0.25">
      <c r="A680" s="25"/>
      <c r="B680" s="26"/>
      <c r="C680" s="25"/>
      <c r="D680" s="27"/>
      <c r="E680" s="25" t="str">
        <f ca="1">IF(ISBLANK(Entries[[#This Row],[Date]])," ",IFERROR(TODAY()-B680," "))</f>
        <v xml:space="preserve"> </v>
      </c>
    </row>
    <row r="681" spans="1:5" x14ac:dyDescent="0.25">
      <c r="A681" s="25"/>
      <c r="B681" s="26"/>
      <c r="C681" s="25"/>
      <c r="D681" s="27"/>
      <c r="E681" s="25" t="str">
        <f ca="1">IF(ISBLANK(Entries[[#This Row],[Date]])," ",IFERROR(TODAY()-B681," "))</f>
        <v xml:space="preserve"> </v>
      </c>
    </row>
    <row r="682" spans="1:5" x14ac:dyDescent="0.25">
      <c r="A682" s="25"/>
      <c r="B682" s="26"/>
      <c r="C682" s="25"/>
      <c r="D682" s="27"/>
      <c r="E682" s="25" t="str">
        <f ca="1">IF(ISBLANK(Entries[[#This Row],[Date]])," ",IFERROR(TODAY()-B682," "))</f>
        <v xml:space="preserve"> </v>
      </c>
    </row>
    <row r="683" spans="1:5" x14ac:dyDescent="0.25">
      <c r="A683" s="25"/>
      <c r="B683" s="26"/>
      <c r="C683" s="25"/>
      <c r="D683" s="27"/>
      <c r="E683" s="25" t="str">
        <f ca="1">IF(ISBLANK(Entries[[#This Row],[Date]])," ",IFERROR(TODAY()-B683," "))</f>
        <v xml:space="preserve"> </v>
      </c>
    </row>
    <row r="684" spans="1:5" x14ac:dyDescent="0.25">
      <c r="A684" s="25"/>
      <c r="B684" s="26"/>
      <c r="C684" s="25"/>
      <c r="D684" s="27"/>
      <c r="E684" s="25" t="str">
        <f ca="1">IF(ISBLANK(Entries[[#This Row],[Date]])," ",IFERROR(TODAY()-B684," "))</f>
        <v xml:space="preserve"> </v>
      </c>
    </row>
    <row r="685" spans="1:5" x14ac:dyDescent="0.25">
      <c r="A685" s="25"/>
      <c r="B685" s="26"/>
      <c r="C685" s="25"/>
      <c r="D685" s="27"/>
      <c r="E685" s="25" t="str">
        <f ca="1">IF(ISBLANK(Entries[[#This Row],[Date]])," ",IFERROR(TODAY()-B685," "))</f>
        <v xml:space="preserve"> </v>
      </c>
    </row>
    <row r="686" spans="1:5" x14ac:dyDescent="0.25">
      <c r="A686" s="25"/>
      <c r="B686" s="26"/>
      <c r="C686" s="25"/>
      <c r="D686" s="27"/>
      <c r="E686" s="25" t="str">
        <f ca="1">IF(ISBLANK(Entries[[#This Row],[Date]])," ",IFERROR(TODAY()-B686," "))</f>
        <v xml:space="preserve"> </v>
      </c>
    </row>
    <row r="687" spans="1:5" x14ac:dyDescent="0.25">
      <c r="A687" s="25"/>
      <c r="B687" s="26"/>
      <c r="C687" s="25"/>
      <c r="D687" s="27"/>
      <c r="E687" s="25" t="str">
        <f ca="1">IF(ISBLANK(Entries[[#This Row],[Date]])," ",IFERROR(TODAY()-B687," "))</f>
        <v xml:space="preserve"> </v>
      </c>
    </row>
    <row r="688" spans="1:5" x14ac:dyDescent="0.25">
      <c r="A688" s="25"/>
      <c r="B688" s="26"/>
      <c r="C688" s="25"/>
      <c r="D688" s="27"/>
      <c r="E688" s="25" t="str">
        <f ca="1">IF(ISBLANK(Entries[[#This Row],[Date]])," ",IFERROR(TODAY()-B688," "))</f>
        <v xml:space="preserve"> </v>
      </c>
    </row>
    <row r="689" spans="1:5" x14ac:dyDescent="0.25">
      <c r="A689" s="25"/>
      <c r="B689" s="26"/>
      <c r="C689" s="25"/>
      <c r="D689" s="27"/>
      <c r="E689" s="25" t="str">
        <f ca="1">IF(ISBLANK(Entries[[#This Row],[Date]])," ",IFERROR(TODAY()-B689," "))</f>
        <v xml:space="preserve"> </v>
      </c>
    </row>
    <row r="690" spans="1:5" x14ac:dyDescent="0.25">
      <c r="A690" s="25"/>
      <c r="B690" s="26"/>
      <c r="C690" s="25"/>
      <c r="D690" s="27"/>
      <c r="E690" s="25" t="str">
        <f ca="1">IF(ISBLANK(Entries[[#This Row],[Date]])," ",IFERROR(TODAY()-B690," "))</f>
        <v xml:space="preserve"> </v>
      </c>
    </row>
    <row r="691" spans="1:5" x14ac:dyDescent="0.25">
      <c r="A691" s="25"/>
      <c r="B691" s="26"/>
      <c r="C691" s="25"/>
      <c r="D691" s="27"/>
      <c r="E691" s="25" t="str">
        <f ca="1">IF(ISBLANK(Entries[[#This Row],[Date]])," ",IFERROR(TODAY()-B691," "))</f>
        <v xml:space="preserve"> </v>
      </c>
    </row>
    <row r="692" spans="1:5" x14ac:dyDescent="0.25">
      <c r="A692" s="25"/>
      <c r="B692" s="26"/>
      <c r="C692" s="25"/>
      <c r="D692" s="27"/>
      <c r="E692" s="25" t="str">
        <f ca="1">IF(ISBLANK(Entries[[#This Row],[Date]])," ",IFERROR(TODAY()-B692," "))</f>
        <v xml:space="preserve"> </v>
      </c>
    </row>
    <row r="693" spans="1:5" x14ac:dyDescent="0.25">
      <c r="A693" s="25"/>
      <c r="B693" s="26"/>
      <c r="C693" s="25"/>
      <c r="D693" s="27"/>
      <c r="E693" s="25" t="str">
        <f ca="1">IF(ISBLANK(Entries[[#This Row],[Date]])," ",IFERROR(TODAY()-B693," "))</f>
        <v xml:space="preserve"> </v>
      </c>
    </row>
    <row r="694" spans="1:5" x14ac:dyDescent="0.25">
      <c r="A694" s="25"/>
      <c r="B694" s="26"/>
      <c r="C694" s="25"/>
      <c r="D694" s="27"/>
      <c r="E694" s="25" t="str">
        <f ca="1">IF(ISBLANK(Entries[[#This Row],[Date]])," ",IFERROR(TODAY()-B694," "))</f>
        <v xml:space="preserve"> </v>
      </c>
    </row>
    <row r="695" spans="1:5" x14ac:dyDescent="0.25">
      <c r="A695" s="25"/>
      <c r="B695" s="26"/>
      <c r="C695" s="25"/>
      <c r="D695" s="27"/>
      <c r="E695" s="25" t="str">
        <f ca="1">IF(ISBLANK(Entries[[#This Row],[Date]])," ",IFERROR(TODAY()-B695," "))</f>
        <v xml:space="preserve"> </v>
      </c>
    </row>
    <row r="696" spans="1:5" x14ac:dyDescent="0.25">
      <c r="A696" s="25"/>
      <c r="B696" s="26"/>
      <c r="C696" s="25"/>
      <c r="D696" s="27"/>
      <c r="E696" s="25" t="str">
        <f ca="1">IF(ISBLANK(Entries[[#This Row],[Date]])," ",IFERROR(TODAY()-B696," "))</f>
        <v xml:space="preserve"> </v>
      </c>
    </row>
    <row r="697" spans="1:5" x14ac:dyDescent="0.25">
      <c r="A697" s="25"/>
      <c r="B697" s="26"/>
      <c r="C697" s="25"/>
      <c r="D697" s="27"/>
      <c r="E697" s="25" t="str">
        <f ca="1">IF(ISBLANK(Entries[[#This Row],[Date]])," ",IFERROR(TODAY()-B697," "))</f>
        <v xml:space="preserve"> </v>
      </c>
    </row>
    <row r="698" spans="1:5" x14ac:dyDescent="0.25">
      <c r="A698" s="25"/>
      <c r="B698" s="26"/>
      <c r="C698" s="25"/>
      <c r="D698" s="27"/>
      <c r="E698" s="25" t="str">
        <f ca="1">IF(ISBLANK(Entries[[#This Row],[Date]])," ",IFERROR(TODAY()-B698," "))</f>
        <v xml:space="preserve"> </v>
      </c>
    </row>
    <row r="699" spans="1:5" x14ac:dyDescent="0.25">
      <c r="A699" s="25"/>
      <c r="B699" s="26"/>
      <c r="C699" s="25"/>
      <c r="D699" s="27"/>
      <c r="E699" s="25" t="str">
        <f ca="1">IF(ISBLANK(Entries[[#This Row],[Date]])," ",IFERROR(TODAY()-B699," "))</f>
        <v xml:space="preserve"> </v>
      </c>
    </row>
    <row r="700" spans="1:5" x14ac:dyDescent="0.25">
      <c r="A700" s="25"/>
      <c r="B700" s="26"/>
      <c r="C700" s="25"/>
      <c r="D700" s="27"/>
      <c r="E700" s="25" t="str">
        <f ca="1">IF(ISBLANK(Entries[[#This Row],[Date]])," ",IFERROR(TODAY()-B700," "))</f>
        <v xml:space="preserve"> </v>
      </c>
    </row>
    <row r="701" spans="1:5" x14ac:dyDescent="0.25">
      <c r="A701" s="25"/>
      <c r="B701" s="26"/>
      <c r="C701" s="25"/>
      <c r="D701" s="27"/>
      <c r="E701" s="25" t="str">
        <f ca="1">IF(ISBLANK(Entries[[#This Row],[Date]])," ",IFERROR(TODAY()-B701," "))</f>
        <v xml:space="preserve"> </v>
      </c>
    </row>
    <row r="702" spans="1:5" x14ac:dyDescent="0.25">
      <c r="A702" s="25"/>
      <c r="B702" s="26"/>
      <c r="C702" s="25"/>
      <c r="D702" s="27"/>
      <c r="E702" s="25" t="str">
        <f ca="1">IF(ISBLANK(Entries[[#This Row],[Date]])," ",IFERROR(TODAY()-B702," "))</f>
        <v xml:space="preserve"> </v>
      </c>
    </row>
    <row r="703" spans="1:5" x14ac:dyDescent="0.25">
      <c r="A703" s="25"/>
      <c r="B703" s="26"/>
      <c r="C703" s="25"/>
      <c r="D703" s="27"/>
      <c r="E703" s="25" t="str">
        <f ca="1">IF(ISBLANK(Entries[[#This Row],[Date]])," ",IFERROR(TODAY()-B703," "))</f>
        <v xml:space="preserve"> </v>
      </c>
    </row>
    <row r="704" spans="1:5" x14ac:dyDescent="0.25">
      <c r="A704" s="25"/>
      <c r="B704" s="26"/>
      <c r="C704" s="25"/>
      <c r="D704" s="27"/>
      <c r="E704" s="25" t="str">
        <f ca="1">IF(ISBLANK(Entries[[#This Row],[Date]])," ",IFERROR(TODAY()-B704," "))</f>
        <v xml:space="preserve"> </v>
      </c>
    </row>
    <row r="705" spans="1:5" x14ac:dyDescent="0.25">
      <c r="A705" s="25"/>
      <c r="B705" s="26"/>
      <c r="C705" s="25"/>
      <c r="D705" s="27"/>
      <c r="E705" s="25" t="str">
        <f ca="1">IF(ISBLANK(Entries[[#This Row],[Date]])," ",IFERROR(TODAY()-B705," "))</f>
        <v xml:space="preserve"> </v>
      </c>
    </row>
    <row r="706" spans="1:5" x14ac:dyDescent="0.25">
      <c r="A706" s="25"/>
      <c r="B706" s="26"/>
      <c r="C706" s="25"/>
      <c r="D706" s="27"/>
      <c r="E706" s="25" t="str">
        <f ca="1">IF(ISBLANK(Entries[[#This Row],[Date]])," ",IFERROR(TODAY()-B706," "))</f>
        <v xml:space="preserve"> </v>
      </c>
    </row>
    <row r="707" spans="1:5" x14ac:dyDescent="0.25">
      <c r="A707" s="25"/>
      <c r="B707" s="26"/>
      <c r="C707" s="25"/>
      <c r="D707" s="27"/>
      <c r="E707" s="25" t="str">
        <f ca="1">IF(ISBLANK(Entries[[#This Row],[Date]])," ",IFERROR(TODAY()-B707," "))</f>
        <v xml:space="preserve"> </v>
      </c>
    </row>
    <row r="708" spans="1:5" x14ac:dyDescent="0.25">
      <c r="A708" s="25"/>
      <c r="B708" s="26"/>
      <c r="C708" s="25"/>
      <c r="D708" s="27"/>
      <c r="E708" s="25" t="str">
        <f ca="1">IF(ISBLANK(Entries[[#This Row],[Date]])," ",IFERROR(TODAY()-B708," "))</f>
        <v xml:space="preserve"> </v>
      </c>
    </row>
    <row r="709" spans="1:5" x14ac:dyDescent="0.25">
      <c r="A709" s="25"/>
      <c r="B709" s="26"/>
      <c r="C709" s="25"/>
      <c r="D709" s="27"/>
      <c r="E709" s="25" t="str">
        <f ca="1">IF(ISBLANK(Entries[[#This Row],[Date]])," ",IFERROR(TODAY()-B709," "))</f>
        <v xml:space="preserve"> </v>
      </c>
    </row>
    <row r="710" spans="1:5" x14ac:dyDescent="0.25">
      <c r="A710" s="25"/>
      <c r="B710" s="26"/>
      <c r="C710" s="25"/>
      <c r="D710" s="27"/>
      <c r="E710" s="25" t="str">
        <f ca="1">IF(ISBLANK(Entries[[#This Row],[Date]])," ",IFERROR(TODAY()-B710," "))</f>
        <v xml:space="preserve"> </v>
      </c>
    </row>
    <row r="711" spans="1:5" x14ac:dyDescent="0.25">
      <c r="A711" s="25"/>
      <c r="B711" s="26"/>
      <c r="C711" s="25"/>
      <c r="D711" s="27"/>
      <c r="E711" s="25" t="str">
        <f ca="1">IF(ISBLANK(Entries[[#This Row],[Date]])," ",IFERROR(TODAY()-B711," "))</f>
        <v xml:space="preserve"> </v>
      </c>
    </row>
    <row r="712" spans="1:5" x14ac:dyDescent="0.25">
      <c r="A712" s="25"/>
      <c r="B712" s="26"/>
      <c r="C712" s="25"/>
      <c r="D712" s="27"/>
      <c r="E712" s="25" t="str">
        <f ca="1">IF(ISBLANK(Entries[[#This Row],[Date]])," ",IFERROR(TODAY()-B712," "))</f>
        <v xml:space="preserve"> </v>
      </c>
    </row>
    <row r="713" spans="1:5" x14ac:dyDescent="0.25">
      <c r="A713" s="25"/>
      <c r="B713" s="26"/>
      <c r="C713" s="25"/>
      <c r="D713" s="27"/>
      <c r="E713" s="25" t="str">
        <f ca="1">IF(ISBLANK(Entries[[#This Row],[Date]])," ",IFERROR(TODAY()-B713," "))</f>
        <v xml:space="preserve"> </v>
      </c>
    </row>
    <row r="714" spans="1:5" x14ac:dyDescent="0.25">
      <c r="A714" s="25"/>
      <c r="B714" s="26"/>
      <c r="C714" s="25"/>
      <c r="D714" s="27"/>
      <c r="E714" s="25" t="str">
        <f ca="1">IF(ISBLANK(Entries[[#This Row],[Date]])," ",IFERROR(TODAY()-B714," "))</f>
        <v xml:space="preserve"> </v>
      </c>
    </row>
    <row r="715" spans="1:5" x14ac:dyDescent="0.25">
      <c r="A715" s="25"/>
      <c r="B715" s="26"/>
      <c r="C715" s="25"/>
      <c r="D715" s="27"/>
      <c r="E715" s="25" t="str">
        <f ca="1">IF(ISBLANK(Entries[[#This Row],[Date]])," ",IFERROR(TODAY()-B715," "))</f>
        <v xml:space="preserve"> </v>
      </c>
    </row>
    <row r="716" spans="1:5" x14ac:dyDescent="0.25">
      <c r="A716" s="25"/>
      <c r="B716" s="26"/>
      <c r="C716" s="25"/>
      <c r="D716" s="27"/>
      <c r="E716" s="25" t="str">
        <f ca="1">IF(ISBLANK(Entries[[#This Row],[Date]])," ",IFERROR(TODAY()-B716," "))</f>
        <v xml:space="preserve"> </v>
      </c>
    </row>
    <row r="717" spans="1:5" x14ac:dyDescent="0.25">
      <c r="A717" s="25"/>
      <c r="B717" s="26"/>
      <c r="C717" s="25"/>
      <c r="D717" s="27"/>
      <c r="E717" s="25" t="str">
        <f ca="1">IF(ISBLANK(Entries[[#This Row],[Date]])," ",IFERROR(TODAY()-B717," "))</f>
        <v xml:space="preserve"> </v>
      </c>
    </row>
    <row r="718" spans="1:5" x14ac:dyDescent="0.25">
      <c r="A718" s="25"/>
      <c r="B718" s="26"/>
      <c r="C718" s="25"/>
      <c r="D718" s="27"/>
      <c r="E718" s="25" t="str">
        <f ca="1">IF(ISBLANK(Entries[[#This Row],[Date]])," ",IFERROR(TODAY()-B718," "))</f>
        <v xml:space="preserve"> </v>
      </c>
    </row>
    <row r="719" spans="1:5" x14ac:dyDescent="0.25">
      <c r="A719" s="25"/>
      <c r="B719" s="26"/>
      <c r="C719" s="25"/>
      <c r="D719" s="27"/>
      <c r="E719" s="25" t="str">
        <f ca="1">IF(ISBLANK(Entries[[#This Row],[Date]])," ",IFERROR(TODAY()-B719," "))</f>
        <v xml:space="preserve"> </v>
      </c>
    </row>
    <row r="720" spans="1:5" x14ac:dyDescent="0.25">
      <c r="A720" s="25"/>
      <c r="B720" s="26"/>
      <c r="C720" s="25"/>
      <c r="D720" s="27"/>
      <c r="E720" s="25" t="str">
        <f ca="1">IF(ISBLANK(Entries[[#This Row],[Date]])," ",IFERROR(TODAY()-B720," "))</f>
        <v xml:space="preserve"> </v>
      </c>
    </row>
    <row r="721" spans="1:5" x14ac:dyDescent="0.25">
      <c r="A721" s="25"/>
      <c r="B721" s="26"/>
      <c r="C721" s="25"/>
      <c r="D721" s="27"/>
      <c r="E721" s="25" t="str">
        <f ca="1">IF(ISBLANK(Entries[[#This Row],[Date]])," ",IFERROR(TODAY()-B721," "))</f>
        <v xml:space="preserve"> </v>
      </c>
    </row>
    <row r="722" spans="1:5" x14ac:dyDescent="0.25">
      <c r="A722" s="25"/>
      <c r="B722" s="26"/>
      <c r="C722" s="25"/>
      <c r="D722" s="27"/>
      <c r="E722" s="25" t="str">
        <f ca="1">IF(ISBLANK(Entries[[#This Row],[Date]])," ",IFERROR(TODAY()-B722," "))</f>
        <v xml:space="preserve"> </v>
      </c>
    </row>
    <row r="723" spans="1:5" x14ac:dyDescent="0.25">
      <c r="A723" s="25"/>
      <c r="B723" s="26"/>
      <c r="C723" s="25"/>
      <c r="D723" s="27"/>
      <c r="E723" s="25" t="str">
        <f ca="1">IF(ISBLANK(Entries[[#This Row],[Date]])," ",IFERROR(TODAY()-B723," "))</f>
        <v xml:space="preserve"> </v>
      </c>
    </row>
    <row r="724" spans="1:5" x14ac:dyDescent="0.25">
      <c r="A724" s="25"/>
      <c r="B724" s="26"/>
      <c r="C724" s="25"/>
      <c r="D724" s="27"/>
      <c r="E724" s="25" t="str">
        <f ca="1">IF(ISBLANK(Entries[[#This Row],[Date]])," ",IFERROR(TODAY()-B724," "))</f>
        <v xml:space="preserve"> </v>
      </c>
    </row>
    <row r="725" spans="1:5" x14ac:dyDescent="0.25">
      <c r="A725" s="25"/>
      <c r="B725" s="26"/>
      <c r="C725" s="25"/>
      <c r="D725" s="27"/>
      <c r="E725" s="25" t="str">
        <f ca="1">IF(ISBLANK(Entries[[#This Row],[Date]])," ",IFERROR(TODAY()-B725," "))</f>
        <v xml:space="preserve"> </v>
      </c>
    </row>
    <row r="726" spans="1:5" x14ac:dyDescent="0.25">
      <c r="A726" s="25"/>
      <c r="B726" s="26"/>
      <c r="C726" s="25"/>
      <c r="D726" s="27"/>
      <c r="E726" s="25" t="str">
        <f ca="1">IF(ISBLANK(Entries[[#This Row],[Date]])," ",IFERROR(TODAY()-B726," "))</f>
        <v xml:space="preserve"> </v>
      </c>
    </row>
    <row r="727" spans="1:5" x14ac:dyDescent="0.25">
      <c r="A727" s="25"/>
      <c r="B727" s="26"/>
      <c r="C727" s="25"/>
      <c r="D727" s="27"/>
      <c r="E727" s="25" t="str">
        <f ca="1">IF(ISBLANK(Entries[[#This Row],[Date]])," ",IFERROR(TODAY()-B727," "))</f>
        <v xml:space="preserve"> </v>
      </c>
    </row>
    <row r="728" spans="1:5" x14ac:dyDescent="0.25">
      <c r="A728" s="25"/>
      <c r="B728" s="26"/>
      <c r="C728" s="25"/>
      <c r="D728" s="27"/>
      <c r="E728" s="25" t="str">
        <f ca="1">IF(ISBLANK(Entries[[#This Row],[Date]])," ",IFERROR(TODAY()-B728," "))</f>
        <v xml:space="preserve"> </v>
      </c>
    </row>
    <row r="729" spans="1:5" x14ac:dyDescent="0.25">
      <c r="A729" s="25"/>
      <c r="B729" s="26"/>
      <c r="C729" s="25"/>
      <c r="D729" s="27"/>
      <c r="E729" s="25" t="str">
        <f ca="1">IF(ISBLANK(Entries[[#This Row],[Date]])," ",IFERROR(TODAY()-B729," "))</f>
        <v xml:space="preserve"> </v>
      </c>
    </row>
    <row r="730" spans="1:5" x14ac:dyDescent="0.25">
      <c r="A730" s="25"/>
      <c r="B730" s="26"/>
      <c r="C730" s="25"/>
      <c r="D730" s="27"/>
      <c r="E730" s="25" t="str">
        <f ca="1">IF(ISBLANK(Entries[[#This Row],[Date]])," ",IFERROR(TODAY()-B730," "))</f>
        <v xml:space="preserve"> </v>
      </c>
    </row>
    <row r="731" spans="1:5" x14ac:dyDescent="0.25">
      <c r="A731" s="25"/>
      <c r="B731" s="26"/>
      <c r="C731" s="25"/>
      <c r="D731" s="27"/>
      <c r="E731" s="25" t="str">
        <f ca="1">IF(ISBLANK(Entries[[#This Row],[Date]])," ",IFERROR(TODAY()-B731," "))</f>
        <v xml:space="preserve"> </v>
      </c>
    </row>
    <row r="732" spans="1:5" x14ac:dyDescent="0.25">
      <c r="A732" s="25"/>
      <c r="B732" s="26"/>
      <c r="C732" s="25"/>
      <c r="D732" s="27"/>
      <c r="E732" s="25" t="str">
        <f ca="1">IF(ISBLANK(Entries[[#This Row],[Date]])," ",IFERROR(TODAY()-B732," "))</f>
        <v xml:space="preserve"> </v>
      </c>
    </row>
    <row r="733" spans="1:5" x14ac:dyDescent="0.25">
      <c r="A733" s="25"/>
      <c r="B733" s="26"/>
      <c r="C733" s="25"/>
      <c r="D733" s="27"/>
      <c r="E733" s="25" t="str">
        <f ca="1">IF(ISBLANK(Entries[[#This Row],[Date]])," ",IFERROR(TODAY()-B733," "))</f>
        <v xml:space="preserve"> </v>
      </c>
    </row>
    <row r="734" spans="1:5" x14ac:dyDescent="0.25">
      <c r="A734" s="25"/>
      <c r="B734" s="26"/>
      <c r="C734" s="25"/>
      <c r="D734" s="27"/>
      <c r="E734" s="25" t="str">
        <f ca="1">IF(ISBLANK(Entries[[#This Row],[Date]])," ",IFERROR(TODAY()-B734," "))</f>
        <v xml:space="preserve"> </v>
      </c>
    </row>
    <row r="735" spans="1:5" x14ac:dyDescent="0.25">
      <c r="A735" s="25"/>
      <c r="B735" s="26"/>
      <c r="C735" s="25"/>
      <c r="D735" s="27"/>
      <c r="E735" s="25" t="str">
        <f ca="1">IF(ISBLANK(Entries[[#This Row],[Date]])," ",IFERROR(TODAY()-B735," "))</f>
        <v xml:space="preserve"> </v>
      </c>
    </row>
    <row r="736" spans="1:5" x14ac:dyDescent="0.25">
      <c r="A736" s="25"/>
      <c r="B736" s="26"/>
      <c r="C736" s="25"/>
      <c r="D736" s="27"/>
      <c r="E736" s="25" t="str">
        <f ca="1">IF(ISBLANK(Entries[[#This Row],[Date]])," ",IFERROR(TODAY()-B736," "))</f>
        <v xml:space="preserve"> </v>
      </c>
    </row>
    <row r="737" spans="1:5" x14ac:dyDescent="0.25">
      <c r="A737" s="25"/>
      <c r="B737" s="26"/>
      <c r="C737" s="25"/>
      <c r="D737" s="27"/>
      <c r="E737" s="25" t="str">
        <f ca="1">IF(ISBLANK(Entries[[#This Row],[Date]])," ",IFERROR(TODAY()-B737," "))</f>
        <v xml:space="preserve"> </v>
      </c>
    </row>
    <row r="738" spans="1:5" x14ac:dyDescent="0.25">
      <c r="A738" s="25"/>
      <c r="B738" s="26"/>
      <c r="C738" s="25"/>
      <c r="D738" s="27"/>
      <c r="E738" s="25" t="str">
        <f ca="1">IF(ISBLANK(Entries[[#This Row],[Date]])," ",IFERROR(TODAY()-B738," "))</f>
        <v xml:space="preserve"> </v>
      </c>
    </row>
    <row r="739" spans="1:5" x14ac:dyDescent="0.25">
      <c r="A739" s="25"/>
      <c r="B739" s="26"/>
      <c r="C739" s="25"/>
      <c r="D739" s="27"/>
      <c r="E739" s="25" t="str">
        <f ca="1">IF(ISBLANK(Entries[[#This Row],[Date]])," ",IFERROR(TODAY()-B739," "))</f>
        <v xml:space="preserve"> </v>
      </c>
    </row>
    <row r="740" spans="1:5" x14ac:dyDescent="0.25">
      <c r="A740" s="25"/>
      <c r="B740" s="26"/>
      <c r="C740" s="25"/>
      <c r="D740" s="27"/>
      <c r="E740" s="25" t="str">
        <f ca="1">IF(ISBLANK(Entries[[#This Row],[Date]])," ",IFERROR(TODAY()-B740," "))</f>
        <v xml:space="preserve"> </v>
      </c>
    </row>
    <row r="741" spans="1:5" x14ac:dyDescent="0.25">
      <c r="A741" s="25"/>
      <c r="B741" s="26"/>
      <c r="C741" s="25"/>
      <c r="D741" s="27"/>
      <c r="E741" s="25" t="str">
        <f ca="1">IF(ISBLANK(Entries[[#This Row],[Date]])," ",IFERROR(TODAY()-B741," "))</f>
        <v xml:space="preserve"> </v>
      </c>
    </row>
    <row r="742" spans="1:5" x14ac:dyDescent="0.25">
      <c r="A742" s="25"/>
      <c r="B742" s="26"/>
      <c r="C742" s="25"/>
      <c r="D742" s="27"/>
      <c r="E742" s="25" t="str">
        <f ca="1">IF(ISBLANK(Entries[[#This Row],[Date]])," ",IFERROR(TODAY()-B742," "))</f>
        <v xml:space="preserve"> </v>
      </c>
    </row>
    <row r="743" spans="1:5" x14ac:dyDescent="0.25">
      <c r="A743" s="25"/>
      <c r="B743" s="26"/>
      <c r="C743" s="25"/>
      <c r="D743" s="27"/>
      <c r="E743" s="25" t="str">
        <f ca="1">IF(ISBLANK(Entries[[#This Row],[Date]])," ",IFERROR(TODAY()-B743," "))</f>
        <v xml:space="preserve"> </v>
      </c>
    </row>
    <row r="744" spans="1:5" x14ac:dyDescent="0.25">
      <c r="A744" s="25"/>
      <c r="B744" s="26"/>
      <c r="C744" s="25"/>
      <c r="D744" s="27"/>
      <c r="E744" s="25" t="str">
        <f ca="1">IF(ISBLANK(Entries[[#This Row],[Date]])," ",IFERROR(TODAY()-B744," "))</f>
        <v xml:space="preserve"> </v>
      </c>
    </row>
    <row r="745" spans="1:5" x14ac:dyDescent="0.25">
      <c r="A745" s="25"/>
      <c r="B745" s="26"/>
      <c r="C745" s="25"/>
      <c r="D745" s="27"/>
      <c r="E745" s="25" t="str">
        <f ca="1">IF(ISBLANK(Entries[[#This Row],[Date]])," ",IFERROR(TODAY()-B745," "))</f>
        <v xml:space="preserve"> </v>
      </c>
    </row>
    <row r="746" spans="1:5" x14ac:dyDescent="0.25">
      <c r="A746" s="25"/>
      <c r="B746" s="26"/>
      <c r="C746" s="25"/>
      <c r="D746" s="27"/>
      <c r="E746" s="25" t="str">
        <f ca="1">IF(ISBLANK(Entries[[#This Row],[Date]])," ",IFERROR(TODAY()-B746," "))</f>
        <v xml:space="preserve"> </v>
      </c>
    </row>
    <row r="747" spans="1:5" x14ac:dyDescent="0.25">
      <c r="A747" s="25"/>
      <c r="B747" s="26"/>
      <c r="C747" s="25"/>
      <c r="D747" s="27"/>
      <c r="E747" s="25" t="str">
        <f ca="1">IF(ISBLANK(Entries[[#This Row],[Date]])," ",IFERROR(TODAY()-B747," "))</f>
        <v xml:space="preserve"> </v>
      </c>
    </row>
    <row r="748" spans="1:5" x14ac:dyDescent="0.25">
      <c r="A748" s="25"/>
      <c r="B748" s="26"/>
      <c r="C748" s="25"/>
      <c r="D748" s="27"/>
      <c r="E748" s="25" t="str">
        <f ca="1">IF(ISBLANK(Entries[[#This Row],[Date]])," ",IFERROR(TODAY()-B748," "))</f>
        <v xml:space="preserve"> </v>
      </c>
    </row>
    <row r="749" spans="1:5" x14ac:dyDescent="0.25">
      <c r="A749" s="25"/>
      <c r="B749" s="26"/>
      <c r="C749" s="25"/>
      <c r="D749" s="27"/>
      <c r="E749" s="25" t="str">
        <f ca="1">IF(ISBLANK(Entries[[#This Row],[Date]])," ",IFERROR(TODAY()-B749," "))</f>
        <v xml:space="preserve"> </v>
      </c>
    </row>
    <row r="750" spans="1:5" x14ac:dyDescent="0.25">
      <c r="A750" s="25"/>
      <c r="B750" s="26"/>
      <c r="C750" s="25"/>
      <c r="D750" s="27"/>
      <c r="E750" s="25" t="str">
        <f ca="1">IF(ISBLANK(Entries[[#This Row],[Date]])," ",IFERROR(TODAY()-B750," "))</f>
        <v xml:space="preserve"> </v>
      </c>
    </row>
    <row r="751" spans="1:5" x14ac:dyDescent="0.25">
      <c r="A751" s="25"/>
      <c r="B751" s="26"/>
      <c r="C751" s="25"/>
      <c r="D751" s="27"/>
      <c r="E751" s="25" t="str">
        <f ca="1">IF(ISBLANK(Entries[[#This Row],[Date]])," ",IFERROR(TODAY()-B751," "))</f>
        <v xml:space="preserve"> </v>
      </c>
    </row>
    <row r="752" spans="1:5" x14ac:dyDescent="0.25">
      <c r="A752" s="25"/>
      <c r="B752" s="26"/>
      <c r="C752" s="25"/>
      <c r="D752" s="27"/>
      <c r="E752" s="25" t="str">
        <f ca="1">IF(ISBLANK(Entries[[#This Row],[Date]])," ",IFERROR(TODAY()-B752," "))</f>
        <v xml:space="preserve"> </v>
      </c>
    </row>
    <row r="753" spans="1:5" x14ac:dyDescent="0.25">
      <c r="A753" s="25"/>
      <c r="B753" s="26"/>
      <c r="C753" s="25"/>
      <c r="D753" s="27"/>
      <c r="E753" s="25" t="str">
        <f ca="1">IF(ISBLANK(Entries[[#This Row],[Date]])," ",IFERROR(TODAY()-B753," "))</f>
        <v xml:space="preserve"> </v>
      </c>
    </row>
    <row r="754" spans="1:5" x14ac:dyDescent="0.25">
      <c r="A754" s="25"/>
      <c r="B754" s="26"/>
      <c r="C754" s="25"/>
      <c r="D754" s="27"/>
      <c r="E754" s="25" t="str">
        <f ca="1">IF(ISBLANK(Entries[[#This Row],[Date]])," ",IFERROR(TODAY()-B754," "))</f>
        <v xml:space="preserve"> </v>
      </c>
    </row>
    <row r="755" spans="1:5" x14ac:dyDescent="0.25">
      <c r="A755" s="25"/>
      <c r="B755" s="26"/>
      <c r="C755" s="25"/>
      <c r="D755" s="27"/>
      <c r="E755" s="25" t="str">
        <f ca="1">IF(ISBLANK(Entries[[#This Row],[Date]])," ",IFERROR(TODAY()-B755," "))</f>
        <v xml:space="preserve"> </v>
      </c>
    </row>
    <row r="756" spans="1:5" x14ac:dyDescent="0.25">
      <c r="A756" s="25"/>
      <c r="B756" s="26"/>
      <c r="C756" s="25"/>
      <c r="D756" s="27"/>
      <c r="E756" s="25" t="str">
        <f ca="1">IF(ISBLANK(Entries[[#This Row],[Date]])," ",IFERROR(TODAY()-B756," "))</f>
        <v xml:space="preserve"> </v>
      </c>
    </row>
    <row r="757" spans="1:5" x14ac:dyDescent="0.25">
      <c r="A757" s="25"/>
      <c r="B757" s="26"/>
      <c r="C757" s="25"/>
      <c r="D757" s="27"/>
      <c r="E757" s="25" t="str">
        <f ca="1">IF(ISBLANK(Entries[[#This Row],[Date]])," ",IFERROR(TODAY()-B757," "))</f>
        <v xml:space="preserve"> </v>
      </c>
    </row>
    <row r="758" spans="1:5" x14ac:dyDescent="0.25">
      <c r="A758" s="25"/>
      <c r="B758" s="26"/>
      <c r="C758" s="25"/>
      <c r="D758" s="27"/>
      <c r="E758" s="25" t="str">
        <f ca="1">IF(ISBLANK(Entries[[#This Row],[Date]])," ",IFERROR(TODAY()-B758," "))</f>
        <v xml:space="preserve"> </v>
      </c>
    </row>
    <row r="759" spans="1:5" x14ac:dyDescent="0.25">
      <c r="A759" s="25"/>
      <c r="B759" s="26"/>
      <c r="C759" s="25"/>
      <c r="D759" s="27"/>
      <c r="E759" s="25" t="str">
        <f ca="1">IF(ISBLANK(Entries[[#This Row],[Date]])," ",IFERROR(TODAY()-B759," "))</f>
        <v xml:space="preserve"> </v>
      </c>
    </row>
    <row r="760" spans="1:5" x14ac:dyDescent="0.25">
      <c r="A760" s="25"/>
      <c r="B760" s="26"/>
      <c r="C760" s="25"/>
      <c r="D760" s="27"/>
      <c r="E760" s="25" t="str">
        <f ca="1">IF(ISBLANK(Entries[[#This Row],[Date]])," ",IFERROR(TODAY()-B760," "))</f>
        <v xml:space="preserve"> </v>
      </c>
    </row>
    <row r="761" spans="1:5" x14ac:dyDescent="0.25">
      <c r="A761" s="25"/>
      <c r="B761" s="26"/>
      <c r="C761" s="25"/>
      <c r="D761" s="27"/>
      <c r="E761" s="25" t="str">
        <f ca="1">IF(ISBLANK(Entries[[#This Row],[Date]])," ",IFERROR(TODAY()-B761," "))</f>
        <v xml:space="preserve"> </v>
      </c>
    </row>
    <row r="762" spans="1:5" x14ac:dyDescent="0.25">
      <c r="A762" s="25"/>
      <c r="B762" s="26"/>
      <c r="C762" s="25"/>
      <c r="D762" s="27"/>
      <c r="E762" s="25" t="str">
        <f ca="1">IF(ISBLANK(Entries[[#This Row],[Date]])," ",IFERROR(TODAY()-B762," "))</f>
        <v xml:space="preserve"> </v>
      </c>
    </row>
    <row r="763" spans="1:5" x14ac:dyDescent="0.25">
      <c r="A763" s="25"/>
      <c r="B763" s="26"/>
      <c r="C763" s="25"/>
      <c r="D763" s="27"/>
      <c r="E763" s="25" t="str">
        <f ca="1">IF(ISBLANK(Entries[[#This Row],[Date]])," ",IFERROR(TODAY()-B763," "))</f>
        <v xml:space="preserve"> </v>
      </c>
    </row>
    <row r="764" spans="1:5" x14ac:dyDescent="0.25">
      <c r="A764" s="25"/>
      <c r="B764" s="26"/>
      <c r="C764" s="25"/>
      <c r="D764" s="27"/>
      <c r="E764" s="25" t="str">
        <f ca="1">IF(ISBLANK(Entries[[#This Row],[Date]])," ",IFERROR(TODAY()-B764," "))</f>
        <v xml:space="preserve"> </v>
      </c>
    </row>
    <row r="765" spans="1:5" x14ac:dyDescent="0.25">
      <c r="A765" s="25"/>
      <c r="B765" s="26"/>
      <c r="C765" s="25"/>
      <c r="D765" s="27"/>
      <c r="E765" s="25" t="str">
        <f ca="1">IF(ISBLANK(Entries[[#This Row],[Date]])," ",IFERROR(TODAY()-B765," "))</f>
        <v xml:space="preserve"> </v>
      </c>
    </row>
    <row r="766" spans="1:5" x14ac:dyDescent="0.25">
      <c r="A766" s="25"/>
      <c r="B766" s="26"/>
      <c r="C766" s="25"/>
      <c r="D766" s="27"/>
      <c r="E766" s="25" t="str">
        <f ca="1">IF(ISBLANK(Entries[[#This Row],[Date]])," ",IFERROR(TODAY()-B766," "))</f>
        <v xml:space="preserve"> </v>
      </c>
    </row>
    <row r="767" spans="1:5" x14ac:dyDescent="0.25">
      <c r="A767" s="25"/>
      <c r="B767" s="26"/>
      <c r="C767" s="25"/>
      <c r="D767" s="27"/>
      <c r="E767" s="25" t="str">
        <f ca="1">IF(ISBLANK(Entries[[#This Row],[Date]])," ",IFERROR(TODAY()-B767," "))</f>
        <v xml:space="preserve"> </v>
      </c>
    </row>
    <row r="768" spans="1:5" x14ac:dyDescent="0.25">
      <c r="A768" s="25"/>
      <c r="B768" s="26"/>
      <c r="C768" s="25"/>
      <c r="D768" s="27"/>
      <c r="E768" s="25" t="str">
        <f ca="1">IF(ISBLANK(Entries[[#This Row],[Date]])," ",IFERROR(TODAY()-B768," "))</f>
        <v xml:space="preserve"> </v>
      </c>
    </row>
    <row r="769" spans="1:5" x14ac:dyDescent="0.25">
      <c r="A769" s="25"/>
      <c r="B769" s="26"/>
      <c r="C769" s="25"/>
      <c r="D769" s="27"/>
      <c r="E769" s="25" t="str">
        <f ca="1">IF(ISBLANK(Entries[[#This Row],[Date]])," ",IFERROR(TODAY()-B769," "))</f>
        <v xml:space="preserve"> </v>
      </c>
    </row>
    <row r="770" spans="1:5" x14ac:dyDescent="0.25">
      <c r="A770" s="25"/>
      <c r="B770" s="26"/>
      <c r="C770" s="25"/>
      <c r="D770" s="27"/>
      <c r="E770" s="25" t="str">
        <f ca="1">IF(ISBLANK(Entries[[#This Row],[Date]])," ",IFERROR(TODAY()-B770," "))</f>
        <v xml:space="preserve"> </v>
      </c>
    </row>
    <row r="771" spans="1:5" x14ac:dyDescent="0.25">
      <c r="A771" s="25"/>
      <c r="B771" s="26"/>
      <c r="C771" s="25"/>
      <c r="D771" s="27"/>
      <c r="E771" s="25" t="str">
        <f ca="1">IF(ISBLANK(Entries[[#This Row],[Date]])," ",IFERROR(TODAY()-B771," "))</f>
        <v xml:space="preserve"> </v>
      </c>
    </row>
    <row r="772" spans="1:5" x14ac:dyDescent="0.25">
      <c r="A772" s="25"/>
      <c r="B772" s="26"/>
      <c r="C772" s="25"/>
      <c r="D772" s="27"/>
      <c r="E772" s="25" t="str">
        <f ca="1">IF(ISBLANK(Entries[[#This Row],[Date]])," ",IFERROR(TODAY()-B772," "))</f>
        <v xml:space="preserve"> </v>
      </c>
    </row>
    <row r="773" spans="1:5" x14ac:dyDescent="0.25">
      <c r="A773" s="25"/>
      <c r="B773" s="26"/>
      <c r="C773" s="25"/>
      <c r="D773" s="27"/>
      <c r="E773" s="25" t="str">
        <f ca="1">IF(ISBLANK(Entries[[#This Row],[Date]])," ",IFERROR(TODAY()-B773," "))</f>
        <v xml:space="preserve"> </v>
      </c>
    </row>
    <row r="774" spans="1:5" x14ac:dyDescent="0.25">
      <c r="A774" s="25"/>
      <c r="B774" s="26"/>
      <c r="C774" s="25"/>
      <c r="D774" s="27"/>
      <c r="E774" s="25" t="str">
        <f ca="1">IF(ISBLANK(Entries[[#This Row],[Date]])," ",IFERROR(TODAY()-B774," "))</f>
        <v xml:space="preserve"> </v>
      </c>
    </row>
    <row r="775" spans="1:5" x14ac:dyDescent="0.25">
      <c r="A775" s="25"/>
      <c r="B775" s="26"/>
      <c r="C775" s="25"/>
      <c r="D775" s="27"/>
      <c r="E775" s="25" t="str">
        <f ca="1">IF(ISBLANK(Entries[[#This Row],[Date]])," ",IFERROR(TODAY()-B775," "))</f>
        <v xml:space="preserve"> </v>
      </c>
    </row>
    <row r="776" spans="1:5" x14ac:dyDescent="0.25">
      <c r="A776" s="25"/>
      <c r="B776" s="26"/>
      <c r="C776" s="25"/>
      <c r="D776" s="27"/>
      <c r="E776" s="25" t="str">
        <f ca="1">IF(ISBLANK(Entries[[#This Row],[Date]])," ",IFERROR(TODAY()-B776," "))</f>
        <v xml:space="preserve"> </v>
      </c>
    </row>
    <row r="777" spans="1:5" x14ac:dyDescent="0.25">
      <c r="A777" s="25"/>
      <c r="B777" s="26"/>
      <c r="C777" s="25"/>
      <c r="D777" s="27"/>
      <c r="E777" s="25" t="str">
        <f ca="1">IF(ISBLANK(Entries[[#This Row],[Date]])," ",IFERROR(TODAY()-B777," "))</f>
        <v xml:space="preserve"> </v>
      </c>
    </row>
    <row r="778" spans="1:5" x14ac:dyDescent="0.25">
      <c r="A778" s="25"/>
      <c r="B778" s="26"/>
      <c r="C778" s="25"/>
      <c r="D778" s="27"/>
      <c r="E778" s="25" t="str">
        <f ca="1">IF(ISBLANK(Entries[[#This Row],[Date]])," ",IFERROR(TODAY()-B778," "))</f>
        <v xml:space="preserve"> </v>
      </c>
    </row>
    <row r="779" spans="1:5" x14ac:dyDescent="0.25">
      <c r="A779" s="25"/>
      <c r="B779" s="26"/>
      <c r="C779" s="25"/>
      <c r="D779" s="27"/>
      <c r="E779" s="25" t="str">
        <f ca="1">IF(ISBLANK(Entries[[#This Row],[Date]])," ",IFERROR(TODAY()-B779," "))</f>
        <v xml:space="preserve"> </v>
      </c>
    </row>
    <row r="780" spans="1:5" x14ac:dyDescent="0.25">
      <c r="A780" s="25"/>
      <c r="B780" s="26"/>
      <c r="C780" s="25"/>
      <c r="D780" s="27"/>
      <c r="E780" s="25" t="str">
        <f ca="1">IF(ISBLANK(Entries[[#This Row],[Date]])," ",IFERROR(TODAY()-B780," "))</f>
        <v xml:space="preserve"> </v>
      </c>
    </row>
    <row r="781" spans="1:5" x14ac:dyDescent="0.25">
      <c r="A781" s="25"/>
      <c r="B781" s="26"/>
      <c r="C781" s="25"/>
      <c r="D781" s="27"/>
      <c r="E781" s="25" t="str">
        <f ca="1">IF(ISBLANK(Entries[[#This Row],[Date]])," ",IFERROR(TODAY()-B781," "))</f>
        <v xml:space="preserve"> </v>
      </c>
    </row>
    <row r="782" spans="1:5" x14ac:dyDescent="0.25">
      <c r="A782" s="25"/>
      <c r="B782" s="26"/>
      <c r="C782" s="25"/>
      <c r="D782" s="27"/>
      <c r="E782" s="25" t="str">
        <f ca="1">IF(ISBLANK(Entries[[#This Row],[Date]])," ",IFERROR(TODAY()-B782," "))</f>
        <v xml:space="preserve"> </v>
      </c>
    </row>
    <row r="783" spans="1:5" x14ac:dyDescent="0.25">
      <c r="A783" s="25"/>
      <c r="B783" s="26"/>
      <c r="C783" s="25"/>
      <c r="D783" s="27"/>
      <c r="E783" s="25" t="str">
        <f ca="1">IF(ISBLANK(Entries[[#This Row],[Date]])," ",IFERROR(TODAY()-B783," "))</f>
        <v xml:space="preserve"> </v>
      </c>
    </row>
    <row r="784" spans="1:5" x14ac:dyDescent="0.25">
      <c r="A784" s="25"/>
      <c r="B784" s="26"/>
      <c r="C784" s="25"/>
      <c r="D784" s="27"/>
      <c r="E784" s="25" t="str">
        <f ca="1">IF(ISBLANK(Entries[[#This Row],[Date]])," ",IFERROR(TODAY()-B784," "))</f>
        <v xml:space="preserve"> </v>
      </c>
    </row>
    <row r="785" spans="1:5" x14ac:dyDescent="0.25">
      <c r="A785" s="25"/>
      <c r="B785" s="26"/>
      <c r="C785" s="25"/>
      <c r="D785" s="27"/>
      <c r="E785" s="25" t="str">
        <f ca="1">IF(ISBLANK(Entries[[#This Row],[Date]])," ",IFERROR(TODAY()-B785," "))</f>
        <v xml:space="preserve"> </v>
      </c>
    </row>
    <row r="786" spans="1:5" x14ac:dyDescent="0.25">
      <c r="A786" s="25"/>
      <c r="B786" s="26"/>
      <c r="C786" s="25"/>
      <c r="D786" s="27"/>
      <c r="E786" s="25" t="str">
        <f ca="1">IF(ISBLANK(Entries[[#This Row],[Date]])," ",IFERROR(TODAY()-B786," "))</f>
        <v xml:space="preserve"> </v>
      </c>
    </row>
    <row r="787" spans="1:5" x14ac:dyDescent="0.25">
      <c r="A787" s="25"/>
      <c r="B787" s="26"/>
      <c r="C787" s="25"/>
      <c r="D787" s="27"/>
      <c r="E787" s="25" t="str">
        <f ca="1">IF(ISBLANK(Entries[[#This Row],[Date]])," ",IFERROR(TODAY()-B787," "))</f>
        <v xml:space="preserve"> </v>
      </c>
    </row>
    <row r="788" spans="1:5" x14ac:dyDescent="0.25">
      <c r="A788" s="25"/>
      <c r="B788" s="26"/>
      <c r="C788" s="25"/>
      <c r="D788" s="27"/>
      <c r="E788" s="25" t="str">
        <f ca="1">IF(ISBLANK(Entries[[#This Row],[Date]])," ",IFERROR(TODAY()-B788," "))</f>
        <v xml:space="preserve"> </v>
      </c>
    </row>
    <row r="789" spans="1:5" x14ac:dyDescent="0.25">
      <c r="A789" s="25"/>
      <c r="B789" s="26"/>
      <c r="C789" s="25"/>
      <c r="D789" s="27"/>
      <c r="E789" s="25" t="str">
        <f ca="1">IF(ISBLANK(Entries[[#This Row],[Date]])," ",IFERROR(TODAY()-B789," "))</f>
        <v xml:space="preserve"> </v>
      </c>
    </row>
    <row r="790" spans="1:5" x14ac:dyDescent="0.25">
      <c r="A790" s="25"/>
      <c r="B790" s="26"/>
      <c r="C790" s="25"/>
      <c r="D790" s="27"/>
      <c r="E790" s="25" t="str">
        <f ca="1">IF(ISBLANK(Entries[[#This Row],[Date]])," ",IFERROR(TODAY()-B790," "))</f>
        <v xml:space="preserve"> </v>
      </c>
    </row>
    <row r="791" spans="1:5" x14ac:dyDescent="0.25">
      <c r="A791" s="25"/>
      <c r="B791" s="26"/>
      <c r="C791" s="25"/>
      <c r="D791" s="27"/>
      <c r="E791" s="25" t="str">
        <f ca="1">IF(ISBLANK(Entries[[#This Row],[Date]])," ",IFERROR(TODAY()-B791," "))</f>
        <v xml:space="preserve"> </v>
      </c>
    </row>
    <row r="792" spans="1:5" x14ac:dyDescent="0.25">
      <c r="A792" s="25"/>
      <c r="B792" s="26"/>
      <c r="C792" s="25"/>
      <c r="D792" s="27"/>
      <c r="E792" s="25" t="str">
        <f ca="1">IF(ISBLANK(Entries[[#This Row],[Date]])," ",IFERROR(TODAY()-B792," "))</f>
        <v xml:space="preserve"> </v>
      </c>
    </row>
    <row r="793" spans="1:5" x14ac:dyDescent="0.25">
      <c r="A793" s="25"/>
      <c r="B793" s="26"/>
      <c r="C793" s="25"/>
      <c r="D793" s="27"/>
      <c r="E793" s="25" t="str">
        <f ca="1">IF(ISBLANK(Entries[[#This Row],[Date]])," ",IFERROR(TODAY()-B793," "))</f>
        <v xml:space="preserve"> </v>
      </c>
    </row>
    <row r="794" spans="1:5" x14ac:dyDescent="0.25">
      <c r="A794" s="25"/>
      <c r="B794" s="26"/>
      <c r="C794" s="25"/>
      <c r="D794" s="27"/>
      <c r="E794" s="25" t="str">
        <f ca="1">IF(ISBLANK(Entries[[#This Row],[Date]])," ",IFERROR(TODAY()-B794," "))</f>
        <v xml:space="preserve"> </v>
      </c>
    </row>
    <row r="795" spans="1:5" x14ac:dyDescent="0.25">
      <c r="A795" s="25"/>
      <c r="B795" s="26"/>
      <c r="C795" s="25"/>
      <c r="D795" s="27"/>
      <c r="E795" s="25" t="str">
        <f ca="1">IF(ISBLANK(Entries[[#This Row],[Date]])," ",IFERROR(TODAY()-B795," "))</f>
        <v xml:space="preserve"> </v>
      </c>
    </row>
    <row r="796" spans="1:5" x14ac:dyDescent="0.25">
      <c r="A796" s="25"/>
      <c r="B796" s="26"/>
      <c r="C796" s="25"/>
      <c r="D796" s="27"/>
      <c r="E796" s="25" t="str">
        <f ca="1">IF(ISBLANK(Entries[[#This Row],[Date]])," ",IFERROR(TODAY()-B796," "))</f>
        <v xml:space="preserve"> </v>
      </c>
    </row>
    <row r="797" spans="1:5" x14ac:dyDescent="0.25">
      <c r="A797" s="25"/>
      <c r="B797" s="26"/>
      <c r="C797" s="25"/>
      <c r="D797" s="27"/>
      <c r="E797" s="25" t="str">
        <f ca="1">IF(ISBLANK(Entries[[#This Row],[Date]])," ",IFERROR(TODAY()-B797," "))</f>
        <v xml:space="preserve"> </v>
      </c>
    </row>
    <row r="798" spans="1:5" x14ac:dyDescent="0.25">
      <c r="A798" s="25"/>
      <c r="B798" s="26"/>
      <c r="C798" s="25"/>
      <c r="D798" s="27"/>
      <c r="E798" s="25" t="str">
        <f ca="1">IF(ISBLANK(Entries[[#This Row],[Date]])," ",IFERROR(TODAY()-B798," "))</f>
        <v xml:space="preserve"> </v>
      </c>
    </row>
    <row r="799" spans="1:5" x14ac:dyDescent="0.25">
      <c r="A799" s="25"/>
      <c r="B799" s="26"/>
      <c r="C799" s="25"/>
      <c r="D799" s="27"/>
      <c r="E799" s="25" t="str">
        <f ca="1">IF(ISBLANK(Entries[[#This Row],[Date]])," ",IFERROR(TODAY()-B799," "))</f>
        <v xml:space="preserve"> </v>
      </c>
    </row>
    <row r="800" spans="1:5" x14ac:dyDescent="0.25">
      <c r="A800" s="25"/>
      <c r="B800" s="26"/>
      <c r="C800" s="25"/>
      <c r="D800" s="27"/>
      <c r="E800" s="25" t="str">
        <f ca="1">IF(ISBLANK(Entries[[#This Row],[Date]])," ",IFERROR(TODAY()-B800," "))</f>
        <v xml:space="preserve"> </v>
      </c>
    </row>
    <row r="801" spans="1:5" x14ac:dyDescent="0.25">
      <c r="A801" s="25"/>
      <c r="B801" s="26"/>
      <c r="C801" s="25"/>
      <c r="D801" s="27"/>
      <c r="E801" s="25" t="str">
        <f ca="1">IF(ISBLANK(Entries[[#This Row],[Date]])," ",IFERROR(TODAY()-B801," "))</f>
        <v xml:space="preserve"> </v>
      </c>
    </row>
    <row r="802" spans="1:5" x14ac:dyDescent="0.25">
      <c r="A802" s="25"/>
      <c r="B802" s="26"/>
      <c r="C802" s="25"/>
      <c r="D802" s="27"/>
      <c r="E802" s="25" t="str">
        <f ca="1">IF(ISBLANK(Entries[[#This Row],[Date]])," ",IFERROR(TODAY()-B802," "))</f>
        <v xml:space="preserve"> </v>
      </c>
    </row>
    <row r="803" spans="1:5" x14ac:dyDescent="0.25">
      <c r="A803" s="25"/>
      <c r="B803" s="26"/>
      <c r="C803" s="25"/>
      <c r="D803" s="27"/>
      <c r="E803" s="25" t="str">
        <f ca="1">IF(ISBLANK(Entries[[#This Row],[Date]])," ",IFERROR(TODAY()-B803," "))</f>
        <v xml:space="preserve"> </v>
      </c>
    </row>
    <row r="804" spans="1:5" x14ac:dyDescent="0.25">
      <c r="A804" s="25"/>
      <c r="B804" s="26"/>
      <c r="C804" s="25"/>
      <c r="D804" s="27"/>
      <c r="E804" s="25" t="str">
        <f ca="1">IF(ISBLANK(Entries[[#This Row],[Date]])," ",IFERROR(TODAY()-B804," "))</f>
        <v xml:space="preserve"> </v>
      </c>
    </row>
    <row r="805" spans="1:5" x14ac:dyDescent="0.25">
      <c r="A805" s="25"/>
      <c r="B805" s="26"/>
      <c r="C805" s="25"/>
      <c r="D805" s="27"/>
      <c r="E805" s="25" t="str">
        <f ca="1">IF(ISBLANK(Entries[[#This Row],[Date]])," ",IFERROR(TODAY()-B805," "))</f>
        <v xml:space="preserve"> </v>
      </c>
    </row>
    <row r="806" spans="1:5" x14ac:dyDescent="0.25">
      <c r="A806" s="25"/>
      <c r="B806" s="26"/>
      <c r="C806" s="25"/>
      <c r="D806" s="27"/>
      <c r="E806" s="25" t="str">
        <f ca="1">IF(ISBLANK(Entries[[#This Row],[Date]])," ",IFERROR(TODAY()-B806," "))</f>
        <v xml:space="preserve"> </v>
      </c>
    </row>
    <row r="807" spans="1:5" x14ac:dyDescent="0.25">
      <c r="A807" s="25"/>
      <c r="B807" s="26"/>
      <c r="C807" s="25"/>
      <c r="D807" s="27"/>
      <c r="E807" s="25" t="str">
        <f ca="1">IF(ISBLANK(Entries[[#This Row],[Date]])," ",IFERROR(TODAY()-B807," "))</f>
        <v xml:space="preserve"> </v>
      </c>
    </row>
    <row r="808" spans="1:5" x14ac:dyDescent="0.25">
      <c r="A808" s="25"/>
      <c r="B808" s="26"/>
      <c r="C808" s="25"/>
      <c r="D808" s="27"/>
      <c r="E808" s="25" t="str">
        <f ca="1">IF(ISBLANK(Entries[[#This Row],[Date]])," ",IFERROR(TODAY()-B808," "))</f>
        <v xml:space="preserve"> </v>
      </c>
    </row>
    <row r="809" spans="1:5" x14ac:dyDescent="0.25">
      <c r="A809" s="25"/>
      <c r="B809" s="26"/>
      <c r="C809" s="25"/>
      <c r="D809" s="27"/>
      <c r="E809" s="25" t="str">
        <f ca="1">IF(ISBLANK(Entries[[#This Row],[Date]])," ",IFERROR(TODAY()-B809," "))</f>
        <v xml:space="preserve"> </v>
      </c>
    </row>
    <row r="810" spans="1:5" x14ac:dyDescent="0.25">
      <c r="A810" s="25"/>
      <c r="B810" s="26"/>
      <c r="C810" s="25"/>
      <c r="D810" s="27"/>
      <c r="E810" s="25" t="str">
        <f ca="1">IF(ISBLANK(Entries[[#This Row],[Date]])," ",IFERROR(TODAY()-B810," "))</f>
        <v xml:space="preserve"> </v>
      </c>
    </row>
    <row r="811" spans="1:5" x14ac:dyDescent="0.25">
      <c r="A811" s="25"/>
      <c r="B811" s="26"/>
      <c r="C811" s="25"/>
      <c r="D811" s="27"/>
      <c r="E811" s="25" t="str">
        <f ca="1">IF(ISBLANK(Entries[[#This Row],[Date]])," ",IFERROR(TODAY()-B811," "))</f>
        <v xml:space="preserve"> </v>
      </c>
    </row>
    <row r="812" spans="1:5" x14ac:dyDescent="0.25">
      <c r="A812" s="25"/>
      <c r="B812" s="26"/>
      <c r="C812" s="25"/>
      <c r="D812" s="27"/>
      <c r="E812" s="25" t="str">
        <f ca="1">IF(ISBLANK(Entries[[#This Row],[Date]])," ",IFERROR(TODAY()-B812," "))</f>
        <v xml:space="preserve"> </v>
      </c>
    </row>
    <row r="813" spans="1:5" x14ac:dyDescent="0.25">
      <c r="A813" s="25"/>
      <c r="B813" s="26"/>
      <c r="C813" s="25"/>
      <c r="D813" s="27"/>
      <c r="E813" s="25" t="str">
        <f ca="1">IF(ISBLANK(Entries[[#This Row],[Date]])," ",IFERROR(TODAY()-B813," "))</f>
        <v xml:space="preserve"> </v>
      </c>
    </row>
    <row r="814" spans="1:5" x14ac:dyDescent="0.25">
      <c r="A814" s="25"/>
      <c r="B814" s="26"/>
      <c r="C814" s="25"/>
      <c r="D814" s="27"/>
      <c r="E814" s="25" t="str">
        <f ca="1">IF(ISBLANK(Entries[[#This Row],[Date]])," ",IFERROR(TODAY()-B814," "))</f>
        <v xml:space="preserve"> </v>
      </c>
    </row>
    <row r="815" spans="1:5" x14ac:dyDescent="0.25">
      <c r="A815" s="25"/>
      <c r="B815" s="26"/>
      <c r="C815" s="25"/>
      <c r="D815" s="27"/>
      <c r="E815" s="25" t="str">
        <f ca="1">IF(ISBLANK(Entries[[#This Row],[Date]])," ",IFERROR(TODAY()-B815," "))</f>
        <v xml:space="preserve"> </v>
      </c>
    </row>
    <row r="816" spans="1:5" x14ac:dyDescent="0.25">
      <c r="A816" s="25"/>
      <c r="B816" s="26"/>
      <c r="C816" s="25"/>
      <c r="D816" s="27"/>
      <c r="E816" s="25" t="str">
        <f ca="1">IF(ISBLANK(Entries[[#This Row],[Date]])," ",IFERROR(TODAY()-B816," "))</f>
        <v xml:space="preserve"> </v>
      </c>
    </row>
    <row r="817" spans="1:5" x14ac:dyDescent="0.25">
      <c r="A817" s="25"/>
      <c r="B817" s="26"/>
      <c r="C817" s="25"/>
      <c r="D817" s="27"/>
      <c r="E817" s="25" t="str">
        <f ca="1">IF(ISBLANK(Entries[[#This Row],[Date]])," ",IFERROR(TODAY()-B817," "))</f>
        <v xml:space="preserve"> </v>
      </c>
    </row>
    <row r="818" spans="1:5" x14ac:dyDescent="0.25">
      <c r="A818" s="25"/>
      <c r="B818" s="26"/>
      <c r="C818" s="25"/>
      <c r="D818" s="27"/>
      <c r="E818" s="25" t="str">
        <f ca="1">IF(ISBLANK(Entries[[#This Row],[Date]])," ",IFERROR(TODAY()-B818," "))</f>
        <v xml:space="preserve"> </v>
      </c>
    </row>
    <row r="819" spans="1:5" x14ac:dyDescent="0.25">
      <c r="A819" s="25"/>
      <c r="B819" s="26"/>
      <c r="C819" s="25"/>
      <c r="D819" s="27"/>
      <c r="E819" s="25" t="str">
        <f ca="1">IF(ISBLANK(Entries[[#This Row],[Date]])," ",IFERROR(TODAY()-B819," "))</f>
        <v xml:space="preserve"> </v>
      </c>
    </row>
    <row r="820" spans="1:5" x14ac:dyDescent="0.25">
      <c r="A820" s="25"/>
      <c r="B820" s="26"/>
      <c r="C820" s="25"/>
      <c r="D820" s="27"/>
      <c r="E820" s="25" t="str">
        <f ca="1">IF(ISBLANK(Entries[[#This Row],[Date]])," ",IFERROR(TODAY()-B820," "))</f>
        <v xml:space="preserve"> </v>
      </c>
    </row>
    <row r="821" spans="1:5" x14ac:dyDescent="0.25">
      <c r="A821" s="25"/>
      <c r="B821" s="26"/>
      <c r="C821" s="25"/>
      <c r="D821" s="27"/>
      <c r="E821" s="25" t="str">
        <f ca="1">IF(ISBLANK(Entries[[#This Row],[Date]])," ",IFERROR(TODAY()-B821," "))</f>
        <v xml:space="preserve"> </v>
      </c>
    </row>
    <row r="822" spans="1:5" x14ac:dyDescent="0.25">
      <c r="A822" s="25"/>
      <c r="B822" s="26"/>
      <c r="C822" s="25"/>
      <c r="D822" s="27"/>
      <c r="E822" s="25" t="str">
        <f ca="1">IF(ISBLANK(Entries[[#This Row],[Date]])," ",IFERROR(TODAY()-B822," "))</f>
        <v xml:space="preserve"> </v>
      </c>
    </row>
    <row r="823" spans="1:5" x14ac:dyDescent="0.25">
      <c r="A823" s="25"/>
      <c r="B823" s="26"/>
      <c r="C823" s="25"/>
      <c r="D823" s="27"/>
      <c r="E823" s="25" t="str">
        <f ca="1">IF(ISBLANK(Entries[[#This Row],[Date]])," ",IFERROR(TODAY()-B823," "))</f>
        <v xml:space="preserve"> </v>
      </c>
    </row>
    <row r="824" spans="1:5" x14ac:dyDescent="0.25">
      <c r="A824" s="25"/>
      <c r="B824" s="26"/>
      <c r="C824" s="25"/>
      <c r="D824" s="27"/>
      <c r="E824" s="25" t="str">
        <f ca="1">IF(ISBLANK(Entries[[#This Row],[Date]])," ",IFERROR(TODAY()-B824," "))</f>
        <v xml:space="preserve"> </v>
      </c>
    </row>
    <row r="825" spans="1:5" x14ac:dyDescent="0.25">
      <c r="A825" s="25"/>
      <c r="B825" s="26"/>
      <c r="C825" s="25"/>
      <c r="D825" s="27"/>
      <c r="E825" s="25" t="str">
        <f ca="1">IF(ISBLANK(Entries[[#This Row],[Date]])," ",IFERROR(TODAY()-B825," "))</f>
        <v xml:space="preserve"> </v>
      </c>
    </row>
    <row r="826" spans="1:5" x14ac:dyDescent="0.25">
      <c r="A826" s="25"/>
      <c r="B826" s="26"/>
      <c r="C826" s="25"/>
      <c r="D826" s="27"/>
      <c r="E826" s="25" t="str">
        <f ca="1">IF(ISBLANK(Entries[[#This Row],[Date]])," ",IFERROR(TODAY()-B826," "))</f>
        <v xml:space="preserve"> </v>
      </c>
    </row>
    <row r="827" spans="1:5" x14ac:dyDescent="0.25">
      <c r="A827" s="25"/>
      <c r="B827" s="26"/>
      <c r="C827" s="25"/>
      <c r="D827" s="27"/>
      <c r="E827" s="25" t="str">
        <f ca="1">IF(ISBLANK(Entries[[#This Row],[Date]])," ",IFERROR(TODAY()-B827," "))</f>
        <v xml:space="preserve"> </v>
      </c>
    </row>
    <row r="828" spans="1:5" x14ac:dyDescent="0.25">
      <c r="A828" s="25"/>
      <c r="B828" s="26"/>
      <c r="C828" s="25"/>
      <c r="D828" s="27"/>
      <c r="E828" s="25" t="str">
        <f ca="1">IF(ISBLANK(Entries[[#This Row],[Date]])," ",IFERROR(TODAY()-B828," "))</f>
        <v xml:space="preserve"> </v>
      </c>
    </row>
    <row r="829" spans="1:5" x14ac:dyDescent="0.25">
      <c r="A829" s="25"/>
      <c r="B829" s="26"/>
      <c r="C829" s="25"/>
      <c r="D829" s="27"/>
      <c r="E829" s="25" t="str">
        <f ca="1">IF(ISBLANK(Entries[[#This Row],[Date]])," ",IFERROR(TODAY()-B829," "))</f>
        <v xml:space="preserve"> </v>
      </c>
    </row>
    <row r="830" spans="1:5" x14ac:dyDescent="0.25">
      <c r="A830" s="25"/>
      <c r="B830" s="26"/>
      <c r="C830" s="25"/>
      <c r="D830" s="27"/>
      <c r="E830" s="25" t="str">
        <f ca="1">IF(ISBLANK(Entries[[#This Row],[Date]])," ",IFERROR(TODAY()-B830," "))</f>
        <v xml:space="preserve"> </v>
      </c>
    </row>
    <row r="831" spans="1:5" x14ac:dyDescent="0.25">
      <c r="A831" s="25"/>
      <c r="B831" s="26"/>
      <c r="C831" s="25"/>
      <c r="D831" s="27"/>
      <c r="E831" s="25" t="str">
        <f ca="1">IF(ISBLANK(Entries[[#This Row],[Date]])," ",IFERROR(TODAY()-B831," "))</f>
        <v xml:space="preserve"> </v>
      </c>
    </row>
    <row r="832" spans="1:5" x14ac:dyDescent="0.25">
      <c r="A832" s="25"/>
      <c r="B832" s="26"/>
      <c r="C832" s="25"/>
      <c r="D832" s="27"/>
      <c r="E832" s="25" t="str">
        <f ca="1">IF(ISBLANK(Entries[[#This Row],[Date]])," ",IFERROR(TODAY()-B832," "))</f>
        <v xml:space="preserve"> </v>
      </c>
    </row>
    <row r="833" spans="1:5" x14ac:dyDescent="0.25">
      <c r="A833" s="25"/>
      <c r="B833" s="26"/>
      <c r="C833" s="25"/>
      <c r="D833" s="27"/>
      <c r="E833" s="25" t="str">
        <f ca="1">IF(ISBLANK(Entries[[#This Row],[Date]])," ",IFERROR(TODAY()-B833," "))</f>
        <v xml:space="preserve"> </v>
      </c>
    </row>
    <row r="834" spans="1:5" x14ac:dyDescent="0.25">
      <c r="A834" s="25"/>
      <c r="B834" s="26"/>
      <c r="C834" s="25"/>
      <c r="D834" s="27"/>
      <c r="E834" s="25" t="str">
        <f ca="1">IF(ISBLANK(Entries[[#This Row],[Date]])," ",IFERROR(TODAY()-B834," "))</f>
        <v xml:space="preserve"> </v>
      </c>
    </row>
    <row r="835" spans="1:5" x14ac:dyDescent="0.25">
      <c r="A835" s="25"/>
      <c r="B835" s="26"/>
      <c r="C835" s="25"/>
      <c r="D835" s="27"/>
      <c r="E835" s="25" t="str">
        <f ca="1">IF(ISBLANK(Entries[[#This Row],[Date]])," ",IFERROR(TODAY()-B835," "))</f>
        <v xml:space="preserve"> </v>
      </c>
    </row>
    <row r="836" spans="1:5" x14ac:dyDescent="0.25">
      <c r="A836" s="25"/>
      <c r="B836" s="26"/>
      <c r="C836" s="25"/>
      <c r="D836" s="27"/>
      <c r="E836" s="25" t="str">
        <f ca="1">IF(ISBLANK(Entries[[#This Row],[Date]])," ",IFERROR(TODAY()-B836," "))</f>
        <v xml:space="preserve"> </v>
      </c>
    </row>
    <row r="837" spans="1:5" x14ac:dyDescent="0.25">
      <c r="A837" s="25"/>
      <c r="B837" s="26"/>
      <c r="C837" s="25"/>
      <c r="D837" s="27"/>
      <c r="E837" s="25" t="str">
        <f ca="1">IF(ISBLANK(Entries[[#This Row],[Date]])," ",IFERROR(TODAY()-B837," "))</f>
        <v xml:space="preserve"> </v>
      </c>
    </row>
    <row r="838" spans="1:5" x14ac:dyDescent="0.25">
      <c r="A838" s="25"/>
      <c r="B838" s="26"/>
      <c r="C838" s="25"/>
      <c r="D838" s="27"/>
      <c r="E838" s="25" t="str">
        <f ca="1">IF(ISBLANK(Entries[[#This Row],[Date]])," ",IFERROR(TODAY()-B838," "))</f>
        <v xml:space="preserve"> </v>
      </c>
    </row>
    <row r="839" spans="1:5" x14ac:dyDescent="0.25">
      <c r="A839" s="25"/>
      <c r="B839" s="26"/>
      <c r="C839" s="25"/>
      <c r="D839" s="27"/>
      <c r="E839" s="25" t="str">
        <f ca="1">IF(ISBLANK(Entries[[#This Row],[Date]])," ",IFERROR(TODAY()-B839," "))</f>
        <v xml:space="preserve"> </v>
      </c>
    </row>
    <row r="840" spans="1:5" x14ac:dyDescent="0.25">
      <c r="A840" s="25"/>
      <c r="B840" s="26"/>
      <c r="C840" s="25"/>
      <c r="D840" s="27"/>
      <c r="E840" s="25" t="str">
        <f ca="1">IF(ISBLANK(Entries[[#This Row],[Date]])," ",IFERROR(TODAY()-B840," "))</f>
        <v xml:space="preserve"> </v>
      </c>
    </row>
    <row r="841" spans="1:5" x14ac:dyDescent="0.25">
      <c r="A841" s="25"/>
      <c r="B841" s="26"/>
      <c r="C841" s="25"/>
      <c r="D841" s="27"/>
      <c r="E841" s="25" t="str">
        <f ca="1">IF(ISBLANK(Entries[[#This Row],[Date]])," ",IFERROR(TODAY()-B841," "))</f>
        <v xml:space="preserve"> </v>
      </c>
    </row>
    <row r="842" spans="1:5" x14ac:dyDescent="0.25">
      <c r="A842" s="25"/>
      <c r="B842" s="26"/>
      <c r="C842" s="25"/>
      <c r="D842" s="27"/>
      <c r="E842" s="25" t="str">
        <f ca="1">IF(ISBLANK(Entries[[#This Row],[Date]])," ",IFERROR(TODAY()-B842," "))</f>
        <v xml:space="preserve"> </v>
      </c>
    </row>
    <row r="843" spans="1:5" x14ac:dyDescent="0.25">
      <c r="A843" s="25"/>
      <c r="B843" s="26"/>
      <c r="C843" s="25"/>
      <c r="D843" s="27"/>
      <c r="E843" s="25" t="str">
        <f ca="1">IF(ISBLANK(Entries[[#This Row],[Date]])," ",IFERROR(TODAY()-B843," "))</f>
        <v xml:space="preserve"> </v>
      </c>
    </row>
    <row r="844" spans="1:5" x14ac:dyDescent="0.25">
      <c r="A844" s="25"/>
      <c r="B844" s="26"/>
      <c r="C844" s="25"/>
      <c r="D844" s="27"/>
      <c r="E844" s="25" t="str">
        <f ca="1">IF(ISBLANK(Entries[[#This Row],[Date]])," ",IFERROR(TODAY()-B844," "))</f>
        <v xml:space="preserve"> </v>
      </c>
    </row>
    <row r="845" spans="1:5" x14ac:dyDescent="0.25">
      <c r="A845" s="25"/>
      <c r="B845" s="26"/>
      <c r="C845" s="25"/>
      <c r="D845" s="27"/>
      <c r="E845" s="25" t="str">
        <f ca="1">IF(ISBLANK(Entries[[#This Row],[Date]])," ",IFERROR(TODAY()-B845," "))</f>
        <v xml:space="preserve"> </v>
      </c>
    </row>
    <row r="846" spans="1:5" x14ac:dyDescent="0.25">
      <c r="A846" s="25"/>
      <c r="B846" s="26"/>
      <c r="C846" s="25"/>
      <c r="D846" s="27"/>
      <c r="E846" s="25" t="str">
        <f ca="1">IF(ISBLANK(Entries[[#This Row],[Date]])," ",IFERROR(TODAY()-B846," "))</f>
        <v xml:space="preserve"> </v>
      </c>
    </row>
    <row r="847" spans="1:5" x14ac:dyDescent="0.25">
      <c r="A847" s="25"/>
      <c r="B847" s="26"/>
      <c r="C847" s="25"/>
      <c r="D847" s="27"/>
      <c r="E847" s="25" t="str">
        <f ca="1">IF(ISBLANK(Entries[[#This Row],[Date]])," ",IFERROR(TODAY()-B847," "))</f>
        <v xml:space="preserve"> </v>
      </c>
    </row>
    <row r="848" spans="1:5" x14ac:dyDescent="0.25">
      <c r="A848" s="25"/>
      <c r="B848" s="26"/>
      <c r="C848" s="25"/>
      <c r="D848" s="27"/>
      <c r="E848" s="25" t="str">
        <f ca="1">IF(ISBLANK(Entries[[#This Row],[Date]])," ",IFERROR(TODAY()-B848," "))</f>
        <v xml:space="preserve"> </v>
      </c>
    </row>
    <row r="849" spans="1:5" x14ac:dyDescent="0.25">
      <c r="A849" s="25"/>
      <c r="B849" s="26"/>
      <c r="C849" s="25"/>
      <c r="D849" s="27"/>
      <c r="E849" s="25" t="str">
        <f ca="1">IF(ISBLANK(Entries[[#This Row],[Date]])," ",IFERROR(TODAY()-B849," "))</f>
        <v xml:space="preserve"> </v>
      </c>
    </row>
    <row r="850" spans="1:5" x14ac:dyDescent="0.25">
      <c r="A850" s="25"/>
      <c r="B850" s="26"/>
      <c r="C850" s="25"/>
      <c r="D850" s="27"/>
      <c r="E850" s="25" t="str">
        <f ca="1">IF(ISBLANK(Entries[[#This Row],[Date]])," ",IFERROR(TODAY()-B850," "))</f>
        <v xml:space="preserve"> </v>
      </c>
    </row>
    <row r="851" spans="1:5" x14ac:dyDescent="0.25">
      <c r="A851" s="25"/>
      <c r="B851" s="26"/>
      <c r="C851" s="25"/>
      <c r="D851" s="27"/>
      <c r="E851" s="25" t="str">
        <f ca="1">IF(ISBLANK(Entries[[#This Row],[Date]])," ",IFERROR(TODAY()-B851," "))</f>
        <v xml:space="preserve"> </v>
      </c>
    </row>
    <row r="852" spans="1:5" x14ac:dyDescent="0.25">
      <c r="A852" s="25"/>
      <c r="B852" s="26"/>
      <c r="C852" s="25"/>
      <c r="D852" s="27"/>
      <c r="E852" s="25" t="str">
        <f ca="1">IF(ISBLANK(Entries[[#This Row],[Date]])," ",IFERROR(TODAY()-B852," "))</f>
        <v xml:space="preserve"> </v>
      </c>
    </row>
    <row r="853" spans="1:5" x14ac:dyDescent="0.25">
      <c r="A853" s="25"/>
      <c r="B853" s="26"/>
      <c r="C853" s="25"/>
      <c r="D853" s="27"/>
      <c r="E853" s="25" t="str">
        <f ca="1">IF(ISBLANK(Entries[[#This Row],[Date]])," ",IFERROR(TODAY()-B853," "))</f>
        <v xml:space="preserve"> </v>
      </c>
    </row>
    <row r="854" spans="1:5" x14ac:dyDescent="0.25">
      <c r="A854" s="25"/>
      <c r="B854" s="26"/>
      <c r="C854" s="25"/>
      <c r="D854" s="27"/>
      <c r="E854" s="25" t="str">
        <f ca="1">IF(ISBLANK(Entries[[#This Row],[Date]])," ",IFERROR(TODAY()-B854," "))</f>
        <v xml:space="preserve"> </v>
      </c>
    </row>
    <row r="855" spans="1:5" x14ac:dyDescent="0.25">
      <c r="A855" s="25"/>
      <c r="B855" s="26"/>
      <c r="C855" s="25"/>
      <c r="D855" s="27"/>
      <c r="E855" s="25" t="str">
        <f ca="1">IF(ISBLANK(Entries[[#This Row],[Date]])," ",IFERROR(TODAY()-B855," "))</f>
        <v xml:space="preserve"> </v>
      </c>
    </row>
    <row r="856" spans="1:5" x14ac:dyDescent="0.25">
      <c r="A856" s="25"/>
      <c r="B856" s="26"/>
      <c r="C856" s="25"/>
      <c r="D856" s="27"/>
      <c r="E856" s="25" t="str">
        <f ca="1">IF(ISBLANK(Entries[[#This Row],[Date]])," ",IFERROR(TODAY()-B856," "))</f>
        <v xml:space="preserve"> </v>
      </c>
    </row>
    <row r="857" spans="1:5" x14ac:dyDescent="0.25">
      <c r="A857" s="25"/>
      <c r="B857" s="26"/>
      <c r="C857" s="25"/>
      <c r="D857" s="27"/>
      <c r="E857" s="25" t="str">
        <f ca="1">IF(ISBLANK(Entries[[#This Row],[Date]])," ",IFERROR(TODAY()-B857," "))</f>
        <v xml:space="preserve"> </v>
      </c>
    </row>
    <row r="858" spans="1:5" x14ac:dyDescent="0.25">
      <c r="A858" s="25"/>
      <c r="B858" s="26"/>
      <c r="C858" s="25"/>
      <c r="D858" s="27"/>
      <c r="E858" s="25" t="str">
        <f ca="1">IF(ISBLANK(Entries[[#This Row],[Date]])," ",IFERROR(TODAY()-B858," "))</f>
        <v xml:space="preserve"> </v>
      </c>
    </row>
    <row r="859" spans="1:5" x14ac:dyDescent="0.25">
      <c r="A859" s="25"/>
      <c r="B859" s="26"/>
      <c r="C859" s="25"/>
      <c r="D859" s="27"/>
      <c r="E859" s="25" t="str">
        <f ca="1">IF(ISBLANK(Entries[[#This Row],[Date]])," ",IFERROR(TODAY()-B859," "))</f>
        <v xml:space="preserve"> </v>
      </c>
    </row>
    <row r="860" spans="1:5" x14ac:dyDescent="0.25">
      <c r="A860" s="25"/>
      <c r="B860" s="26"/>
      <c r="C860" s="25"/>
      <c r="D860" s="27"/>
      <c r="E860" s="25" t="str">
        <f ca="1">IF(ISBLANK(Entries[[#This Row],[Date]])," ",IFERROR(TODAY()-B860," "))</f>
        <v xml:space="preserve"> </v>
      </c>
    </row>
    <row r="861" spans="1:5" x14ac:dyDescent="0.25">
      <c r="A861" s="25"/>
      <c r="B861" s="26"/>
      <c r="C861" s="25"/>
      <c r="D861" s="27"/>
      <c r="E861" s="25" t="str">
        <f ca="1">IF(ISBLANK(Entries[[#This Row],[Date]])," ",IFERROR(TODAY()-B861," "))</f>
        <v xml:space="preserve"> </v>
      </c>
    </row>
    <row r="862" spans="1:5" x14ac:dyDescent="0.25">
      <c r="A862" s="25"/>
      <c r="B862" s="26"/>
      <c r="C862" s="25"/>
      <c r="D862" s="27"/>
      <c r="E862" s="25" t="str">
        <f ca="1">IF(ISBLANK(Entries[[#This Row],[Date]])," ",IFERROR(TODAY()-B862," "))</f>
        <v xml:space="preserve"> </v>
      </c>
    </row>
    <row r="863" spans="1:5" x14ac:dyDescent="0.25">
      <c r="A863" s="25"/>
      <c r="B863" s="26"/>
      <c r="C863" s="25"/>
      <c r="D863" s="27"/>
      <c r="E863" s="25" t="str">
        <f ca="1">IF(ISBLANK(Entries[[#This Row],[Date]])," ",IFERROR(TODAY()-B863," "))</f>
        <v xml:space="preserve"> </v>
      </c>
    </row>
    <row r="864" spans="1:5" x14ac:dyDescent="0.25">
      <c r="A864" s="25"/>
      <c r="B864" s="26"/>
      <c r="C864" s="25"/>
      <c r="D864" s="27"/>
      <c r="E864" s="25" t="str">
        <f ca="1">IF(ISBLANK(Entries[[#This Row],[Date]])," ",IFERROR(TODAY()-B864," "))</f>
        <v xml:space="preserve"> </v>
      </c>
    </row>
    <row r="865" spans="1:5" x14ac:dyDescent="0.25">
      <c r="A865" s="25"/>
      <c r="B865" s="26"/>
      <c r="C865" s="25"/>
      <c r="D865" s="27"/>
      <c r="E865" s="25" t="str">
        <f ca="1">IF(ISBLANK(Entries[[#This Row],[Date]])," ",IFERROR(TODAY()-B865," "))</f>
        <v xml:space="preserve"> </v>
      </c>
    </row>
    <row r="866" spans="1:5" x14ac:dyDescent="0.25">
      <c r="A866" s="25"/>
      <c r="B866" s="26"/>
      <c r="C866" s="25"/>
      <c r="D866" s="27"/>
      <c r="E866" s="25" t="str">
        <f ca="1">IF(ISBLANK(Entries[[#This Row],[Date]])," ",IFERROR(TODAY()-B866," "))</f>
        <v xml:space="preserve"> </v>
      </c>
    </row>
    <row r="867" spans="1:5" x14ac:dyDescent="0.25">
      <c r="A867" s="25"/>
      <c r="B867" s="26"/>
      <c r="C867" s="25"/>
      <c r="D867" s="27"/>
      <c r="E867" s="25" t="str">
        <f ca="1">IF(ISBLANK(Entries[[#This Row],[Date]])," ",IFERROR(TODAY()-B867," "))</f>
        <v xml:space="preserve"> </v>
      </c>
    </row>
    <row r="868" spans="1:5" x14ac:dyDescent="0.25">
      <c r="A868" s="25"/>
      <c r="B868" s="26"/>
      <c r="C868" s="25"/>
      <c r="D868" s="27"/>
      <c r="E868" s="25" t="str">
        <f ca="1">IF(ISBLANK(Entries[[#This Row],[Date]])," ",IFERROR(TODAY()-B868," "))</f>
        <v xml:space="preserve"> </v>
      </c>
    </row>
    <row r="869" spans="1:5" x14ac:dyDescent="0.25">
      <c r="A869" s="25"/>
      <c r="B869" s="26"/>
      <c r="C869" s="25"/>
      <c r="D869" s="27"/>
      <c r="E869" s="25" t="str">
        <f ca="1">IF(ISBLANK(Entries[[#This Row],[Date]])," ",IFERROR(TODAY()-B869," "))</f>
        <v xml:space="preserve"> </v>
      </c>
    </row>
    <row r="870" spans="1:5" x14ac:dyDescent="0.25">
      <c r="A870" s="25"/>
      <c r="B870" s="26"/>
      <c r="C870" s="25"/>
      <c r="D870" s="27"/>
      <c r="E870" s="25" t="str">
        <f ca="1">IF(ISBLANK(Entries[[#This Row],[Date]])," ",IFERROR(TODAY()-B870," "))</f>
        <v xml:space="preserve"> </v>
      </c>
    </row>
    <row r="871" spans="1:5" x14ac:dyDescent="0.25">
      <c r="A871" s="25"/>
      <c r="B871" s="26"/>
      <c r="C871" s="25"/>
      <c r="D871" s="27"/>
      <c r="E871" s="25" t="str">
        <f ca="1">IF(ISBLANK(Entries[[#This Row],[Date]])," ",IFERROR(TODAY()-B871," "))</f>
        <v xml:space="preserve"> </v>
      </c>
    </row>
    <row r="872" spans="1:5" x14ac:dyDescent="0.25">
      <c r="A872" s="25"/>
      <c r="B872" s="26"/>
      <c r="C872" s="25"/>
      <c r="D872" s="27"/>
      <c r="E872" s="25" t="str">
        <f ca="1">IF(ISBLANK(Entries[[#This Row],[Date]])," ",IFERROR(TODAY()-B872," "))</f>
        <v xml:space="preserve"> </v>
      </c>
    </row>
    <row r="873" spans="1:5" x14ac:dyDescent="0.25">
      <c r="A873" s="25"/>
      <c r="B873" s="26"/>
      <c r="C873" s="25"/>
      <c r="D873" s="27"/>
      <c r="E873" s="25" t="str">
        <f ca="1">IF(ISBLANK(Entries[[#This Row],[Date]])," ",IFERROR(TODAY()-B873," "))</f>
        <v xml:space="preserve"> </v>
      </c>
    </row>
    <row r="874" spans="1:5" x14ac:dyDescent="0.25">
      <c r="A874" s="25"/>
      <c r="B874" s="26"/>
      <c r="C874" s="25"/>
      <c r="D874" s="27"/>
      <c r="E874" s="25" t="str">
        <f ca="1">IF(ISBLANK(Entries[[#This Row],[Date]])," ",IFERROR(TODAY()-B874," "))</f>
        <v xml:space="preserve"> </v>
      </c>
    </row>
    <row r="875" spans="1:5" x14ac:dyDescent="0.25">
      <c r="A875" s="25"/>
      <c r="B875" s="26"/>
      <c r="C875" s="25"/>
      <c r="D875" s="27"/>
      <c r="E875" s="25" t="str">
        <f ca="1">IF(ISBLANK(Entries[[#This Row],[Date]])," ",IFERROR(TODAY()-B875," "))</f>
        <v xml:space="preserve"> </v>
      </c>
    </row>
    <row r="876" spans="1:5" x14ac:dyDescent="0.25">
      <c r="A876" s="25"/>
      <c r="B876" s="26"/>
      <c r="C876" s="25"/>
      <c r="D876" s="27"/>
      <c r="E876" s="25" t="str">
        <f ca="1">IF(ISBLANK(Entries[[#This Row],[Date]])," ",IFERROR(TODAY()-B876," "))</f>
        <v xml:space="preserve"> </v>
      </c>
    </row>
    <row r="877" spans="1:5" x14ac:dyDescent="0.25">
      <c r="A877" s="25"/>
      <c r="B877" s="26"/>
      <c r="C877" s="25"/>
      <c r="D877" s="27"/>
      <c r="E877" s="25" t="str">
        <f ca="1">IF(ISBLANK(Entries[[#This Row],[Date]])," ",IFERROR(TODAY()-B877," "))</f>
        <v xml:space="preserve"> </v>
      </c>
    </row>
    <row r="878" spans="1:5" x14ac:dyDescent="0.25">
      <c r="A878" s="25"/>
      <c r="B878" s="26"/>
      <c r="C878" s="25"/>
      <c r="D878" s="27"/>
      <c r="E878" s="25" t="str">
        <f ca="1">IF(ISBLANK(Entries[[#This Row],[Date]])," ",IFERROR(TODAY()-B878," "))</f>
        <v xml:space="preserve"> </v>
      </c>
    </row>
    <row r="879" spans="1:5" x14ac:dyDescent="0.25">
      <c r="A879" s="25"/>
      <c r="B879" s="26"/>
      <c r="C879" s="25"/>
      <c r="D879" s="27"/>
      <c r="E879" s="25" t="str">
        <f ca="1">IF(ISBLANK(Entries[[#This Row],[Date]])," ",IFERROR(TODAY()-B879," "))</f>
        <v xml:space="preserve"> </v>
      </c>
    </row>
    <row r="880" spans="1:5" x14ac:dyDescent="0.25">
      <c r="A880" s="25"/>
      <c r="B880" s="26"/>
      <c r="C880" s="25"/>
      <c r="D880" s="27"/>
      <c r="E880" s="25" t="str">
        <f ca="1">IF(ISBLANK(Entries[[#This Row],[Date]])," ",IFERROR(TODAY()-B880," "))</f>
        <v xml:space="preserve"> </v>
      </c>
    </row>
    <row r="881" spans="1:5" x14ac:dyDescent="0.25">
      <c r="A881" s="25"/>
      <c r="B881" s="26"/>
      <c r="C881" s="25"/>
      <c r="D881" s="27"/>
      <c r="E881" s="25" t="str">
        <f ca="1">IF(ISBLANK(Entries[[#This Row],[Date]])," ",IFERROR(TODAY()-B881," "))</f>
        <v xml:space="preserve"> </v>
      </c>
    </row>
    <row r="882" spans="1:5" x14ac:dyDescent="0.25">
      <c r="A882" s="25"/>
      <c r="B882" s="26"/>
      <c r="C882" s="25"/>
      <c r="D882" s="27"/>
      <c r="E882" s="25" t="str">
        <f ca="1">IF(ISBLANK(Entries[[#This Row],[Date]])," ",IFERROR(TODAY()-B882," "))</f>
        <v xml:space="preserve"> </v>
      </c>
    </row>
    <row r="883" spans="1:5" x14ac:dyDescent="0.25">
      <c r="A883" s="25"/>
      <c r="B883" s="26"/>
      <c r="C883" s="25"/>
      <c r="D883" s="27"/>
      <c r="E883" s="25" t="str">
        <f ca="1">IF(ISBLANK(Entries[[#This Row],[Date]])," ",IFERROR(TODAY()-B883," "))</f>
        <v xml:space="preserve"> </v>
      </c>
    </row>
    <row r="884" spans="1:5" x14ac:dyDescent="0.25">
      <c r="A884" s="25"/>
      <c r="B884" s="26"/>
      <c r="C884" s="25"/>
      <c r="D884" s="27"/>
      <c r="E884" s="25" t="str">
        <f ca="1">IF(ISBLANK(Entries[[#This Row],[Date]])," ",IFERROR(TODAY()-B884," "))</f>
        <v xml:space="preserve"> </v>
      </c>
    </row>
    <row r="885" spans="1:5" x14ac:dyDescent="0.25">
      <c r="A885" s="25"/>
      <c r="B885" s="26"/>
      <c r="C885" s="25"/>
      <c r="D885" s="27"/>
      <c r="E885" s="25" t="str">
        <f ca="1">IF(ISBLANK(Entries[[#This Row],[Date]])," ",IFERROR(TODAY()-B885," "))</f>
        <v xml:space="preserve"> </v>
      </c>
    </row>
    <row r="886" spans="1:5" x14ac:dyDescent="0.25">
      <c r="A886" s="25"/>
      <c r="B886" s="26"/>
      <c r="C886" s="25"/>
      <c r="D886" s="27"/>
      <c r="E886" s="25" t="str">
        <f ca="1">IF(ISBLANK(Entries[[#This Row],[Date]])," ",IFERROR(TODAY()-B886," "))</f>
        <v xml:space="preserve"> </v>
      </c>
    </row>
    <row r="887" spans="1:5" x14ac:dyDescent="0.25">
      <c r="A887" s="25"/>
      <c r="B887" s="26"/>
      <c r="C887" s="25"/>
      <c r="D887" s="27"/>
      <c r="E887" s="25" t="str">
        <f ca="1">IF(ISBLANK(Entries[[#This Row],[Date]])," ",IFERROR(TODAY()-B887," "))</f>
        <v xml:space="preserve"> </v>
      </c>
    </row>
    <row r="888" spans="1:5" x14ac:dyDescent="0.25">
      <c r="A888" s="25"/>
      <c r="B888" s="26"/>
      <c r="C888" s="25"/>
      <c r="D888" s="27"/>
      <c r="E888" s="25" t="str">
        <f ca="1">IF(ISBLANK(Entries[[#This Row],[Date]])," ",IFERROR(TODAY()-B888," "))</f>
        <v xml:space="preserve"> </v>
      </c>
    </row>
    <row r="889" spans="1:5" x14ac:dyDescent="0.25">
      <c r="A889" s="25"/>
      <c r="B889" s="26"/>
      <c r="C889" s="25"/>
      <c r="D889" s="27"/>
      <c r="E889" s="25" t="str">
        <f ca="1">IF(ISBLANK(Entries[[#This Row],[Date]])," ",IFERROR(TODAY()-B889," "))</f>
        <v xml:space="preserve"> </v>
      </c>
    </row>
    <row r="890" spans="1:5" x14ac:dyDescent="0.25">
      <c r="A890" s="25"/>
      <c r="B890" s="26"/>
      <c r="C890" s="25"/>
      <c r="D890" s="27"/>
      <c r="E890" s="25" t="str">
        <f ca="1">IF(ISBLANK(Entries[[#This Row],[Date]])," ",IFERROR(TODAY()-B890," "))</f>
        <v xml:space="preserve"> </v>
      </c>
    </row>
    <row r="891" spans="1:5" x14ac:dyDescent="0.25">
      <c r="A891" s="25"/>
      <c r="B891" s="26"/>
      <c r="C891" s="25"/>
      <c r="D891" s="27"/>
      <c r="E891" s="25" t="str">
        <f ca="1">IF(ISBLANK(Entries[[#This Row],[Date]])," ",IFERROR(TODAY()-B891," "))</f>
        <v xml:space="preserve"> </v>
      </c>
    </row>
    <row r="892" spans="1:5" x14ac:dyDescent="0.25">
      <c r="A892" s="25"/>
      <c r="B892" s="26"/>
      <c r="C892" s="25"/>
      <c r="D892" s="27"/>
      <c r="E892" s="25" t="str">
        <f ca="1">IF(ISBLANK(Entries[[#This Row],[Date]])," ",IFERROR(TODAY()-B892," "))</f>
        <v xml:space="preserve"> </v>
      </c>
    </row>
    <row r="893" spans="1:5" x14ac:dyDescent="0.25">
      <c r="A893" s="25"/>
      <c r="B893" s="26"/>
      <c r="C893" s="25"/>
      <c r="D893" s="27"/>
      <c r="E893" s="25" t="str">
        <f ca="1">IF(ISBLANK(Entries[[#This Row],[Date]])," ",IFERROR(TODAY()-B893," "))</f>
        <v xml:space="preserve"> </v>
      </c>
    </row>
    <row r="894" spans="1:5" x14ac:dyDescent="0.25">
      <c r="A894" s="25"/>
      <c r="B894" s="26"/>
      <c r="C894" s="25"/>
      <c r="D894" s="27"/>
      <c r="E894" s="25" t="str">
        <f ca="1">IF(ISBLANK(Entries[[#This Row],[Date]])," ",IFERROR(TODAY()-B894," "))</f>
        <v xml:space="preserve"> </v>
      </c>
    </row>
    <row r="895" spans="1:5" x14ac:dyDescent="0.25">
      <c r="A895" s="25"/>
      <c r="B895" s="26"/>
      <c r="C895" s="25"/>
      <c r="D895" s="27"/>
      <c r="E895" s="25" t="str">
        <f ca="1">IF(ISBLANK(Entries[[#This Row],[Date]])," ",IFERROR(TODAY()-B895," "))</f>
        <v xml:space="preserve"> </v>
      </c>
    </row>
    <row r="896" spans="1:5" x14ac:dyDescent="0.25">
      <c r="A896" s="25"/>
      <c r="B896" s="26"/>
      <c r="C896" s="25"/>
      <c r="D896" s="27"/>
      <c r="E896" s="25" t="str">
        <f ca="1">IF(ISBLANK(Entries[[#This Row],[Date]])," ",IFERROR(TODAY()-B896," "))</f>
        <v xml:space="preserve"> </v>
      </c>
    </row>
    <row r="897" spans="1:5" x14ac:dyDescent="0.25">
      <c r="A897" s="25"/>
      <c r="B897" s="26"/>
      <c r="C897" s="25"/>
      <c r="D897" s="27"/>
      <c r="E897" s="25" t="str">
        <f ca="1">IF(ISBLANK(Entries[[#This Row],[Date]])," ",IFERROR(TODAY()-B897," "))</f>
        <v xml:space="preserve"> </v>
      </c>
    </row>
    <row r="898" spans="1:5" x14ac:dyDescent="0.25">
      <c r="A898" s="25"/>
      <c r="B898" s="26"/>
      <c r="C898" s="25"/>
      <c r="D898" s="27"/>
      <c r="E898" s="25" t="str">
        <f ca="1">IF(ISBLANK(Entries[[#This Row],[Date]])," ",IFERROR(TODAY()-B898," "))</f>
        <v xml:space="preserve"> </v>
      </c>
    </row>
    <row r="899" spans="1:5" x14ac:dyDescent="0.25">
      <c r="A899" s="25"/>
      <c r="B899" s="26"/>
      <c r="C899" s="25"/>
      <c r="D899" s="27"/>
      <c r="E899" s="25" t="str">
        <f ca="1">IF(ISBLANK(Entries[[#This Row],[Date]])," ",IFERROR(TODAY()-B899," "))</f>
        <v xml:space="preserve"> </v>
      </c>
    </row>
    <row r="900" spans="1:5" x14ac:dyDescent="0.25">
      <c r="A900" s="25"/>
      <c r="B900" s="26"/>
      <c r="C900" s="25"/>
      <c r="D900" s="27"/>
      <c r="E900" s="25" t="str">
        <f ca="1">IF(ISBLANK(Entries[[#This Row],[Date]])," ",IFERROR(TODAY()-B900," "))</f>
        <v xml:space="preserve"> </v>
      </c>
    </row>
    <row r="901" spans="1:5" x14ac:dyDescent="0.25">
      <c r="A901" s="25"/>
      <c r="B901" s="26"/>
      <c r="C901" s="25"/>
      <c r="D901" s="27"/>
      <c r="E901" s="25" t="str">
        <f ca="1">IF(ISBLANK(Entries[[#This Row],[Date]])," ",IFERROR(TODAY()-B901," "))</f>
        <v xml:space="preserve"> </v>
      </c>
    </row>
    <row r="902" spans="1:5" x14ac:dyDescent="0.25">
      <c r="A902" s="25"/>
      <c r="B902" s="26"/>
      <c r="C902" s="25"/>
      <c r="D902" s="27"/>
      <c r="E902" s="25" t="str">
        <f ca="1">IF(ISBLANK(Entries[[#This Row],[Date]])," ",IFERROR(TODAY()-B902," "))</f>
        <v xml:space="preserve"> </v>
      </c>
    </row>
    <row r="903" spans="1:5" x14ac:dyDescent="0.25">
      <c r="A903" s="25"/>
      <c r="B903" s="26"/>
      <c r="C903" s="25"/>
      <c r="D903" s="27"/>
      <c r="E903" s="25" t="str">
        <f ca="1">IF(ISBLANK(Entries[[#This Row],[Date]])," ",IFERROR(TODAY()-B903," "))</f>
        <v xml:space="preserve"> </v>
      </c>
    </row>
    <row r="904" spans="1:5" x14ac:dyDescent="0.25">
      <c r="A904" s="25"/>
      <c r="B904" s="26"/>
      <c r="C904" s="25"/>
      <c r="D904" s="27"/>
      <c r="E904" s="25" t="str">
        <f ca="1">IF(ISBLANK(Entries[[#This Row],[Date]])," ",IFERROR(TODAY()-B904," "))</f>
        <v xml:space="preserve"> </v>
      </c>
    </row>
    <row r="905" spans="1:5" x14ac:dyDescent="0.25">
      <c r="A905" s="25"/>
      <c r="B905" s="26"/>
      <c r="C905" s="25"/>
      <c r="D905" s="27"/>
      <c r="E905" s="25" t="str">
        <f ca="1">IF(ISBLANK(Entries[[#This Row],[Date]])," ",IFERROR(TODAY()-B905," "))</f>
        <v xml:space="preserve"> </v>
      </c>
    </row>
    <row r="906" spans="1:5" x14ac:dyDescent="0.25">
      <c r="A906" s="25"/>
      <c r="B906" s="26"/>
      <c r="C906" s="25"/>
      <c r="D906" s="27"/>
      <c r="E906" s="25" t="str">
        <f ca="1">IF(ISBLANK(Entries[[#This Row],[Date]])," ",IFERROR(TODAY()-B906," "))</f>
        <v xml:space="preserve"> </v>
      </c>
    </row>
    <row r="907" spans="1:5" x14ac:dyDescent="0.25">
      <c r="A907" s="25"/>
      <c r="B907" s="26"/>
      <c r="C907" s="25"/>
      <c r="D907" s="27"/>
      <c r="E907" s="25" t="str">
        <f ca="1">IF(ISBLANK(Entries[[#This Row],[Date]])," ",IFERROR(TODAY()-B907," "))</f>
        <v xml:space="preserve"> </v>
      </c>
    </row>
    <row r="908" spans="1:5" x14ac:dyDescent="0.25">
      <c r="A908" s="25"/>
      <c r="B908" s="26"/>
      <c r="C908" s="25"/>
      <c r="D908" s="27"/>
      <c r="E908" s="25" t="str">
        <f ca="1">IF(ISBLANK(Entries[[#This Row],[Date]])," ",IFERROR(TODAY()-B908," "))</f>
        <v xml:space="preserve"> </v>
      </c>
    </row>
    <row r="909" spans="1:5" x14ac:dyDescent="0.25">
      <c r="A909" s="25"/>
      <c r="B909" s="26"/>
      <c r="C909" s="25"/>
      <c r="D909" s="27"/>
      <c r="E909" s="25" t="str">
        <f ca="1">IF(ISBLANK(Entries[[#This Row],[Date]])," ",IFERROR(TODAY()-B909," "))</f>
        <v xml:space="preserve"> </v>
      </c>
    </row>
    <row r="910" spans="1:5" x14ac:dyDescent="0.25">
      <c r="A910" s="25"/>
      <c r="B910" s="26"/>
      <c r="C910" s="25"/>
      <c r="D910" s="27"/>
      <c r="E910" s="25" t="str">
        <f ca="1">IF(ISBLANK(Entries[[#This Row],[Date]])," ",IFERROR(TODAY()-B910," "))</f>
        <v xml:space="preserve"> </v>
      </c>
    </row>
    <row r="911" spans="1:5" x14ac:dyDescent="0.25">
      <c r="A911" s="25"/>
      <c r="B911" s="26"/>
      <c r="C911" s="25"/>
      <c r="D911" s="27"/>
      <c r="E911" s="25" t="str">
        <f ca="1">IF(ISBLANK(Entries[[#This Row],[Date]])," ",IFERROR(TODAY()-B911," "))</f>
        <v xml:space="preserve"> </v>
      </c>
    </row>
    <row r="912" spans="1:5" x14ac:dyDescent="0.25">
      <c r="A912" s="25"/>
      <c r="B912" s="26"/>
      <c r="C912" s="25"/>
      <c r="D912" s="27"/>
      <c r="E912" s="25" t="str">
        <f ca="1">IF(ISBLANK(Entries[[#This Row],[Date]])," ",IFERROR(TODAY()-B912," "))</f>
        <v xml:space="preserve"> </v>
      </c>
    </row>
    <row r="913" spans="1:5" x14ac:dyDescent="0.25">
      <c r="A913" s="25"/>
      <c r="B913" s="26"/>
      <c r="C913" s="25"/>
      <c r="D913" s="27"/>
      <c r="E913" s="25" t="str">
        <f ca="1">IF(ISBLANK(Entries[[#This Row],[Date]])," ",IFERROR(TODAY()-B913," "))</f>
        <v xml:space="preserve"> </v>
      </c>
    </row>
    <row r="914" spans="1:5" x14ac:dyDescent="0.25">
      <c r="A914" s="25"/>
      <c r="B914" s="26"/>
      <c r="C914" s="25"/>
      <c r="D914" s="27"/>
      <c r="E914" s="25" t="str">
        <f ca="1">IF(ISBLANK(Entries[[#This Row],[Date]])," ",IFERROR(TODAY()-B914," "))</f>
        <v xml:space="preserve"> </v>
      </c>
    </row>
    <row r="915" spans="1:5" x14ac:dyDescent="0.25">
      <c r="A915" s="25"/>
      <c r="B915" s="26"/>
      <c r="C915" s="25"/>
      <c r="D915" s="27"/>
      <c r="E915" s="25" t="str">
        <f ca="1">IF(ISBLANK(Entries[[#This Row],[Date]])," ",IFERROR(TODAY()-B915," "))</f>
        <v xml:space="preserve"> </v>
      </c>
    </row>
    <row r="916" spans="1:5" x14ac:dyDescent="0.25">
      <c r="A916" s="25"/>
      <c r="B916" s="26"/>
      <c r="C916" s="25"/>
      <c r="D916" s="27"/>
      <c r="E916" s="25" t="str">
        <f ca="1">IF(ISBLANK(Entries[[#This Row],[Date]])," ",IFERROR(TODAY()-B916," "))</f>
        <v xml:space="preserve"> </v>
      </c>
    </row>
    <row r="917" spans="1:5" x14ac:dyDescent="0.25">
      <c r="A917" s="25"/>
      <c r="B917" s="26"/>
      <c r="C917" s="25"/>
      <c r="D917" s="27"/>
      <c r="E917" s="25" t="str">
        <f ca="1">IF(ISBLANK(Entries[[#This Row],[Date]])," ",IFERROR(TODAY()-B917," "))</f>
        <v xml:space="preserve"> </v>
      </c>
    </row>
    <row r="918" spans="1:5" x14ac:dyDescent="0.25">
      <c r="A918" s="25"/>
      <c r="B918" s="26"/>
      <c r="C918" s="25"/>
      <c r="D918" s="27"/>
      <c r="E918" s="25" t="str">
        <f ca="1">IF(ISBLANK(Entries[[#This Row],[Date]])," ",IFERROR(TODAY()-B918," "))</f>
        <v xml:space="preserve"> </v>
      </c>
    </row>
    <row r="919" spans="1:5" x14ac:dyDescent="0.25">
      <c r="A919" s="25"/>
      <c r="B919" s="26"/>
      <c r="C919" s="25"/>
      <c r="D919" s="27"/>
      <c r="E919" s="25" t="str">
        <f ca="1">IF(ISBLANK(Entries[[#This Row],[Date]])," ",IFERROR(TODAY()-B919," "))</f>
        <v xml:space="preserve"> </v>
      </c>
    </row>
    <row r="920" spans="1:5" x14ac:dyDescent="0.25">
      <c r="A920" s="25"/>
      <c r="B920" s="26"/>
      <c r="C920" s="25"/>
      <c r="D920" s="27"/>
      <c r="E920" s="25" t="str">
        <f ca="1">IF(ISBLANK(Entries[[#This Row],[Date]])," ",IFERROR(TODAY()-B920," "))</f>
        <v xml:space="preserve"> </v>
      </c>
    </row>
    <row r="921" spans="1:5" x14ac:dyDescent="0.25">
      <c r="A921" s="25"/>
      <c r="B921" s="26"/>
      <c r="C921" s="25"/>
      <c r="D921" s="27"/>
      <c r="E921" s="25" t="str">
        <f ca="1">IF(ISBLANK(Entries[[#This Row],[Date]])," ",IFERROR(TODAY()-B921," "))</f>
        <v xml:space="preserve"> </v>
      </c>
    </row>
    <row r="922" spans="1:5" x14ac:dyDescent="0.25">
      <c r="A922" s="25"/>
      <c r="B922" s="26"/>
      <c r="C922" s="25"/>
      <c r="D922" s="27"/>
      <c r="E922" s="25" t="str">
        <f ca="1">IF(ISBLANK(Entries[[#This Row],[Date]])," ",IFERROR(TODAY()-B922," "))</f>
        <v xml:space="preserve"> </v>
      </c>
    </row>
    <row r="923" spans="1:5" x14ac:dyDescent="0.25">
      <c r="A923" s="25"/>
      <c r="B923" s="26"/>
      <c r="C923" s="25"/>
      <c r="D923" s="27"/>
      <c r="E923" s="25" t="str">
        <f ca="1">IF(ISBLANK(Entries[[#This Row],[Date]])," ",IFERROR(TODAY()-B923," "))</f>
        <v xml:space="preserve"> </v>
      </c>
    </row>
    <row r="924" spans="1:5" x14ac:dyDescent="0.25">
      <c r="A924" s="25"/>
      <c r="B924" s="26"/>
      <c r="C924" s="25"/>
      <c r="D924" s="27"/>
      <c r="E924" s="25" t="str">
        <f ca="1">IF(ISBLANK(Entries[[#This Row],[Date]])," ",IFERROR(TODAY()-B924," "))</f>
        <v xml:space="preserve"> </v>
      </c>
    </row>
    <row r="925" spans="1:5" x14ac:dyDescent="0.25">
      <c r="A925" s="25"/>
      <c r="B925" s="26"/>
      <c r="C925" s="25"/>
      <c r="D925" s="27"/>
      <c r="E925" s="25" t="str">
        <f ca="1">IF(ISBLANK(Entries[[#This Row],[Date]])," ",IFERROR(TODAY()-B925," "))</f>
        <v xml:space="preserve"> </v>
      </c>
    </row>
    <row r="926" spans="1:5" x14ac:dyDescent="0.25">
      <c r="A926" s="25"/>
      <c r="B926" s="26"/>
      <c r="C926" s="25"/>
      <c r="D926" s="27"/>
      <c r="E926" s="25" t="str">
        <f ca="1">IF(ISBLANK(Entries[[#This Row],[Date]])," ",IFERROR(TODAY()-B926," "))</f>
        <v xml:space="preserve"> </v>
      </c>
    </row>
    <row r="927" spans="1:5" x14ac:dyDescent="0.25">
      <c r="A927" s="25"/>
      <c r="B927" s="26"/>
      <c r="C927" s="25"/>
      <c r="D927" s="27"/>
      <c r="E927" s="25" t="str">
        <f ca="1">IF(ISBLANK(Entries[[#This Row],[Date]])," ",IFERROR(TODAY()-B927," "))</f>
        <v xml:space="preserve"> </v>
      </c>
    </row>
    <row r="928" spans="1:5" x14ac:dyDescent="0.25">
      <c r="A928" s="25"/>
      <c r="B928" s="26"/>
      <c r="C928" s="25"/>
      <c r="D928" s="27"/>
      <c r="E928" s="25" t="str">
        <f ca="1">IF(ISBLANK(Entries[[#This Row],[Date]])," ",IFERROR(TODAY()-B928," "))</f>
        <v xml:space="preserve"> </v>
      </c>
    </row>
    <row r="929" spans="1:5" x14ac:dyDescent="0.25">
      <c r="A929" s="25"/>
      <c r="B929" s="26"/>
      <c r="C929" s="25"/>
      <c r="D929" s="27"/>
      <c r="E929" s="25" t="str">
        <f ca="1">IF(ISBLANK(Entries[[#This Row],[Date]])," ",IFERROR(TODAY()-B929," "))</f>
        <v xml:space="preserve"> </v>
      </c>
    </row>
    <row r="930" spans="1:5" x14ac:dyDescent="0.25">
      <c r="A930" s="25"/>
      <c r="B930" s="26"/>
      <c r="C930" s="25"/>
      <c r="D930" s="27"/>
      <c r="E930" s="25" t="str">
        <f ca="1">IF(ISBLANK(Entries[[#This Row],[Date]])," ",IFERROR(TODAY()-B930," "))</f>
        <v xml:space="preserve"> </v>
      </c>
    </row>
    <row r="931" spans="1:5" x14ac:dyDescent="0.25">
      <c r="A931" s="25"/>
      <c r="B931" s="26"/>
      <c r="C931" s="25"/>
      <c r="D931" s="27"/>
      <c r="E931" s="25" t="str">
        <f ca="1">IF(ISBLANK(Entries[[#This Row],[Date]])," ",IFERROR(TODAY()-B931," "))</f>
        <v xml:space="preserve"> </v>
      </c>
    </row>
    <row r="932" spans="1:5" x14ac:dyDescent="0.25">
      <c r="A932" s="25"/>
      <c r="B932" s="26"/>
      <c r="C932" s="25"/>
      <c r="D932" s="27"/>
      <c r="E932" s="25" t="str">
        <f ca="1">IF(ISBLANK(Entries[[#This Row],[Date]])," ",IFERROR(TODAY()-B932," "))</f>
        <v xml:space="preserve"> </v>
      </c>
    </row>
    <row r="933" spans="1:5" x14ac:dyDescent="0.25">
      <c r="A933" s="25"/>
      <c r="B933" s="26"/>
      <c r="C933" s="25"/>
      <c r="D933" s="27"/>
      <c r="E933" s="25" t="str">
        <f ca="1">IF(ISBLANK(Entries[[#This Row],[Date]])," ",IFERROR(TODAY()-B933," "))</f>
        <v xml:space="preserve"> </v>
      </c>
    </row>
    <row r="934" spans="1:5" x14ac:dyDescent="0.25">
      <c r="A934" s="25"/>
      <c r="B934" s="26"/>
      <c r="C934" s="25"/>
      <c r="D934" s="27"/>
      <c r="E934" s="25" t="str">
        <f ca="1">IF(ISBLANK(Entries[[#This Row],[Date]])," ",IFERROR(TODAY()-B934," "))</f>
        <v xml:space="preserve"> </v>
      </c>
    </row>
    <row r="935" spans="1:5" x14ac:dyDescent="0.25">
      <c r="A935" s="25"/>
      <c r="B935" s="26"/>
      <c r="C935" s="25"/>
      <c r="D935" s="27"/>
      <c r="E935" s="25" t="str">
        <f ca="1">IF(ISBLANK(Entries[[#This Row],[Date]])," ",IFERROR(TODAY()-B935," "))</f>
        <v xml:space="preserve"> </v>
      </c>
    </row>
    <row r="936" spans="1:5" x14ac:dyDescent="0.25">
      <c r="A936" s="25"/>
      <c r="B936" s="26"/>
      <c r="C936" s="25"/>
      <c r="D936" s="27"/>
      <c r="E936" s="25" t="str">
        <f ca="1">IF(ISBLANK(Entries[[#This Row],[Date]])," ",IFERROR(TODAY()-B936," "))</f>
        <v xml:space="preserve"> </v>
      </c>
    </row>
    <row r="937" spans="1:5" x14ac:dyDescent="0.25">
      <c r="A937" s="25"/>
      <c r="B937" s="26"/>
      <c r="C937" s="25"/>
      <c r="D937" s="27"/>
      <c r="E937" s="25" t="str">
        <f ca="1">IF(ISBLANK(Entries[[#This Row],[Date]])," ",IFERROR(TODAY()-B937," "))</f>
        <v xml:space="preserve"> </v>
      </c>
    </row>
    <row r="938" spans="1:5" x14ac:dyDescent="0.25">
      <c r="A938" s="25"/>
      <c r="B938" s="26"/>
      <c r="C938" s="25"/>
      <c r="D938" s="27"/>
      <c r="E938" s="25" t="str">
        <f ca="1">IF(ISBLANK(Entries[[#This Row],[Date]])," ",IFERROR(TODAY()-B938," "))</f>
        <v xml:space="preserve"> </v>
      </c>
    </row>
    <row r="939" spans="1:5" x14ac:dyDescent="0.25">
      <c r="A939" s="25"/>
      <c r="B939" s="26"/>
      <c r="C939" s="25"/>
      <c r="D939" s="27"/>
      <c r="E939" s="25" t="str">
        <f ca="1">IF(ISBLANK(Entries[[#This Row],[Date]])," ",IFERROR(TODAY()-B939," "))</f>
        <v xml:space="preserve"> </v>
      </c>
    </row>
    <row r="940" spans="1:5" x14ac:dyDescent="0.25">
      <c r="A940" s="25"/>
      <c r="B940" s="26"/>
      <c r="C940" s="25"/>
      <c r="D940" s="27"/>
      <c r="E940" s="25" t="str">
        <f ca="1">IF(ISBLANK(Entries[[#This Row],[Date]])," ",IFERROR(TODAY()-B940," "))</f>
        <v xml:space="preserve"> </v>
      </c>
    </row>
    <row r="941" spans="1:5" x14ac:dyDescent="0.25">
      <c r="A941" s="25"/>
      <c r="B941" s="26"/>
      <c r="C941" s="25"/>
      <c r="D941" s="27"/>
      <c r="E941" s="25" t="str">
        <f ca="1">IF(ISBLANK(Entries[[#This Row],[Date]])," ",IFERROR(TODAY()-B941," "))</f>
        <v xml:space="preserve"> </v>
      </c>
    </row>
    <row r="942" spans="1:5" x14ac:dyDescent="0.25">
      <c r="A942" s="25"/>
      <c r="B942" s="26"/>
      <c r="C942" s="25"/>
      <c r="D942" s="27"/>
      <c r="E942" s="25" t="str">
        <f ca="1">IF(ISBLANK(Entries[[#This Row],[Date]])," ",IFERROR(TODAY()-B942," "))</f>
        <v xml:space="preserve"> </v>
      </c>
    </row>
    <row r="943" spans="1:5" x14ac:dyDescent="0.25">
      <c r="A943" s="25"/>
      <c r="B943" s="26"/>
      <c r="C943" s="25"/>
      <c r="D943" s="27"/>
      <c r="E943" s="25" t="str">
        <f ca="1">IF(ISBLANK(Entries[[#This Row],[Date]])," ",IFERROR(TODAY()-B943," "))</f>
        <v xml:space="preserve"> </v>
      </c>
    </row>
    <row r="944" spans="1:5" x14ac:dyDescent="0.25">
      <c r="A944" s="25"/>
      <c r="B944" s="26"/>
      <c r="C944" s="25"/>
      <c r="D944" s="27"/>
      <c r="E944" s="25" t="str">
        <f ca="1">IF(ISBLANK(Entries[[#This Row],[Date]])," ",IFERROR(TODAY()-B944," "))</f>
        <v xml:space="preserve"> </v>
      </c>
    </row>
    <row r="945" spans="1:5" x14ac:dyDescent="0.25">
      <c r="A945" s="25"/>
      <c r="B945" s="26"/>
      <c r="C945" s="25"/>
      <c r="D945" s="27"/>
      <c r="E945" s="25" t="str">
        <f ca="1">IF(ISBLANK(Entries[[#This Row],[Date]])," ",IFERROR(TODAY()-B945," "))</f>
        <v xml:space="preserve"> </v>
      </c>
    </row>
    <row r="946" spans="1:5" x14ac:dyDescent="0.25">
      <c r="A946" s="25"/>
      <c r="B946" s="26"/>
      <c r="C946" s="25"/>
      <c r="D946" s="27"/>
      <c r="E946" s="25" t="str">
        <f ca="1">IF(ISBLANK(Entries[[#This Row],[Date]])," ",IFERROR(TODAY()-B946," "))</f>
        <v xml:space="preserve"> </v>
      </c>
    </row>
    <row r="947" spans="1:5" x14ac:dyDescent="0.25">
      <c r="A947" s="25"/>
      <c r="B947" s="26"/>
      <c r="C947" s="25"/>
      <c r="D947" s="27"/>
      <c r="E947" s="25" t="str">
        <f ca="1">IF(ISBLANK(Entries[[#This Row],[Date]])," ",IFERROR(TODAY()-B947," "))</f>
        <v xml:space="preserve"> </v>
      </c>
    </row>
    <row r="948" spans="1:5" x14ac:dyDescent="0.25">
      <c r="A948" s="25"/>
      <c r="B948" s="26"/>
      <c r="C948" s="25"/>
      <c r="D948" s="27"/>
      <c r="E948" s="25" t="str">
        <f ca="1">IF(ISBLANK(Entries[[#This Row],[Date]])," ",IFERROR(TODAY()-B948," "))</f>
        <v xml:space="preserve"> </v>
      </c>
    </row>
    <row r="949" spans="1:5" x14ac:dyDescent="0.25">
      <c r="A949" s="25"/>
      <c r="B949" s="26"/>
      <c r="C949" s="25"/>
      <c r="D949" s="27"/>
      <c r="E949" s="25" t="str">
        <f ca="1">IF(ISBLANK(Entries[[#This Row],[Date]])," ",IFERROR(TODAY()-B949," "))</f>
        <v xml:space="preserve"> </v>
      </c>
    </row>
    <row r="950" spans="1:5" x14ac:dyDescent="0.25">
      <c r="A950" s="25"/>
      <c r="B950" s="26"/>
      <c r="C950" s="25"/>
      <c r="D950" s="27"/>
      <c r="E950" s="25" t="str">
        <f ca="1">IF(ISBLANK(Entries[[#This Row],[Date]])," ",IFERROR(TODAY()-B950," "))</f>
        <v xml:space="preserve"> </v>
      </c>
    </row>
    <row r="951" spans="1:5" x14ac:dyDescent="0.25">
      <c r="A951" s="25"/>
      <c r="B951" s="26"/>
      <c r="C951" s="25"/>
      <c r="D951" s="27"/>
      <c r="E951" s="25" t="str">
        <f ca="1">IF(ISBLANK(Entries[[#This Row],[Date]])," ",IFERROR(TODAY()-B951," "))</f>
        <v xml:space="preserve"> </v>
      </c>
    </row>
    <row r="952" spans="1:5" x14ac:dyDescent="0.25">
      <c r="A952" s="25"/>
      <c r="B952" s="26"/>
      <c r="C952" s="25"/>
      <c r="D952" s="27"/>
      <c r="E952" s="25" t="str">
        <f ca="1">IF(ISBLANK(Entries[[#This Row],[Date]])," ",IFERROR(TODAY()-B952," "))</f>
        <v xml:space="preserve"> </v>
      </c>
    </row>
    <row r="953" spans="1:5" x14ac:dyDescent="0.25">
      <c r="A953" s="25"/>
      <c r="B953" s="26"/>
      <c r="C953" s="25"/>
      <c r="D953" s="27"/>
      <c r="E953" s="25" t="str">
        <f ca="1">IF(ISBLANK(Entries[[#This Row],[Date]])," ",IFERROR(TODAY()-B953," "))</f>
        <v xml:space="preserve"> </v>
      </c>
    </row>
    <row r="954" spans="1:5" x14ac:dyDescent="0.25">
      <c r="A954" s="25"/>
      <c r="B954" s="26"/>
      <c r="C954" s="25"/>
      <c r="D954" s="27"/>
      <c r="E954" s="25" t="str">
        <f ca="1">IF(ISBLANK(Entries[[#This Row],[Date]])," ",IFERROR(TODAY()-B954," "))</f>
        <v xml:space="preserve"> </v>
      </c>
    </row>
    <row r="955" spans="1:5" x14ac:dyDescent="0.25">
      <c r="A955" s="25"/>
      <c r="B955" s="26"/>
      <c r="C955" s="25"/>
      <c r="D955" s="27"/>
      <c r="E955" s="25" t="str">
        <f ca="1">IF(ISBLANK(Entries[[#This Row],[Date]])," ",IFERROR(TODAY()-B955," "))</f>
        <v xml:space="preserve"> </v>
      </c>
    </row>
    <row r="956" spans="1:5" x14ac:dyDescent="0.25">
      <c r="A956" s="25"/>
      <c r="B956" s="26"/>
      <c r="C956" s="25"/>
      <c r="D956" s="27"/>
      <c r="E956" s="25" t="str">
        <f ca="1">IF(ISBLANK(Entries[[#This Row],[Date]])," ",IFERROR(TODAY()-B956," "))</f>
        <v xml:space="preserve"> </v>
      </c>
    </row>
    <row r="957" spans="1:5" x14ac:dyDescent="0.25">
      <c r="A957" s="25"/>
      <c r="B957" s="26"/>
      <c r="C957" s="25"/>
      <c r="D957" s="27"/>
      <c r="E957" s="25" t="str">
        <f ca="1">IF(ISBLANK(Entries[[#This Row],[Date]])," ",IFERROR(TODAY()-B957," "))</f>
        <v xml:space="preserve"> </v>
      </c>
    </row>
    <row r="958" spans="1:5" x14ac:dyDescent="0.25">
      <c r="A958" s="25"/>
      <c r="B958" s="26"/>
      <c r="C958" s="25"/>
      <c r="D958" s="27"/>
      <c r="E958" s="25" t="str">
        <f ca="1">IF(ISBLANK(Entries[[#This Row],[Date]])," ",IFERROR(TODAY()-B958," "))</f>
        <v xml:space="preserve"> </v>
      </c>
    </row>
    <row r="959" spans="1:5" x14ac:dyDescent="0.25">
      <c r="A959" s="25"/>
      <c r="B959" s="26"/>
      <c r="C959" s="25"/>
      <c r="D959" s="27"/>
      <c r="E959" s="25" t="str">
        <f ca="1">IF(ISBLANK(Entries[[#This Row],[Date]])," ",IFERROR(TODAY()-B959," "))</f>
        <v xml:space="preserve"> </v>
      </c>
    </row>
    <row r="960" spans="1:5" x14ac:dyDescent="0.25">
      <c r="A960" s="25"/>
      <c r="B960" s="26"/>
      <c r="C960" s="25"/>
      <c r="D960" s="27"/>
      <c r="E960" s="25" t="str">
        <f ca="1">IF(ISBLANK(Entries[[#This Row],[Date]])," ",IFERROR(TODAY()-B960," "))</f>
        <v xml:space="preserve"> </v>
      </c>
    </row>
    <row r="961" spans="1:5" x14ac:dyDescent="0.25">
      <c r="A961" s="25"/>
      <c r="B961" s="26"/>
      <c r="C961" s="25"/>
      <c r="D961" s="27"/>
      <c r="E961" s="25" t="str">
        <f ca="1">IF(ISBLANK(Entries[[#This Row],[Date]])," ",IFERROR(TODAY()-B961," "))</f>
        <v xml:space="preserve"> </v>
      </c>
    </row>
    <row r="962" spans="1:5" x14ac:dyDescent="0.25">
      <c r="A962" s="25"/>
      <c r="B962" s="26"/>
      <c r="C962" s="25"/>
      <c r="D962" s="27"/>
      <c r="E962" s="25" t="str">
        <f ca="1">IF(ISBLANK(Entries[[#This Row],[Date]])," ",IFERROR(TODAY()-B962," "))</f>
        <v xml:space="preserve"> </v>
      </c>
    </row>
    <row r="963" spans="1:5" x14ac:dyDescent="0.25">
      <c r="A963" s="25"/>
      <c r="B963" s="26"/>
      <c r="C963" s="25"/>
      <c r="D963" s="27"/>
      <c r="E963" s="25" t="str">
        <f ca="1">IF(ISBLANK(Entries[[#This Row],[Date]])," ",IFERROR(TODAY()-B963," "))</f>
        <v xml:space="preserve"> </v>
      </c>
    </row>
    <row r="964" spans="1:5" x14ac:dyDescent="0.25">
      <c r="A964" s="25"/>
      <c r="B964" s="26"/>
      <c r="C964" s="25"/>
      <c r="D964" s="27"/>
      <c r="E964" s="25" t="str">
        <f ca="1">IF(ISBLANK(Entries[[#This Row],[Date]])," ",IFERROR(TODAY()-B964," "))</f>
        <v xml:space="preserve"> </v>
      </c>
    </row>
    <row r="965" spans="1:5" x14ac:dyDescent="0.25">
      <c r="A965" s="25"/>
      <c r="B965" s="26"/>
      <c r="C965" s="25"/>
      <c r="D965" s="27"/>
      <c r="E965" s="25" t="str">
        <f ca="1">IF(ISBLANK(Entries[[#This Row],[Date]])," ",IFERROR(TODAY()-B965," "))</f>
        <v xml:space="preserve"> </v>
      </c>
    </row>
    <row r="966" spans="1:5" x14ac:dyDescent="0.25">
      <c r="A966" s="25"/>
      <c r="B966" s="26"/>
      <c r="C966" s="25"/>
      <c r="D966" s="27"/>
      <c r="E966" s="25" t="str">
        <f ca="1">IF(ISBLANK(Entries[[#This Row],[Date]])," ",IFERROR(TODAY()-B966," "))</f>
        <v xml:space="preserve"> </v>
      </c>
    </row>
    <row r="967" spans="1:5" x14ac:dyDescent="0.25">
      <c r="A967" s="25"/>
      <c r="B967" s="26"/>
      <c r="C967" s="25"/>
      <c r="D967" s="27"/>
      <c r="E967" s="25" t="str">
        <f ca="1">IF(ISBLANK(Entries[[#This Row],[Date]])," ",IFERROR(TODAY()-B967," "))</f>
        <v xml:space="preserve"> </v>
      </c>
    </row>
    <row r="968" spans="1:5" x14ac:dyDescent="0.25">
      <c r="A968" s="25"/>
      <c r="B968" s="26"/>
      <c r="C968" s="25"/>
      <c r="D968" s="27"/>
      <c r="E968" s="25" t="str">
        <f ca="1">IF(ISBLANK(Entries[[#This Row],[Date]])," ",IFERROR(TODAY()-B968," "))</f>
        <v xml:space="preserve"> </v>
      </c>
    </row>
    <row r="969" spans="1:5" x14ac:dyDescent="0.25">
      <c r="A969" s="25"/>
      <c r="B969" s="26"/>
      <c r="C969" s="25"/>
      <c r="D969" s="27"/>
      <c r="E969" s="25" t="str">
        <f ca="1">IF(ISBLANK(Entries[[#This Row],[Date]])," ",IFERROR(TODAY()-B969," "))</f>
        <v xml:space="preserve"> </v>
      </c>
    </row>
    <row r="970" spans="1:5" x14ac:dyDescent="0.25">
      <c r="A970" s="25"/>
      <c r="B970" s="26"/>
      <c r="C970" s="25"/>
      <c r="D970" s="27"/>
      <c r="E970" s="25" t="str">
        <f ca="1">IF(ISBLANK(Entries[[#This Row],[Date]])," ",IFERROR(TODAY()-B970," "))</f>
        <v xml:space="preserve"> </v>
      </c>
    </row>
    <row r="971" spans="1:5" x14ac:dyDescent="0.25">
      <c r="A971" s="25"/>
      <c r="B971" s="26"/>
      <c r="C971" s="25"/>
      <c r="D971" s="27"/>
      <c r="E971" s="25" t="str">
        <f ca="1">IF(ISBLANK(Entries[[#This Row],[Date]])," ",IFERROR(TODAY()-B971," "))</f>
        <v xml:space="preserve"> </v>
      </c>
    </row>
    <row r="972" spans="1:5" x14ac:dyDescent="0.25">
      <c r="A972" s="25"/>
      <c r="B972" s="26"/>
      <c r="C972" s="25"/>
      <c r="D972" s="27"/>
      <c r="E972" s="25" t="str">
        <f ca="1">IF(ISBLANK(Entries[[#This Row],[Date]])," ",IFERROR(TODAY()-B972," "))</f>
        <v xml:space="preserve"> </v>
      </c>
    </row>
    <row r="973" spans="1:5" x14ac:dyDescent="0.25">
      <c r="A973" s="25"/>
      <c r="B973" s="26"/>
      <c r="C973" s="25"/>
      <c r="D973" s="27"/>
      <c r="E973" s="25" t="str">
        <f ca="1">IF(ISBLANK(Entries[[#This Row],[Date]])," ",IFERROR(TODAY()-B973," "))</f>
        <v xml:space="preserve"> </v>
      </c>
    </row>
    <row r="974" spans="1:5" x14ac:dyDescent="0.25">
      <c r="A974" s="25"/>
      <c r="B974" s="26"/>
      <c r="C974" s="25"/>
      <c r="D974" s="27"/>
      <c r="E974" s="25" t="str">
        <f ca="1">IF(ISBLANK(Entries[[#This Row],[Date]])," ",IFERROR(TODAY()-B974," "))</f>
        <v xml:space="preserve"> </v>
      </c>
    </row>
    <row r="975" spans="1:5" x14ac:dyDescent="0.25">
      <c r="A975" s="25"/>
      <c r="B975" s="26"/>
      <c r="C975" s="25"/>
      <c r="D975" s="27"/>
      <c r="E975" s="25" t="str">
        <f ca="1">IF(ISBLANK(Entries[[#This Row],[Date]])," ",IFERROR(TODAY()-B975," "))</f>
        <v xml:space="preserve"> </v>
      </c>
    </row>
    <row r="976" spans="1:5" x14ac:dyDescent="0.25">
      <c r="A976" s="25"/>
      <c r="B976" s="26"/>
      <c r="C976" s="25"/>
      <c r="D976" s="27"/>
      <c r="E976" s="25" t="str">
        <f ca="1">IF(ISBLANK(Entries[[#This Row],[Date]])," ",IFERROR(TODAY()-B976," "))</f>
        <v xml:space="preserve"> </v>
      </c>
    </row>
    <row r="977" spans="1:5" x14ac:dyDescent="0.25">
      <c r="A977" s="25"/>
      <c r="B977" s="26"/>
      <c r="C977" s="25"/>
      <c r="D977" s="27"/>
      <c r="E977" s="25" t="str">
        <f ca="1">IF(ISBLANK(Entries[[#This Row],[Date]])," ",IFERROR(TODAY()-B977," "))</f>
        <v xml:space="preserve"> </v>
      </c>
    </row>
    <row r="978" spans="1:5" x14ac:dyDescent="0.25">
      <c r="A978" s="25"/>
      <c r="B978" s="26"/>
      <c r="C978" s="25"/>
      <c r="D978" s="27"/>
      <c r="E978" s="25" t="str">
        <f ca="1">IF(ISBLANK(Entries[[#This Row],[Date]])," ",IFERROR(TODAY()-B978," "))</f>
        <v xml:space="preserve"> </v>
      </c>
    </row>
    <row r="979" spans="1:5" x14ac:dyDescent="0.25">
      <c r="A979" s="25"/>
      <c r="B979" s="26"/>
      <c r="C979" s="25"/>
      <c r="D979" s="27"/>
      <c r="E979" s="25" t="str">
        <f ca="1">IF(ISBLANK(Entries[[#This Row],[Date]])," ",IFERROR(TODAY()-B979," "))</f>
        <v xml:space="preserve"> </v>
      </c>
    </row>
    <row r="980" spans="1:5" x14ac:dyDescent="0.25">
      <c r="A980" s="25"/>
      <c r="B980" s="26"/>
      <c r="C980" s="25"/>
      <c r="D980" s="27"/>
      <c r="E980" s="25" t="str">
        <f ca="1">IF(ISBLANK(Entries[[#This Row],[Date]])," ",IFERROR(TODAY()-B980," "))</f>
        <v xml:space="preserve"> </v>
      </c>
    </row>
    <row r="981" spans="1:5" x14ac:dyDescent="0.25">
      <c r="A981" s="25"/>
      <c r="B981" s="26"/>
      <c r="C981" s="25"/>
      <c r="D981" s="27"/>
      <c r="E981" s="25" t="str">
        <f ca="1">IF(ISBLANK(Entries[[#This Row],[Date]])," ",IFERROR(TODAY()-B981," "))</f>
        <v xml:space="preserve"> </v>
      </c>
    </row>
    <row r="982" spans="1:5" x14ac:dyDescent="0.25">
      <c r="A982" s="25"/>
      <c r="B982" s="26"/>
      <c r="C982" s="25"/>
      <c r="D982" s="27"/>
      <c r="E982" s="25" t="str">
        <f ca="1">IF(ISBLANK(Entries[[#This Row],[Date]])," ",IFERROR(TODAY()-B982," "))</f>
        <v xml:space="preserve"> </v>
      </c>
    </row>
    <row r="983" spans="1:5" x14ac:dyDescent="0.25">
      <c r="A983" s="25"/>
      <c r="B983" s="26"/>
      <c r="C983" s="25"/>
      <c r="D983" s="27"/>
      <c r="E983" s="25" t="str">
        <f ca="1">IF(ISBLANK(Entries[[#This Row],[Date]])," ",IFERROR(TODAY()-B983," "))</f>
        <v xml:space="preserve"> </v>
      </c>
    </row>
    <row r="984" spans="1:5" x14ac:dyDescent="0.25">
      <c r="A984" s="25"/>
      <c r="B984" s="26"/>
      <c r="C984" s="25"/>
      <c r="D984" s="27"/>
      <c r="E984" s="25" t="str">
        <f ca="1">IF(ISBLANK(Entries[[#This Row],[Date]])," ",IFERROR(TODAY()-B984," "))</f>
        <v xml:space="preserve"> </v>
      </c>
    </row>
    <row r="985" spans="1:5" x14ac:dyDescent="0.25">
      <c r="A985" s="25"/>
      <c r="B985" s="26"/>
      <c r="C985" s="25"/>
      <c r="D985" s="27"/>
      <c r="E985" s="25" t="str">
        <f ca="1">IF(ISBLANK(Entries[[#This Row],[Date]])," ",IFERROR(TODAY()-B985," "))</f>
        <v xml:space="preserve"> </v>
      </c>
    </row>
    <row r="986" spans="1:5" x14ac:dyDescent="0.25">
      <c r="A986" s="25"/>
      <c r="B986" s="26"/>
      <c r="C986" s="25"/>
      <c r="D986" s="27"/>
      <c r="E986" s="25" t="str">
        <f ca="1">IF(ISBLANK(Entries[[#This Row],[Date]])," ",IFERROR(TODAY()-B986," "))</f>
        <v xml:space="preserve"> </v>
      </c>
    </row>
    <row r="987" spans="1:5" x14ac:dyDescent="0.25">
      <c r="A987" s="25"/>
      <c r="B987" s="26"/>
      <c r="C987" s="25"/>
      <c r="D987" s="27"/>
      <c r="E987" s="25" t="str">
        <f ca="1">IF(ISBLANK(Entries[[#This Row],[Date]])," ",IFERROR(TODAY()-B987," "))</f>
        <v xml:space="preserve"> </v>
      </c>
    </row>
    <row r="988" spans="1:5" x14ac:dyDescent="0.25">
      <c r="A988" s="25"/>
      <c r="B988" s="26"/>
      <c r="C988" s="25"/>
      <c r="D988" s="27"/>
      <c r="E988" s="25" t="str">
        <f ca="1">IF(ISBLANK(Entries[[#This Row],[Date]])," ",IFERROR(TODAY()-B988," "))</f>
        <v xml:space="preserve"> </v>
      </c>
    </row>
    <row r="989" spans="1:5" x14ac:dyDescent="0.25">
      <c r="A989" s="25"/>
      <c r="B989" s="26"/>
      <c r="C989" s="25"/>
      <c r="D989" s="27"/>
      <c r="E989" s="25" t="str">
        <f ca="1">IF(ISBLANK(Entries[[#This Row],[Date]])," ",IFERROR(TODAY()-B989," "))</f>
        <v xml:space="preserve"> </v>
      </c>
    </row>
    <row r="990" spans="1:5" x14ac:dyDescent="0.25">
      <c r="A990" s="25"/>
      <c r="B990" s="26"/>
      <c r="C990" s="25"/>
      <c r="D990" s="27"/>
      <c r="E990" s="25" t="str">
        <f ca="1">IF(ISBLANK(Entries[[#This Row],[Date]])," ",IFERROR(TODAY()-B990," "))</f>
        <v xml:space="preserve"> </v>
      </c>
    </row>
    <row r="991" spans="1:5" x14ac:dyDescent="0.25">
      <c r="A991" s="25"/>
      <c r="B991" s="26"/>
      <c r="C991" s="25"/>
      <c r="D991" s="27"/>
      <c r="E991" s="25" t="str">
        <f ca="1">IF(ISBLANK(Entries[[#This Row],[Date]])," ",IFERROR(TODAY()-B991," "))</f>
        <v xml:space="preserve"> </v>
      </c>
    </row>
    <row r="992" spans="1:5" x14ac:dyDescent="0.25">
      <c r="A992" s="25"/>
      <c r="B992" s="26"/>
      <c r="C992" s="25"/>
      <c r="D992" s="27"/>
      <c r="E992" s="25" t="str">
        <f ca="1">IF(ISBLANK(Entries[[#This Row],[Date]])," ",IFERROR(TODAY()-B992," "))</f>
        <v xml:space="preserve"> </v>
      </c>
    </row>
    <row r="993" spans="1:5" x14ac:dyDescent="0.25">
      <c r="A993" s="25"/>
      <c r="B993" s="26"/>
      <c r="C993" s="25"/>
      <c r="D993" s="27"/>
      <c r="E993" s="25" t="str">
        <f ca="1">IF(ISBLANK(Entries[[#This Row],[Date]])," ",IFERROR(TODAY()-B993," "))</f>
        <v xml:space="preserve"> </v>
      </c>
    </row>
    <row r="994" spans="1:5" x14ac:dyDescent="0.25">
      <c r="A994" s="25"/>
      <c r="B994" s="26"/>
      <c r="C994" s="25"/>
      <c r="D994" s="27"/>
      <c r="E994" s="25" t="str">
        <f ca="1">IF(ISBLANK(Entries[[#This Row],[Date]])," ",IFERROR(TODAY()-B994," "))</f>
        <v xml:space="preserve"> </v>
      </c>
    </row>
    <row r="995" spans="1:5" x14ac:dyDescent="0.25">
      <c r="A995" s="25"/>
      <c r="B995" s="26"/>
      <c r="C995" s="25"/>
      <c r="D995" s="27"/>
      <c r="E995" s="25" t="str">
        <f ca="1">IF(ISBLANK(Entries[[#This Row],[Date]])," ",IFERROR(TODAY()-B995," "))</f>
        <v xml:space="preserve"> </v>
      </c>
    </row>
    <row r="996" spans="1:5" x14ac:dyDescent="0.25">
      <c r="A996" s="25"/>
      <c r="B996" s="26"/>
      <c r="C996" s="25"/>
      <c r="D996" s="27"/>
      <c r="E996" s="25" t="str">
        <f ca="1">IF(ISBLANK(Entries[[#This Row],[Date]])," ",IFERROR(TODAY()-B996," "))</f>
        <v xml:space="preserve"> </v>
      </c>
    </row>
    <row r="997" spans="1:5" x14ac:dyDescent="0.25">
      <c r="A997" s="25"/>
      <c r="B997" s="26"/>
      <c r="C997" s="25"/>
      <c r="D997" s="27"/>
      <c r="E997" s="25" t="str">
        <f ca="1">IF(ISBLANK(Entries[[#This Row],[Date]])," ",IFERROR(TODAY()-B997," "))</f>
        <v xml:space="preserve"> </v>
      </c>
    </row>
    <row r="998" spans="1:5" x14ac:dyDescent="0.25">
      <c r="A998" s="25"/>
      <c r="B998" s="26"/>
      <c r="C998" s="25"/>
      <c r="D998" s="27"/>
      <c r="E998" s="25" t="str">
        <f ca="1">IF(ISBLANK(Entries[[#This Row],[Date]])," ",IFERROR(TODAY()-B998," "))</f>
        <v xml:space="preserve"> </v>
      </c>
    </row>
    <row r="999" spans="1:5" x14ac:dyDescent="0.25">
      <c r="A999" s="25"/>
      <c r="B999" s="26"/>
      <c r="C999" s="25"/>
      <c r="D999" s="27"/>
      <c r="E999" s="25" t="str">
        <f ca="1">IF(ISBLANK(Entries[[#This Row],[Date]])," ",IFERROR(TODAY()-B999," "))</f>
        <v xml:space="preserve"> </v>
      </c>
    </row>
    <row r="1000" spans="1:5" x14ac:dyDescent="0.25">
      <c r="A1000" s="25"/>
      <c r="B1000" s="26"/>
      <c r="C1000" s="25"/>
      <c r="D1000" s="27"/>
      <c r="E1000" s="25" t="str">
        <f ca="1">IF(ISBLANK(Entries[[#This Row],[Date]])," ",IFERROR(TODAY()-B1000," "))</f>
        <v xml:space="preserve"> </v>
      </c>
    </row>
  </sheetData>
  <mergeCells count="1">
    <mergeCell ref="A1:H3"/>
  </mergeCell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2987D-775B-4F57-AE01-902924F4320D}">
  <sheetPr codeName="Sheet2"/>
  <dimension ref="A2:G1000"/>
  <sheetViews>
    <sheetView workbookViewId="0">
      <selection activeCell="B7" sqref="B7"/>
    </sheetView>
  </sheetViews>
  <sheetFormatPr defaultRowHeight="15" x14ac:dyDescent="0.25"/>
  <cols>
    <col min="2" max="2" width="10.5703125" customWidth="1"/>
    <col min="3" max="3" width="16.5703125" style="2" customWidth="1"/>
    <col min="4" max="4" width="22.5703125" customWidth="1"/>
    <col min="7" max="7" width="9.5703125" bestFit="1" customWidth="1"/>
    <col min="10" max="10" width="9.42578125" bestFit="1" customWidth="1"/>
  </cols>
  <sheetData>
    <row r="2" spans="1:7" x14ac:dyDescent="0.25">
      <c r="A2" t="s">
        <v>0</v>
      </c>
      <c r="B2" t="s">
        <v>5</v>
      </c>
      <c r="C2" s="2" t="s">
        <v>6</v>
      </c>
      <c r="D2" t="s">
        <v>45</v>
      </c>
    </row>
    <row r="3" spans="1:7" x14ac:dyDescent="0.25">
      <c r="A3">
        <v>1</v>
      </c>
      <c r="B3" s="6" t="s">
        <v>9</v>
      </c>
      <c r="C3" s="2">
        <f>IF(ISBLANK(Table3[[#This Row],[Investor]])," ",SUMIF(Entries[[Investor Name ]],Calculations!B3,Entries[Deposit Amount]))</f>
        <v>40000000</v>
      </c>
      <c r="D3" s="7" t="str" cm="1">
        <f t="array" aca="1" ref="D3" ca="1">IFERROR(C3 + SUM(Dashboard!J23:J1005)*Query17[Conversion Rate] * SUMPRODUCT((Entries[[Investor Name ]]=Calculations!B3) * (Entries[Deposit Amount]) *(Entries[Time in Fund(Days)]))/SUMPRODUCT(Entries[Deposit Amount],Entries[Time in Fund(Days)])," ")</f>
        <v xml:space="preserve"> </v>
      </c>
    </row>
    <row r="4" spans="1:7" x14ac:dyDescent="0.25">
      <c r="A4">
        <v>2</v>
      </c>
      <c r="B4" s="6" t="s">
        <v>10</v>
      </c>
      <c r="C4" s="2">
        <f>IF(ISBLANK(Table3[[#This Row],[Investor]])," ",SUMIF(Entries[[Investor Name ]],Calculations!B4,Entries[Deposit Amount]))</f>
        <v>5400000</v>
      </c>
      <c r="D4" s="7" t="str" cm="1">
        <f t="array" aca="1" ref="D4" ca="1">IFERROR(C4 + SUM(Dashboard!J24:J1006)*Query17[Conversion Rate] * SUMPRODUCT((Entries[[Investor Name ]]=Calculations!B4) * (Entries[Deposit Amount]) *(Entries[Time in Fund(Days)]))/SUMPRODUCT(Entries[Deposit Amount],Entries[Time in Fund(Days)])," ")</f>
        <v xml:space="preserve"> </v>
      </c>
    </row>
    <row r="5" spans="1:7" x14ac:dyDescent="0.25">
      <c r="A5">
        <v>3</v>
      </c>
      <c r="B5" s="6" t="s">
        <v>42</v>
      </c>
      <c r="C5" s="2">
        <f>IF(ISBLANK(Table3[[#This Row],[Investor]])," ",SUMIF(Entries[[Investor Name ]],Calculations!B5,Entries[Deposit Amount]))</f>
        <v>79999</v>
      </c>
      <c r="D5" s="7" t="str" cm="1">
        <f t="array" aca="1" ref="D5" ca="1">IFERROR(C5 + SUM(Dashboard!J25:J1007)*Query17[Conversion Rate] * SUMPRODUCT((Entries[[Investor Name ]]=Calculations!B5) * (Entries[Deposit Amount]) *(Entries[Time in Fund(Days)]))/SUMPRODUCT(Entries[Deposit Amount],Entries[Time in Fund(Days)])," ")</f>
        <v xml:space="preserve"> </v>
      </c>
    </row>
    <row r="6" spans="1:7" x14ac:dyDescent="0.25">
      <c r="B6" s="6"/>
      <c r="D6" s="7" t="str" cm="1">
        <f t="array" aca="1" ref="D6" ca="1">IFERROR(C6 + SUM(Dashboard!J26:J1008)*Query17[Conversion Rate] * SUMPRODUCT((Entries[[Investor Name ]]=Calculations!B6) * (Entries[Deposit Amount]) *(Entries[Time in Fund(Days)]))/SUMPRODUCT(Entries[Deposit Amount],Entries[Time in Fund(Days)])," ")</f>
        <v xml:space="preserve"> </v>
      </c>
    </row>
    <row r="7" spans="1:7" x14ac:dyDescent="0.25">
      <c r="B7" s="6"/>
      <c r="C7" s="2" t="str">
        <f>IF(ISBLANK(Table3[[#This Row],[Investor]])," ",SUMIF(Entries[[Investor Name ]],Calculations!B7,Entries[Deposit Amount]))</f>
        <v xml:space="preserve"> </v>
      </c>
      <c r="D7" s="7" t="str" cm="1">
        <f t="array" aca="1" ref="D7" ca="1">IFERROR(C7 + SUM(Dashboard!J27:J1009)*Query17[Conversion Rate] * SUMPRODUCT((Entries[[Investor Name ]]=Calculations!B7) * (Entries[Deposit Amount]) *(Entries[Time in Fund(Days)]))/SUMPRODUCT(Entries[Deposit Amount],Entries[Time in Fund(Days)])," ")</f>
        <v xml:space="preserve"> </v>
      </c>
    </row>
    <row r="8" spans="1:7" x14ac:dyDescent="0.25">
      <c r="B8" s="6"/>
      <c r="C8" s="2" t="str">
        <f>IF(ISBLANK(Table3[[#This Row],[Investor]])," ",SUMIF(Entries[[Investor Name ]],Calculations!B8,Entries[Deposit Amount]))</f>
        <v xml:space="preserve"> </v>
      </c>
      <c r="D8" s="7" t="str" cm="1">
        <f t="array" aca="1" ref="D8" ca="1">IFERROR(C8 + SUM(Dashboard!J28:J1010)*Query17[Conversion Rate] * SUMPRODUCT((Entries[[Investor Name ]]=Calculations!B8) * (Entries[Deposit Amount]) *(Entries[Time in Fund(Days)]))/SUMPRODUCT(Entries[Deposit Amount],Entries[Time in Fund(Days)])," ")</f>
        <v xml:space="preserve"> </v>
      </c>
      <c r="G8" s="28"/>
    </row>
    <row r="9" spans="1:7" x14ac:dyDescent="0.25">
      <c r="B9" s="6"/>
      <c r="C9" s="2" t="str">
        <f>IF(ISBLANK(Table3[[#This Row],[Investor]])," ",SUMIF(Entries[[Investor Name ]],Calculations!B9,Entries[Deposit Amount]))</f>
        <v xml:space="preserve"> </v>
      </c>
      <c r="D9" s="7" t="str" cm="1">
        <f t="array" aca="1" ref="D9" ca="1">IFERROR(C9 + SUM(Dashboard!J29:J1011)*Query17[Conversion Rate] * SUMPRODUCT((Entries[[Investor Name ]]=Calculations!B9) * (Entries[Deposit Amount]) *(Entries[Time in Fund(Days)]))/SUMPRODUCT(Entries[Deposit Amount],Entries[Time in Fund(Days)])," ")</f>
        <v xml:space="preserve"> </v>
      </c>
    </row>
    <row r="10" spans="1:7" x14ac:dyDescent="0.25">
      <c r="B10" s="6"/>
      <c r="C10" s="2" t="str">
        <f>IF(ISBLANK(Table3[[#This Row],[Investor]])," ",SUMIF(Entries[[Investor Name ]],Calculations!B10,Entries[Deposit Amount]))</f>
        <v xml:space="preserve"> </v>
      </c>
      <c r="D10" s="7" t="str" cm="1">
        <f t="array" aca="1" ref="D10" ca="1">IFERROR(C10 + SUM(Dashboard!J30:J1012)*Query17[Conversion Rate] * SUMPRODUCT((Entries[[Investor Name ]]=Calculations!B10) * (Entries[Deposit Amount]) *(Entries[Time in Fund(Days)]))/SUMPRODUCT(Entries[Deposit Amount],Entries[Time in Fund(Days)])," ")</f>
        <v xml:space="preserve"> </v>
      </c>
    </row>
    <row r="11" spans="1:7" x14ac:dyDescent="0.25">
      <c r="B11" s="6"/>
      <c r="C11" s="2" t="str">
        <f>IF(ISBLANK(Table3[[#This Row],[Investor]])," ",SUMIF(Entries[[Investor Name ]],Calculations!B11,Entries[Deposit Amount]))</f>
        <v xml:space="preserve"> </v>
      </c>
      <c r="D11" s="7" t="str" cm="1">
        <f t="array" aca="1" ref="D11" ca="1">IFERROR(C11 + SUM(Dashboard!J31:J1013)*Query17[Conversion Rate] * SUMPRODUCT((Entries[[Investor Name ]]=Calculations!B11) * (Entries[Deposit Amount]) *(Entries[Time in Fund(Days)]))/SUMPRODUCT(Entries[Deposit Amount],Entries[Time in Fund(Days)])," ")</f>
        <v xml:space="preserve"> </v>
      </c>
    </row>
    <row r="12" spans="1:7" x14ac:dyDescent="0.25">
      <c r="B12" s="6"/>
      <c r="C12" s="2" t="str">
        <f>IF(ISBLANK(Table3[[#This Row],[Investor]])," ",SUMIF(Entries[[Investor Name ]],Calculations!B12,Entries[Deposit Amount]))</f>
        <v xml:space="preserve"> </v>
      </c>
      <c r="D12" s="7" t="str" cm="1">
        <f t="array" aca="1" ref="D12" ca="1">IFERROR(C12 + SUM(Dashboard!J32:J1014)*Query17[Conversion Rate] * SUMPRODUCT((Entries[[Investor Name ]]=Calculations!B12) * (Entries[Deposit Amount]) *(Entries[Time in Fund(Days)]))/SUMPRODUCT(Entries[Deposit Amount],Entries[Time in Fund(Days)])," ")</f>
        <v xml:space="preserve"> </v>
      </c>
    </row>
    <row r="13" spans="1:7" x14ac:dyDescent="0.25">
      <c r="B13" s="6"/>
      <c r="C13" s="2" t="str">
        <f>IF(ISBLANK(Table3[[#This Row],[Investor]])," ",SUMIF(Entries[[Investor Name ]],Calculations!B13,Entries[Deposit Amount]))</f>
        <v xml:space="preserve"> </v>
      </c>
      <c r="D13" s="7" t="str" cm="1">
        <f t="array" aca="1" ref="D13" ca="1">IFERROR(C13 + SUM(Dashboard!J33:J1015)*Query17[Conversion Rate] * SUMPRODUCT((Entries[[Investor Name ]]=Calculations!B13) * (Entries[Deposit Amount]) *(Entries[Time in Fund(Days)]))/SUMPRODUCT(Entries[Deposit Amount],Entries[Time in Fund(Days)])," ")</f>
        <v xml:space="preserve"> </v>
      </c>
    </row>
    <row r="14" spans="1:7" x14ac:dyDescent="0.25">
      <c r="B14" s="6"/>
      <c r="C14" s="2" t="str">
        <f>IF(ISBLANK(Table3[[#This Row],[Investor]])," ",SUMIF(Entries[[Investor Name ]],Calculations!B14,Entries[Deposit Amount]))</f>
        <v xml:space="preserve"> </v>
      </c>
      <c r="D14" s="7" t="str" cm="1">
        <f t="array" aca="1" ref="D14" ca="1">IFERROR(C14 + SUM(Dashboard!J34:J1016)*Query17[Conversion Rate] * SUMPRODUCT((Entries[[Investor Name ]]=Calculations!B14) * (Entries[Deposit Amount]) *(Entries[Time in Fund(Days)]))/SUMPRODUCT(Entries[Deposit Amount],Entries[Time in Fund(Days)])," ")</f>
        <v xml:space="preserve"> </v>
      </c>
    </row>
    <row r="15" spans="1:7" x14ac:dyDescent="0.25">
      <c r="B15" s="6"/>
      <c r="C15" s="2" t="str">
        <f>IF(ISBLANK(Table3[[#This Row],[Investor]])," ",SUMIF(Entries[[Investor Name ]],Calculations!B15,Entries[Deposit Amount]))</f>
        <v xml:space="preserve"> </v>
      </c>
      <c r="D15" s="7" t="str" cm="1">
        <f t="array" aca="1" ref="D15" ca="1">IFERROR(C15 + SUM(Dashboard!J35:J1017)*Query17[Conversion Rate] * SUMPRODUCT((Entries[[Investor Name ]]=Calculations!B15) * (Entries[Deposit Amount]) *(Entries[Time in Fund(Days)]))/SUMPRODUCT(Entries[Deposit Amount],Entries[Time in Fund(Days)])," ")</f>
        <v xml:space="preserve"> </v>
      </c>
    </row>
    <row r="16" spans="1:7" x14ac:dyDescent="0.25">
      <c r="B16" s="6"/>
      <c r="C16" s="2" t="str">
        <f>IF(ISBLANK(Table3[[#This Row],[Investor]])," ",SUMIF(Entries[[Investor Name ]],Calculations!B16,Entries[Deposit Amount]))</f>
        <v xml:space="preserve"> </v>
      </c>
      <c r="D16" s="7" t="str" cm="1">
        <f t="array" aca="1" ref="D16" ca="1">IFERROR(C16 + SUM(Dashboard!J36:J1018)*Query17[Conversion Rate] * SUMPRODUCT((Entries[[Investor Name ]]=Calculations!B16) * (Entries[Deposit Amount]) *(Entries[Time in Fund(Days)]))/SUMPRODUCT(Entries[Deposit Amount],Entries[Time in Fund(Days)])," ")</f>
        <v xml:space="preserve"> </v>
      </c>
    </row>
    <row r="17" spans="2:4" x14ac:dyDescent="0.25">
      <c r="B17" s="6"/>
      <c r="C17" s="2" t="str">
        <f>IF(ISBLANK(Table3[[#This Row],[Investor]])," ",SUMIF(Entries[[Investor Name ]],Calculations!B17,Entries[Deposit Amount]))</f>
        <v xml:space="preserve"> </v>
      </c>
      <c r="D17" s="7" t="str" cm="1">
        <f t="array" aca="1" ref="D17" ca="1">IFERROR(C17 + SUM(Dashboard!J37:J1019)*Query17[Conversion Rate] * SUMPRODUCT((Entries[[Investor Name ]]=Calculations!B17) * (Entries[Deposit Amount]) *(Entries[Time in Fund(Days)]))/SUMPRODUCT(Entries[Deposit Amount],Entries[Time in Fund(Days)])," ")</f>
        <v xml:space="preserve"> </v>
      </c>
    </row>
    <row r="18" spans="2:4" x14ac:dyDescent="0.25">
      <c r="B18" s="6"/>
      <c r="C18" s="2" t="str">
        <f>IF(ISBLANK(Table3[[#This Row],[Investor]])," ",SUMIF(Entries[[Investor Name ]],Calculations!B18,Entries[Deposit Amount]))</f>
        <v xml:space="preserve"> </v>
      </c>
      <c r="D18" s="7" t="str" cm="1">
        <f t="array" aca="1" ref="D18" ca="1">IFERROR(C18 + SUM(Dashboard!J38:J1020)*Query17[Conversion Rate] * SUMPRODUCT((Entries[[Investor Name ]]=Calculations!B18) * (Entries[Deposit Amount]) *(Entries[Time in Fund(Days)]))/SUMPRODUCT(Entries[Deposit Amount],Entries[Time in Fund(Days)])," ")</f>
        <v xml:space="preserve"> </v>
      </c>
    </row>
    <row r="19" spans="2:4" x14ac:dyDescent="0.25">
      <c r="B19" s="6"/>
      <c r="C19" s="2" t="str">
        <f>IF(ISBLANK(Table3[[#This Row],[Investor]])," ",SUMIF(Entries[[Investor Name ]],Calculations!B19,Entries[Deposit Amount]))</f>
        <v xml:space="preserve"> </v>
      </c>
      <c r="D19" s="7" t="str" cm="1">
        <f t="array" aca="1" ref="D19" ca="1">IFERROR(C19 + SUM(Dashboard!J39:J1021)*Query17[Conversion Rate] * SUMPRODUCT((Entries[[Investor Name ]]=Calculations!B19) * (Entries[Deposit Amount]) *(Entries[Time in Fund(Days)]))/SUMPRODUCT(Entries[Deposit Amount],Entries[Time in Fund(Days)])," ")</f>
        <v xml:space="preserve"> </v>
      </c>
    </row>
    <row r="20" spans="2:4" x14ac:dyDescent="0.25">
      <c r="B20" s="6"/>
      <c r="C20" s="2" t="str">
        <f>IF(ISBLANK(Table3[[#This Row],[Investor]])," ",SUMIF(Entries[[Investor Name ]],Calculations!B20,Entries[Deposit Amount]))</f>
        <v xml:space="preserve"> </v>
      </c>
      <c r="D20" s="7" t="str" cm="1">
        <f t="array" aca="1" ref="D20" ca="1">IFERROR(C20 + SUM(Dashboard!J40:J1022)*Query17[Conversion Rate] * SUMPRODUCT((Entries[[Investor Name ]]=Calculations!B20) * (Entries[Deposit Amount]) *(Entries[Time in Fund(Days)]))/SUMPRODUCT(Entries[Deposit Amount],Entries[Time in Fund(Days)])," ")</f>
        <v xml:space="preserve"> </v>
      </c>
    </row>
    <row r="21" spans="2:4" x14ac:dyDescent="0.25">
      <c r="B21" s="6"/>
      <c r="C21" s="2" t="str">
        <f>IF(ISBLANK(Table3[[#This Row],[Investor]])," ",SUMIF(Entries[[Investor Name ]],Calculations!B21,Entries[Deposit Amount]))</f>
        <v xml:space="preserve"> </v>
      </c>
      <c r="D21" s="7" t="str" cm="1">
        <f t="array" aca="1" ref="D21" ca="1">IFERROR(C21 + SUM(Dashboard!J41:J1023)*Query17[Conversion Rate] * SUMPRODUCT((Entries[[Investor Name ]]=Calculations!B21) * (Entries[Deposit Amount]) *(Entries[Time in Fund(Days)]))/SUMPRODUCT(Entries[Deposit Amount],Entries[Time in Fund(Days)])," ")</f>
        <v xml:space="preserve"> </v>
      </c>
    </row>
    <row r="22" spans="2:4" x14ac:dyDescent="0.25">
      <c r="B22" s="6"/>
      <c r="C22" s="2" t="str">
        <f>IF(ISBLANK(Table3[[#This Row],[Investor]])," ",SUMIF(Entries[[Investor Name ]],Calculations!B22,Entries[Deposit Amount]))</f>
        <v xml:space="preserve"> </v>
      </c>
      <c r="D22" s="7" t="str" cm="1">
        <f t="array" aca="1" ref="D22" ca="1">IFERROR(C22 + SUM(Dashboard!J42:J1024)*Query17[Conversion Rate] * SUMPRODUCT((Entries[[Investor Name ]]=Calculations!B22) * (Entries[Deposit Amount]) *(Entries[Time in Fund(Days)]))/SUMPRODUCT(Entries[Deposit Amount],Entries[Time in Fund(Days)])," ")</f>
        <v xml:space="preserve"> </v>
      </c>
    </row>
    <row r="23" spans="2:4" x14ac:dyDescent="0.25">
      <c r="B23" s="6"/>
      <c r="C23" s="2" t="str">
        <f>IF(ISBLANK(Table3[[#This Row],[Investor]])," ",SUMIF(Entries[[Investor Name ]],Calculations!B23,Entries[Deposit Amount]))</f>
        <v xml:space="preserve"> </v>
      </c>
      <c r="D23" s="7" t="str" cm="1">
        <f t="array" aca="1" ref="D23" ca="1">IFERROR(C23 + SUM(Dashboard!J43:J1025)*Query17[Conversion Rate] * SUMPRODUCT((Entries[[Investor Name ]]=Calculations!B23) * (Entries[Deposit Amount]) *(Entries[Time in Fund(Days)]))/SUMPRODUCT(Entries[Deposit Amount],Entries[Time in Fund(Days)])," ")</f>
        <v xml:space="preserve"> </v>
      </c>
    </row>
    <row r="24" spans="2:4" x14ac:dyDescent="0.25">
      <c r="B24" s="6"/>
      <c r="C24" s="2" t="str">
        <f>IF(ISBLANK(Table3[[#This Row],[Investor]])," ",SUMIF(Entries[[Investor Name ]],Calculations!B24,Entries[Deposit Amount]))</f>
        <v xml:space="preserve"> </v>
      </c>
      <c r="D24" s="7" t="str" cm="1">
        <f t="array" aca="1" ref="D24" ca="1">IFERROR(C24 + SUM(Dashboard!J44:J1026)*Query17[Conversion Rate] * SUMPRODUCT((Entries[[Investor Name ]]=Calculations!B24) * (Entries[Deposit Amount]) *(Entries[Time in Fund(Days)]))/SUMPRODUCT(Entries[Deposit Amount],Entries[Time in Fund(Days)])," ")</f>
        <v xml:space="preserve"> </v>
      </c>
    </row>
    <row r="25" spans="2:4" x14ac:dyDescent="0.25">
      <c r="B25" s="6"/>
      <c r="C25" s="2" t="str">
        <f>IF(ISBLANK(Table3[[#This Row],[Investor]])," ",SUMIF(Entries[[Investor Name ]],Calculations!B25,Entries[Deposit Amount]))</f>
        <v xml:space="preserve"> </v>
      </c>
      <c r="D25" s="7" t="str" cm="1">
        <f t="array" aca="1" ref="D25" ca="1">IFERROR(C25 + SUM(Dashboard!J45:J1027)*Query17[Conversion Rate] * SUMPRODUCT((Entries[[Investor Name ]]=Calculations!B25) * (Entries[Deposit Amount]) *(Entries[Time in Fund(Days)]))/SUMPRODUCT(Entries[Deposit Amount],Entries[Time in Fund(Days)])," ")</f>
        <v xml:space="preserve"> </v>
      </c>
    </row>
    <row r="26" spans="2:4" x14ac:dyDescent="0.25">
      <c r="B26" s="6"/>
      <c r="C26" s="2" t="str">
        <f>IF(ISBLANK(Table3[[#This Row],[Investor]])," ",SUMIF(Entries[[Investor Name ]],Calculations!B26,Entries[Deposit Amount]))</f>
        <v xml:space="preserve"> </v>
      </c>
      <c r="D26" s="7" t="str" cm="1">
        <f t="array" aca="1" ref="D26" ca="1">IFERROR(C26 + SUM(Dashboard!J46:J1028)*Query17[Conversion Rate] * SUMPRODUCT((Entries[[Investor Name ]]=Calculations!B26) * (Entries[Deposit Amount]) *(Entries[Time in Fund(Days)]))/SUMPRODUCT(Entries[Deposit Amount],Entries[Time in Fund(Days)])," ")</f>
        <v xml:space="preserve"> </v>
      </c>
    </row>
    <row r="27" spans="2:4" x14ac:dyDescent="0.25">
      <c r="B27" s="6"/>
      <c r="C27" s="2" t="str">
        <f>IF(ISBLANK(Table3[[#This Row],[Investor]])," ",SUMIF(Entries[[Investor Name ]],Calculations!B27,Entries[Deposit Amount]))</f>
        <v xml:space="preserve"> </v>
      </c>
      <c r="D27" s="7" t="str" cm="1">
        <f t="array" aca="1" ref="D27" ca="1">IFERROR(C27 + SUM(Dashboard!J47:J1029)*Query17[Conversion Rate] * SUMPRODUCT((Entries[[Investor Name ]]=Calculations!B27) * (Entries[Deposit Amount]) *(Entries[Time in Fund(Days)]))/SUMPRODUCT(Entries[Deposit Amount],Entries[Time in Fund(Days)])," ")</f>
        <v xml:space="preserve"> </v>
      </c>
    </row>
    <row r="28" spans="2:4" x14ac:dyDescent="0.25">
      <c r="B28" s="6"/>
      <c r="C28" s="2" t="str">
        <f>IF(ISBLANK(Table3[[#This Row],[Investor]])," ",SUMIF(Entries[[Investor Name ]],Calculations!B28,Entries[Deposit Amount]))</f>
        <v xml:space="preserve"> </v>
      </c>
      <c r="D28" s="7" t="str" cm="1">
        <f t="array" aca="1" ref="D28" ca="1">IFERROR(C28 + SUM(Dashboard!J48:J1030)*Query17[Conversion Rate] * SUMPRODUCT((Entries[[Investor Name ]]=Calculations!B28) * (Entries[Deposit Amount]) *(Entries[Time in Fund(Days)]))/SUMPRODUCT(Entries[Deposit Amount],Entries[Time in Fund(Days)])," ")</f>
        <v xml:space="preserve"> </v>
      </c>
    </row>
    <row r="29" spans="2:4" x14ac:dyDescent="0.25">
      <c r="B29" s="6"/>
      <c r="C29" s="2" t="str">
        <f>IF(ISBLANK(Table3[[#This Row],[Investor]])," ",SUMIF(Entries[[Investor Name ]],Calculations!B29,Entries[Deposit Amount]))</f>
        <v xml:space="preserve"> </v>
      </c>
      <c r="D29" s="7" t="str" cm="1">
        <f t="array" aca="1" ref="D29" ca="1">IFERROR(C29 + SUM(Dashboard!J49:J1031)*Query17[Conversion Rate] * SUMPRODUCT((Entries[[Investor Name ]]=Calculations!B29) * (Entries[Deposit Amount]) *(Entries[Time in Fund(Days)]))/SUMPRODUCT(Entries[Deposit Amount],Entries[Time in Fund(Days)])," ")</f>
        <v xml:space="preserve"> </v>
      </c>
    </row>
    <row r="30" spans="2:4" x14ac:dyDescent="0.25">
      <c r="B30" s="6"/>
      <c r="C30" s="2" t="str">
        <f>IF(ISBLANK(Table3[[#This Row],[Investor]])," ",SUMIF(Entries[[Investor Name ]],Calculations!B30,Entries[Deposit Amount]))</f>
        <v xml:space="preserve"> </v>
      </c>
      <c r="D30" s="7" t="str" cm="1">
        <f t="array" aca="1" ref="D30" ca="1">IFERROR(C30 + SUM(Dashboard!J50:J1032)*Query17[Conversion Rate] * SUMPRODUCT((Entries[[Investor Name ]]=Calculations!B30) * (Entries[Deposit Amount]) *(Entries[Time in Fund(Days)]))/SUMPRODUCT(Entries[Deposit Amount],Entries[Time in Fund(Days)])," ")</f>
        <v xml:space="preserve"> </v>
      </c>
    </row>
    <row r="31" spans="2:4" x14ac:dyDescent="0.25">
      <c r="B31" s="6"/>
      <c r="C31" s="2" t="str">
        <f>IF(ISBLANK(Table3[[#This Row],[Investor]])," ",SUMIF(Entries[[Investor Name ]],Calculations!B31,Entries[Deposit Amount]))</f>
        <v xml:space="preserve"> </v>
      </c>
      <c r="D31" s="7" t="str" cm="1">
        <f t="array" aca="1" ref="D31" ca="1">IFERROR(C31 + SUM(Dashboard!J51:J1033)*Query17[Conversion Rate] * SUMPRODUCT((Entries[[Investor Name ]]=Calculations!B31) * (Entries[Deposit Amount]) *(Entries[Time in Fund(Days)]))/SUMPRODUCT(Entries[Deposit Amount],Entries[Time in Fund(Days)])," ")</f>
        <v xml:space="preserve"> </v>
      </c>
    </row>
    <row r="32" spans="2:4" x14ac:dyDescent="0.25">
      <c r="B32" s="6"/>
      <c r="C32" s="2" t="str">
        <f>IF(ISBLANK(Table3[[#This Row],[Investor]])," ",SUMIF(Entries[[Investor Name ]],Calculations!B32,Entries[Deposit Amount]))</f>
        <v xml:space="preserve"> </v>
      </c>
      <c r="D32" s="7" t="str" cm="1">
        <f t="array" aca="1" ref="D32" ca="1">IFERROR(C32 + SUM(Dashboard!J52:J1034)*Query17[Conversion Rate] * SUMPRODUCT((Entries[[Investor Name ]]=Calculations!B32) * (Entries[Deposit Amount]) *(Entries[Time in Fund(Days)]))/SUMPRODUCT(Entries[Deposit Amount],Entries[Time in Fund(Days)])," ")</f>
        <v xml:space="preserve"> </v>
      </c>
    </row>
    <row r="33" spans="2:4" x14ac:dyDescent="0.25">
      <c r="B33" s="6"/>
      <c r="C33" s="2" t="str">
        <f>IF(ISBLANK(Table3[[#This Row],[Investor]])," ",SUMIF(Entries[[Investor Name ]],Calculations!B33,Entries[Deposit Amount]))</f>
        <v xml:space="preserve"> </v>
      </c>
      <c r="D33" s="7" t="str" cm="1">
        <f t="array" aca="1" ref="D33" ca="1">IFERROR(C33 + SUM(Dashboard!J53:J1035)*Query17[Conversion Rate] * SUMPRODUCT((Entries[[Investor Name ]]=Calculations!B33) * (Entries[Deposit Amount]) *(Entries[Time in Fund(Days)]))/SUMPRODUCT(Entries[Deposit Amount],Entries[Time in Fund(Days)])," ")</f>
        <v xml:space="preserve"> </v>
      </c>
    </row>
    <row r="34" spans="2:4" x14ac:dyDescent="0.25">
      <c r="B34" s="6"/>
      <c r="C34" s="2" t="str">
        <f>IF(ISBLANK(Table3[[#This Row],[Investor]])," ",SUMIF(Entries[[Investor Name ]],Calculations!B34,Entries[Deposit Amount]))</f>
        <v xml:space="preserve"> </v>
      </c>
      <c r="D34" s="7" t="str" cm="1">
        <f t="array" aca="1" ref="D34" ca="1">IFERROR(C34 + SUM(Dashboard!J54:J1036)*Query17[Conversion Rate] * SUMPRODUCT((Entries[[Investor Name ]]=Calculations!B34) * (Entries[Deposit Amount]) *(Entries[Time in Fund(Days)]))/SUMPRODUCT(Entries[Deposit Amount],Entries[Time in Fund(Days)])," ")</f>
        <v xml:space="preserve"> </v>
      </c>
    </row>
    <row r="35" spans="2:4" x14ac:dyDescent="0.25">
      <c r="B35" s="6"/>
      <c r="C35" s="2" t="str">
        <f>IF(ISBLANK(Table3[[#This Row],[Investor]])," ",SUMIF(Entries[[Investor Name ]],Calculations!B35,Entries[Deposit Amount]))</f>
        <v xml:space="preserve"> </v>
      </c>
      <c r="D35" s="7" t="str" cm="1">
        <f t="array" aca="1" ref="D35" ca="1">IFERROR(C35 + SUM(Dashboard!J55:J1037)*Query17[Conversion Rate] * SUMPRODUCT((Entries[[Investor Name ]]=Calculations!B35) * (Entries[Deposit Amount]) *(Entries[Time in Fund(Days)]))/SUMPRODUCT(Entries[Deposit Amount],Entries[Time in Fund(Days)])," ")</f>
        <v xml:space="preserve"> </v>
      </c>
    </row>
    <row r="36" spans="2:4" x14ac:dyDescent="0.25">
      <c r="B36" s="6"/>
      <c r="C36" s="2" t="str">
        <f>IF(ISBLANK(Table3[[#This Row],[Investor]])," ",SUMIF(Entries[[Investor Name ]],Calculations!B36,Entries[Deposit Amount]))</f>
        <v xml:space="preserve"> </v>
      </c>
      <c r="D36" s="7" t="str" cm="1">
        <f t="array" aca="1" ref="D36" ca="1">IFERROR(C36 + SUM(Dashboard!J56:J1038)*Query17[Conversion Rate] * SUMPRODUCT((Entries[[Investor Name ]]=Calculations!B36) * (Entries[Deposit Amount]) *(Entries[Time in Fund(Days)]))/SUMPRODUCT(Entries[Deposit Amount],Entries[Time in Fund(Days)])," ")</f>
        <v xml:space="preserve"> </v>
      </c>
    </row>
    <row r="37" spans="2:4" x14ac:dyDescent="0.25">
      <c r="B37" s="6"/>
      <c r="C37" s="2" t="str">
        <f>IF(ISBLANK(Table3[[#This Row],[Investor]])," ",SUMIF(Entries[[Investor Name ]],Calculations!B37,Entries[Deposit Amount]))</f>
        <v xml:space="preserve"> </v>
      </c>
      <c r="D37" s="7" t="str" cm="1">
        <f t="array" aca="1" ref="D37" ca="1">IFERROR(C37 + SUM(Dashboard!J57:J1039)*Query17[Conversion Rate] * SUMPRODUCT((Entries[[Investor Name ]]=Calculations!B37) * (Entries[Deposit Amount]) *(Entries[Time in Fund(Days)]))/SUMPRODUCT(Entries[Deposit Amount],Entries[Time in Fund(Days)])," ")</f>
        <v xml:space="preserve"> </v>
      </c>
    </row>
    <row r="38" spans="2:4" x14ac:dyDescent="0.25">
      <c r="B38" s="6"/>
      <c r="C38" s="2" t="str">
        <f>IF(ISBLANK(Table3[[#This Row],[Investor]])," ",SUMIF(Entries[[Investor Name ]],Calculations!B38,Entries[Deposit Amount]))</f>
        <v xml:space="preserve"> </v>
      </c>
      <c r="D38" s="7" t="str" cm="1">
        <f t="array" aca="1" ref="D38" ca="1">IFERROR(C38 + SUM(Dashboard!J58:J1040)*Query17[Conversion Rate] * SUMPRODUCT((Entries[[Investor Name ]]=Calculations!B38) * (Entries[Deposit Amount]) *(Entries[Time in Fund(Days)]))/SUMPRODUCT(Entries[Deposit Amount],Entries[Time in Fund(Days)])," ")</f>
        <v xml:space="preserve"> </v>
      </c>
    </row>
    <row r="39" spans="2:4" x14ac:dyDescent="0.25">
      <c r="B39" s="6"/>
      <c r="C39" s="2" t="str">
        <f>IF(ISBLANK(Table3[[#This Row],[Investor]])," ",SUMIF(Entries[[Investor Name ]],Calculations!B39,Entries[Deposit Amount]))</f>
        <v xml:space="preserve"> </v>
      </c>
      <c r="D39" s="7" t="str" cm="1">
        <f t="array" aca="1" ref="D39" ca="1">IFERROR(C39 + SUM(Dashboard!J59:J1041)*Query17[Conversion Rate] * SUMPRODUCT((Entries[[Investor Name ]]=Calculations!B39) * (Entries[Deposit Amount]) *(Entries[Time in Fund(Days)]))/SUMPRODUCT(Entries[Deposit Amount],Entries[Time in Fund(Days)])," ")</f>
        <v xml:space="preserve"> </v>
      </c>
    </row>
    <row r="40" spans="2:4" x14ac:dyDescent="0.25">
      <c r="B40" s="6"/>
      <c r="C40" s="2" t="str">
        <f>IF(ISBLANK(Table3[[#This Row],[Investor]])," ",SUMIF(Entries[[Investor Name ]],Calculations!B40,Entries[Deposit Amount]))</f>
        <v xml:space="preserve"> </v>
      </c>
      <c r="D40" s="7" t="str" cm="1">
        <f t="array" aca="1" ref="D40" ca="1">IFERROR(C40 + SUM(Dashboard!J60:J1042)*Query17[Conversion Rate] * SUMPRODUCT((Entries[[Investor Name ]]=Calculations!B40) * (Entries[Deposit Amount]) *(Entries[Time in Fund(Days)]))/SUMPRODUCT(Entries[Deposit Amount],Entries[Time in Fund(Days)])," ")</f>
        <v xml:space="preserve"> </v>
      </c>
    </row>
    <row r="41" spans="2:4" x14ac:dyDescent="0.25">
      <c r="B41" s="6"/>
      <c r="C41" s="2" t="str">
        <f>IF(ISBLANK(Table3[[#This Row],[Investor]])," ",SUMIF(Entries[[Investor Name ]],Calculations!B41,Entries[Deposit Amount]))</f>
        <v xml:space="preserve"> </v>
      </c>
      <c r="D41" s="7" t="str" cm="1">
        <f t="array" aca="1" ref="D41" ca="1">IFERROR(C41 + SUM(Dashboard!J61:J1043)*Query17[Conversion Rate] * SUMPRODUCT((Entries[[Investor Name ]]=Calculations!B41) * (Entries[Deposit Amount]) *(Entries[Time in Fund(Days)]))/SUMPRODUCT(Entries[Deposit Amount],Entries[Time in Fund(Days)])," ")</f>
        <v xml:space="preserve"> </v>
      </c>
    </row>
    <row r="42" spans="2:4" x14ac:dyDescent="0.25">
      <c r="B42" s="6"/>
      <c r="C42" s="2" t="str">
        <f>IF(ISBLANK(Table3[[#This Row],[Investor]])," ",SUMIF(Entries[[Investor Name ]],Calculations!B42,Entries[Deposit Amount]))</f>
        <v xml:space="preserve"> </v>
      </c>
      <c r="D42" s="7" t="str" cm="1">
        <f t="array" aca="1" ref="D42" ca="1">IFERROR(C42 + SUM(Dashboard!J62:J1044)*Query17[Conversion Rate] * SUMPRODUCT((Entries[[Investor Name ]]=Calculations!B42) * (Entries[Deposit Amount]) *(Entries[Time in Fund(Days)]))/SUMPRODUCT(Entries[Deposit Amount],Entries[Time in Fund(Days)])," ")</f>
        <v xml:space="preserve"> </v>
      </c>
    </row>
    <row r="43" spans="2:4" x14ac:dyDescent="0.25">
      <c r="B43" s="6"/>
      <c r="C43" s="2" t="str">
        <f>IF(ISBLANK(Table3[[#This Row],[Investor]])," ",SUMIF(Entries[[Investor Name ]],Calculations!B43,Entries[Deposit Amount]))</f>
        <v xml:space="preserve"> </v>
      </c>
      <c r="D43" s="7" t="str" cm="1">
        <f t="array" aca="1" ref="D43" ca="1">IFERROR(C43 + SUM(Dashboard!J63:J1045)*Query17[Conversion Rate] * SUMPRODUCT((Entries[[Investor Name ]]=Calculations!B43) * (Entries[Deposit Amount]) *(Entries[Time in Fund(Days)]))/SUMPRODUCT(Entries[Deposit Amount],Entries[Time in Fund(Days)])," ")</f>
        <v xml:space="preserve"> </v>
      </c>
    </row>
    <row r="44" spans="2:4" x14ac:dyDescent="0.25">
      <c r="B44" s="6"/>
      <c r="C44" s="2" t="str">
        <f>IF(ISBLANK(Table3[[#This Row],[Investor]])," ",SUMIF(Entries[[Investor Name ]],Calculations!B44,Entries[Deposit Amount]))</f>
        <v xml:space="preserve"> </v>
      </c>
      <c r="D44" s="7" t="str" cm="1">
        <f t="array" aca="1" ref="D44" ca="1">IFERROR(C44 + SUM(Dashboard!J64:J1046)*Query17[Conversion Rate] * SUMPRODUCT((Entries[[Investor Name ]]=Calculations!B44) * (Entries[Deposit Amount]) *(Entries[Time in Fund(Days)]))/SUMPRODUCT(Entries[Deposit Amount],Entries[Time in Fund(Days)])," ")</f>
        <v xml:space="preserve"> </v>
      </c>
    </row>
    <row r="45" spans="2:4" x14ac:dyDescent="0.25">
      <c r="B45" s="6"/>
      <c r="C45" s="2" t="str">
        <f>IF(ISBLANK(Table3[[#This Row],[Investor]])," ",SUMIF(Entries[[Investor Name ]],Calculations!B45,Entries[Deposit Amount]))</f>
        <v xml:space="preserve"> </v>
      </c>
      <c r="D45" s="7" t="str" cm="1">
        <f t="array" aca="1" ref="D45" ca="1">IFERROR(C45 + SUM(Dashboard!J65:J1047)*Query17[Conversion Rate] * SUMPRODUCT((Entries[[Investor Name ]]=Calculations!B45) * (Entries[Deposit Amount]) *(Entries[Time in Fund(Days)]))/SUMPRODUCT(Entries[Deposit Amount],Entries[Time in Fund(Days)])," ")</f>
        <v xml:space="preserve"> </v>
      </c>
    </row>
    <row r="46" spans="2:4" x14ac:dyDescent="0.25">
      <c r="B46" s="6"/>
      <c r="C46" s="2" t="str">
        <f>IF(ISBLANK(Table3[[#This Row],[Investor]])," ",SUMIF(Entries[[Investor Name ]],Calculations!B46,Entries[Deposit Amount]))</f>
        <v xml:space="preserve"> </v>
      </c>
      <c r="D46" s="7" t="str" cm="1">
        <f t="array" aca="1" ref="D46" ca="1">IFERROR(C46 + SUM(Dashboard!J66:J1048)*Query17[Conversion Rate] * SUMPRODUCT((Entries[[Investor Name ]]=Calculations!B46) * (Entries[Deposit Amount]) *(Entries[Time in Fund(Days)]))/SUMPRODUCT(Entries[Deposit Amount],Entries[Time in Fund(Days)])," ")</f>
        <v xml:space="preserve"> </v>
      </c>
    </row>
    <row r="47" spans="2:4" x14ac:dyDescent="0.25">
      <c r="B47" s="6"/>
      <c r="C47" s="2" t="str">
        <f>IF(ISBLANK(Table3[[#This Row],[Investor]])," ",SUMIF(Entries[[Investor Name ]],Calculations!B47,Entries[Deposit Amount]))</f>
        <v xml:space="preserve"> </v>
      </c>
      <c r="D47" s="7" t="str" cm="1">
        <f t="array" aca="1" ref="D47" ca="1">IFERROR(C47 + SUM(Dashboard!J67:J1049)*Query17[Conversion Rate] * SUMPRODUCT((Entries[[Investor Name ]]=Calculations!B47) * (Entries[Deposit Amount]) *(Entries[Time in Fund(Days)]))/SUMPRODUCT(Entries[Deposit Amount],Entries[Time in Fund(Days)])," ")</f>
        <v xml:space="preserve"> </v>
      </c>
    </row>
    <row r="48" spans="2:4" x14ac:dyDescent="0.25">
      <c r="B48" s="6"/>
      <c r="C48" s="2" t="str">
        <f>IF(ISBLANK(Table3[[#This Row],[Investor]])," ",SUMIF(Entries[[Investor Name ]],Calculations!B48,Entries[Deposit Amount]))</f>
        <v xml:space="preserve"> </v>
      </c>
      <c r="D48" s="7" t="str" cm="1">
        <f t="array" aca="1" ref="D48" ca="1">IFERROR(C48 + SUM(Dashboard!J68:J1050)*Query17[Conversion Rate] * SUMPRODUCT((Entries[[Investor Name ]]=Calculations!B48) * (Entries[Deposit Amount]) *(Entries[Time in Fund(Days)]))/SUMPRODUCT(Entries[Deposit Amount],Entries[Time in Fund(Days)])," ")</f>
        <v xml:space="preserve"> </v>
      </c>
    </row>
    <row r="49" spans="2:4" x14ac:dyDescent="0.25">
      <c r="B49" s="6"/>
      <c r="C49" s="2" t="str">
        <f>IF(ISBLANK(Table3[[#This Row],[Investor]])," ",SUMIF(Entries[[Investor Name ]],Calculations!B49,Entries[Deposit Amount]))</f>
        <v xml:space="preserve"> </v>
      </c>
      <c r="D49" s="7" t="str" cm="1">
        <f t="array" aca="1" ref="D49" ca="1">IFERROR(C49 + SUM(Dashboard!J69:J1051)*Query17[Conversion Rate] * SUMPRODUCT((Entries[[Investor Name ]]=Calculations!B49) * (Entries[Deposit Amount]) *(Entries[Time in Fund(Days)]))/SUMPRODUCT(Entries[Deposit Amount],Entries[Time in Fund(Days)])," ")</f>
        <v xml:space="preserve"> </v>
      </c>
    </row>
    <row r="50" spans="2:4" x14ac:dyDescent="0.25">
      <c r="B50" s="6"/>
      <c r="C50" s="2" t="str">
        <f>IF(ISBLANK(Table3[[#This Row],[Investor]])," ",SUMIF(Entries[[Investor Name ]],Calculations!B50,Entries[Deposit Amount]))</f>
        <v xml:space="preserve"> </v>
      </c>
      <c r="D50" s="7" t="str" cm="1">
        <f t="array" aca="1" ref="D50" ca="1">IFERROR(C50 + SUM(Dashboard!J70:J1052)*Query17[Conversion Rate] * SUMPRODUCT((Entries[[Investor Name ]]=Calculations!B50) * (Entries[Deposit Amount]) *(Entries[Time in Fund(Days)]))/SUMPRODUCT(Entries[Deposit Amount],Entries[Time in Fund(Days)])," ")</f>
        <v xml:space="preserve"> </v>
      </c>
    </row>
    <row r="51" spans="2:4" x14ac:dyDescent="0.25">
      <c r="B51" s="6"/>
      <c r="C51" s="2" t="str">
        <f>IF(ISBLANK(Table3[[#This Row],[Investor]])," ",SUMIF(Entries[[Investor Name ]],Calculations!B51,Entries[Deposit Amount]))</f>
        <v xml:space="preserve"> </v>
      </c>
      <c r="D51" s="7" t="str" cm="1">
        <f t="array" aca="1" ref="D51" ca="1">IFERROR(C51 + SUM(Dashboard!J71:J1053)*Query17[Conversion Rate] * SUMPRODUCT((Entries[[Investor Name ]]=Calculations!B51) * (Entries[Deposit Amount]) *(Entries[Time in Fund(Days)]))/SUMPRODUCT(Entries[Deposit Amount],Entries[Time in Fund(Days)])," ")</f>
        <v xml:space="preserve"> </v>
      </c>
    </row>
    <row r="52" spans="2:4" x14ac:dyDescent="0.25">
      <c r="B52" s="6"/>
      <c r="C52" s="2" t="str">
        <f>IF(ISBLANK(Table3[[#This Row],[Investor]])," ",SUMIF(Entries[[Investor Name ]],Calculations!B52,Entries[Deposit Amount]))</f>
        <v xml:space="preserve"> </v>
      </c>
      <c r="D52" s="7" t="str" cm="1">
        <f t="array" aca="1" ref="D52" ca="1">IFERROR(C52 + SUM(Dashboard!J72:J1054)*Query17[Conversion Rate] * SUMPRODUCT((Entries[[Investor Name ]]=Calculations!B52) * (Entries[Deposit Amount]) *(Entries[Time in Fund(Days)]))/SUMPRODUCT(Entries[Deposit Amount],Entries[Time in Fund(Days)])," ")</f>
        <v xml:space="preserve"> </v>
      </c>
    </row>
    <row r="53" spans="2:4" x14ac:dyDescent="0.25">
      <c r="B53" s="6"/>
      <c r="C53" s="2" t="str">
        <f>IF(ISBLANK(Table3[[#This Row],[Investor]])," ",SUMIF(Entries[[Investor Name ]],Calculations!B53,Entries[Deposit Amount]))</f>
        <v xml:space="preserve"> </v>
      </c>
      <c r="D53" s="7" t="str" cm="1">
        <f t="array" aca="1" ref="D53" ca="1">IFERROR(C53 + SUM(Dashboard!J73:J1055)*Query17[Conversion Rate] * SUMPRODUCT((Entries[[Investor Name ]]=Calculations!B53) * (Entries[Deposit Amount]) *(Entries[Time in Fund(Days)]))/SUMPRODUCT(Entries[Deposit Amount],Entries[Time in Fund(Days)])," ")</f>
        <v xml:space="preserve"> </v>
      </c>
    </row>
    <row r="54" spans="2:4" x14ac:dyDescent="0.25">
      <c r="B54" s="6"/>
      <c r="C54" s="2" t="str">
        <f>IF(ISBLANK(Table3[[#This Row],[Investor]])," ",SUMIF(Entries[[Investor Name ]],Calculations!B54,Entries[Deposit Amount]))</f>
        <v xml:space="preserve"> </v>
      </c>
      <c r="D54" s="7" t="str" cm="1">
        <f t="array" aca="1" ref="D54" ca="1">IFERROR(C54 + SUM(Dashboard!J74:J1056)*Query17[Conversion Rate] * SUMPRODUCT((Entries[[Investor Name ]]=Calculations!B54) * (Entries[Deposit Amount]) *(Entries[Time in Fund(Days)]))/SUMPRODUCT(Entries[Deposit Amount],Entries[Time in Fund(Days)])," ")</f>
        <v xml:space="preserve"> </v>
      </c>
    </row>
    <row r="55" spans="2:4" x14ac:dyDescent="0.25">
      <c r="B55" s="6"/>
      <c r="C55" s="2" t="str">
        <f>IF(ISBLANK(Table3[[#This Row],[Investor]])," ",SUMIF(Entries[[Investor Name ]],Calculations!B55,Entries[Deposit Amount]))</f>
        <v xml:space="preserve"> </v>
      </c>
      <c r="D55" s="7" t="str" cm="1">
        <f t="array" aca="1" ref="D55" ca="1">IFERROR(C55 + SUM(Dashboard!J75:J1057)*Query17[Conversion Rate] * SUMPRODUCT((Entries[[Investor Name ]]=Calculations!B55) * (Entries[Deposit Amount]) *(Entries[Time in Fund(Days)]))/SUMPRODUCT(Entries[Deposit Amount],Entries[Time in Fund(Days)])," ")</f>
        <v xml:space="preserve"> </v>
      </c>
    </row>
    <row r="56" spans="2:4" x14ac:dyDescent="0.25">
      <c r="B56" s="6"/>
      <c r="C56" s="2" t="str">
        <f>IF(ISBLANK(Table3[[#This Row],[Investor]])," ",SUMIF(Entries[[Investor Name ]],Calculations!B56,Entries[Deposit Amount]))</f>
        <v xml:space="preserve"> </v>
      </c>
      <c r="D56" s="7" t="str" cm="1">
        <f t="array" aca="1" ref="D56" ca="1">IFERROR(C56 + SUM(Dashboard!J76:J1058)*Query17[Conversion Rate] * SUMPRODUCT((Entries[[Investor Name ]]=Calculations!B56) * (Entries[Deposit Amount]) *(Entries[Time in Fund(Days)]))/SUMPRODUCT(Entries[Deposit Amount],Entries[Time in Fund(Days)])," ")</f>
        <v xml:space="preserve"> </v>
      </c>
    </row>
    <row r="57" spans="2:4" x14ac:dyDescent="0.25">
      <c r="B57" s="6"/>
      <c r="C57" s="2" t="str">
        <f>IF(ISBLANK(Table3[[#This Row],[Investor]])," ",SUMIF(Entries[[Investor Name ]],Calculations!B57,Entries[Deposit Amount]))</f>
        <v xml:space="preserve"> </v>
      </c>
      <c r="D57" s="7" t="str" cm="1">
        <f t="array" aca="1" ref="D57" ca="1">IFERROR(C57 + SUM(Dashboard!J77:J1059)*Query17[Conversion Rate] * SUMPRODUCT((Entries[[Investor Name ]]=Calculations!B57) * (Entries[Deposit Amount]) *(Entries[Time in Fund(Days)]))/SUMPRODUCT(Entries[Deposit Amount],Entries[Time in Fund(Days)])," ")</f>
        <v xml:space="preserve"> </v>
      </c>
    </row>
    <row r="58" spans="2:4" x14ac:dyDescent="0.25">
      <c r="B58" s="6"/>
      <c r="C58" s="2" t="str">
        <f>IF(ISBLANK(Table3[[#This Row],[Investor]])," ",SUMIF(Entries[[Investor Name ]],Calculations!B58,Entries[Deposit Amount]))</f>
        <v xml:space="preserve"> </v>
      </c>
      <c r="D58" s="7" t="str" cm="1">
        <f t="array" aca="1" ref="D58" ca="1">IFERROR(C58 + SUM(Dashboard!J78:J1060)*Query17[Conversion Rate] * SUMPRODUCT((Entries[[Investor Name ]]=Calculations!B58) * (Entries[Deposit Amount]) *(Entries[Time in Fund(Days)]))/SUMPRODUCT(Entries[Deposit Amount],Entries[Time in Fund(Days)])," ")</f>
        <v xml:space="preserve"> </v>
      </c>
    </row>
    <row r="59" spans="2:4" x14ac:dyDescent="0.25">
      <c r="B59" s="6"/>
      <c r="C59" s="2" t="str">
        <f>IF(ISBLANK(Table3[[#This Row],[Investor]])," ",SUMIF(Entries[[Investor Name ]],Calculations!B59,Entries[Deposit Amount]))</f>
        <v xml:space="preserve"> </v>
      </c>
      <c r="D59" s="7" t="str" cm="1">
        <f t="array" aca="1" ref="D59" ca="1">IFERROR(C59 + SUM(Dashboard!J79:J1061)*Query17[Conversion Rate] * SUMPRODUCT((Entries[[Investor Name ]]=Calculations!B59) * (Entries[Deposit Amount]) *(Entries[Time in Fund(Days)]))/SUMPRODUCT(Entries[Deposit Amount],Entries[Time in Fund(Days)])," ")</f>
        <v xml:space="preserve"> </v>
      </c>
    </row>
    <row r="60" spans="2:4" x14ac:dyDescent="0.25">
      <c r="B60" s="6"/>
      <c r="C60" s="2" t="str">
        <f>IF(ISBLANK(Table3[[#This Row],[Investor]])," ",SUMIF(Entries[[Investor Name ]],Calculations!B60,Entries[Deposit Amount]))</f>
        <v xml:space="preserve"> </v>
      </c>
      <c r="D60" s="7" t="str" cm="1">
        <f t="array" aca="1" ref="D60" ca="1">IFERROR(C60 + SUM(Dashboard!J80:J1062)*Query17[Conversion Rate] * SUMPRODUCT((Entries[[Investor Name ]]=Calculations!B60) * (Entries[Deposit Amount]) *(Entries[Time in Fund(Days)]))/SUMPRODUCT(Entries[Deposit Amount],Entries[Time in Fund(Days)])," ")</f>
        <v xml:space="preserve"> </v>
      </c>
    </row>
    <row r="61" spans="2:4" x14ac:dyDescent="0.25">
      <c r="B61" s="6"/>
      <c r="C61" s="2" t="str">
        <f>IF(ISBLANK(Table3[[#This Row],[Investor]])," ",SUMIF(Entries[[Investor Name ]],Calculations!B61,Entries[Deposit Amount]))</f>
        <v xml:space="preserve"> </v>
      </c>
      <c r="D61" s="7" t="str" cm="1">
        <f t="array" aca="1" ref="D61" ca="1">IFERROR(C61 + SUM(Dashboard!J81:J1063)*Query17[Conversion Rate] * SUMPRODUCT((Entries[[Investor Name ]]=Calculations!B61) * (Entries[Deposit Amount]) *(Entries[Time in Fund(Days)]))/SUMPRODUCT(Entries[Deposit Amount],Entries[Time in Fund(Days)])," ")</f>
        <v xml:space="preserve"> </v>
      </c>
    </row>
    <row r="62" spans="2:4" x14ac:dyDescent="0.25">
      <c r="B62" s="6"/>
      <c r="C62" s="2" t="str">
        <f>IF(ISBLANK(Table3[[#This Row],[Investor]])," ",SUMIF(Entries[[Investor Name ]],Calculations!B62,Entries[Deposit Amount]))</f>
        <v xml:space="preserve"> </v>
      </c>
      <c r="D62" s="7" t="str" cm="1">
        <f t="array" aca="1" ref="D62" ca="1">IFERROR(C62 + SUM(Dashboard!J82:J1064)*Query17[Conversion Rate] * SUMPRODUCT((Entries[[Investor Name ]]=Calculations!B62) * (Entries[Deposit Amount]) *(Entries[Time in Fund(Days)]))/SUMPRODUCT(Entries[Deposit Amount],Entries[Time in Fund(Days)])," ")</f>
        <v xml:space="preserve"> </v>
      </c>
    </row>
    <row r="63" spans="2:4" x14ac:dyDescent="0.25">
      <c r="B63" s="6"/>
      <c r="C63" s="2" t="str">
        <f>IF(ISBLANK(Table3[[#This Row],[Investor]])," ",SUMIF(Entries[[Investor Name ]],Calculations!B63,Entries[Deposit Amount]))</f>
        <v xml:space="preserve"> </v>
      </c>
      <c r="D63" s="7" t="str" cm="1">
        <f t="array" aca="1" ref="D63" ca="1">IFERROR(C63 + SUM(Dashboard!J83:J1065)*Query17[Conversion Rate] * SUMPRODUCT((Entries[[Investor Name ]]=Calculations!B63) * (Entries[Deposit Amount]) *(Entries[Time in Fund(Days)]))/SUMPRODUCT(Entries[Deposit Amount],Entries[Time in Fund(Days)])," ")</f>
        <v xml:space="preserve"> </v>
      </c>
    </row>
    <row r="64" spans="2:4" x14ac:dyDescent="0.25">
      <c r="B64" s="6"/>
      <c r="C64" s="2" t="str">
        <f>IF(ISBLANK(Table3[[#This Row],[Investor]])," ",SUMIF(Entries[[Investor Name ]],Calculations!B64,Entries[Deposit Amount]))</f>
        <v xml:space="preserve"> </v>
      </c>
      <c r="D64" s="7" t="str" cm="1">
        <f t="array" aca="1" ref="D64" ca="1">IFERROR(C64 + SUM(Dashboard!J84:J1066)*Query17[Conversion Rate] * SUMPRODUCT((Entries[[Investor Name ]]=Calculations!B64) * (Entries[Deposit Amount]) *(Entries[Time in Fund(Days)]))/SUMPRODUCT(Entries[Deposit Amount],Entries[Time in Fund(Days)])," ")</f>
        <v xml:space="preserve"> </v>
      </c>
    </row>
    <row r="65" spans="2:4" x14ac:dyDescent="0.25">
      <c r="B65" s="6"/>
      <c r="C65" s="2" t="str">
        <f>IF(ISBLANK(Table3[[#This Row],[Investor]])," ",SUMIF(Entries[[Investor Name ]],Calculations!B65,Entries[Deposit Amount]))</f>
        <v xml:space="preserve"> </v>
      </c>
      <c r="D65" s="7" t="str" cm="1">
        <f t="array" aca="1" ref="D65" ca="1">IFERROR(C65 + SUM(Dashboard!J85:J1067)*Query17[Conversion Rate] * SUMPRODUCT((Entries[[Investor Name ]]=Calculations!B65) * (Entries[Deposit Amount]) *(Entries[Time in Fund(Days)]))/SUMPRODUCT(Entries[Deposit Amount],Entries[Time in Fund(Days)])," ")</f>
        <v xml:space="preserve"> </v>
      </c>
    </row>
    <row r="66" spans="2:4" x14ac:dyDescent="0.25">
      <c r="B66" s="6"/>
      <c r="C66" s="2" t="str">
        <f>IF(ISBLANK(Table3[[#This Row],[Investor]])," ",SUMIF(Entries[[Investor Name ]],Calculations!B66,Entries[Deposit Amount]))</f>
        <v xml:space="preserve"> </v>
      </c>
      <c r="D66" s="7" t="str" cm="1">
        <f t="array" aca="1" ref="D66" ca="1">IFERROR(C66 + SUM(Dashboard!J86:J1068)*Query17[Conversion Rate] * SUMPRODUCT((Entries[[Investor Name ]]=Calculations!B66) * (Entries[Deposit Amount]) *(Entries[Time in Fund(Days)]))/SUMPRODUCT(Entries[Deposit Amount],Entries[Time in Fund(Days)])," ")</f>
        <v xml:space="preserve"> </v>
      </c>
    </row>
    <row r="67" spans="2:4" x14ac:dyDescent="0.25">
      <c r="B67" s="6"/>
      <c r="C67" s="2" t="str">
        <f>IF(ISBLANK(Table3[[#This Row],[Investor]])," ",SUMIF(Entries[[Investor Name ]],Calculations!B67,Entries[Deposit Amount]))</f>
        <v xml:space="preserve"> </v>
      </c>
      <c r="D67" s="7" t="str" cm="1">
        <f t="array" aca="1" ref="D67" ca="1">IFERROR(C67 + SUM(Dashboard!J87:J1069)*Query17[Conversion Rate] * SUMPRODUCT((Entries[[Investor Name ]]=Calculations!B67) * (Entries[Deposit Amount]) *(Entries[Time in Fund(Days)]))/SUMPRODUCT(Entries[Deposit Amount],Entries[Time in Fund(Days)])," ")</f>
        <v xml:space="preserve"> </v>
      </c>
    </row>
    <row r="68" spans="2:4" x14ac:dyDescent="0.25">
      <c r="B68" s="6"/>
      <c r="C68" s="2" t="str">
        <f>IF(ISBLANK(Table3[[#This Row],[Investor]])," ",SUMIF(Entries[[Investor Name ]],Calculations!B68,Entries[Deposit Amount]))</f>
        <v xml:space="preserve"> </v>
      </c>
      <c r="D68" s="7" t="str" cm="1">
        <f t="array" aca="1" ref="D68" ca="1">IFERROR(C68 + SUM(Dashboard!J88:J1070)*Query17[Conversion Rate] * SUMPRODUCT((Entries[[Investor Name ]]=Calculations!B68) * (Entries[Deposit Amount]) *(Entries[Time in Fund(Days)]))/SUMPRODUCT(Entries[Deposit Amount],Entries[Time in Fund(Days)])," ")</f>
        <v xml:space="preserve"> </v>
      </c>
    </row>
    <row r="69" spans="2:4" x14ac:dyDescent="0.25">
      <c r="B69" s="6"/>
      <c r="C69" s="2" t="str">
        <f>IF(ISBLANK(Table3[[#This Row],[Investor]])," ",SUMIF(Entries[[Investor Name ]],Calculations!B69,Entries[Deposit Amount]))</f>
        <v xml:space="preserve"> </v>
      </c>
      <c r="D69" s="7" t="str" cm="1">
        <f t="array" aca="1" ref="D69" ca="1">IFERROR(C69 + SUM(Dashboard!J89:J1071)*Query17[Conversion Rate] * SUMPRODUCT((Entries[[Investor Name ]]=Calculations!B69) * (Entries[Deposit Amount]) *(Entries[Time in Fund(Days)]))/SUMPRODUCT(Entries[Deposit Amount],Entries[Time in Fund(Days)])," ")</f>
        <v xml:space="preserve"> </v>
      </c>
    </row>
    <row r="70" spans="2:4" x14ac:dyDescent="0.25">
      <c r="B70" s="6"/>
      <c r="C70" s="2" t="str">
        <f>IF(ISBLANK(Table3[[#This Row],[Investor]])," ",SUMIF(Entries[[Investor Name ]],Calculations!B70,Entries[Deposit Amount]))</f>
        <v xml:space="preserve"> </v>
      </c>
      <c r="D70" s="7" t="str" cm="1">
        <f t="array" aca="1" ref="D70" ca="1">IFERROR(C70 + SUM(Dashboard!J90:J1072)*Query17[Conversion Rate] * SUMPRODUCT((Entries[[Investor Name ]]=Calculations!B70) * (Entries[Deposit Amount]) *(Entries[Time in Fund(Days)]))/SUMPRODUCT(Entries[Deposit Amount],Entries[Time in Fund(Days)])," ")</f>
        <v xml:space="preserve"> </v>
      </c>
    </row>
    <row r="71" spans="2:4" x14ac:dyDescent="0.25">
      <c r="B71" s="6"/>
      <c r="C71" s="2" t="str">
        <f>IF(ISBLANK(Table3[[#This Row],[Investor]])," ",SUMIF(Entries[[Investor Name ]],Calculations!B71,Entries[Deposit Amount]))</f>
        <v xml:space="preserve"> </v>
      </c>
      <c r="D71" s="7" t="str" cm="1">
        <f t="array" aca="1" ref="D71" ca="1">IFERROR(C71 + SUM(Dashboard!J91:J1073)*Query17[Conversion Rate] * SUMPRODUCT((Entries[[Investor Name ]]=Calculations!B71) * (Entries[Deposit Amount]) *(Entries[Time in Fund(Days)]))/SUMPRODUCT(Entries[Deposit Amount],Entries[Time in Fund(Days)])," ")</f>
        <v xml:space="preserve"> </v>
      </c>
    </row>
    <row r="72" spans="2:4" x14ac:dyDescent="0.25">
      <c r="B72" s="6"/>
      <c r="C72" s="2" t="str">
        <f>IF(ISBLANK(Table3[[#This Row],[Investor]])," ",SUMIF(Entries[[Investor Name ]],Calculations!B72,Entries[Deposit Amount]))</f>
        <v xml:space="preserve"> </v>
      </c>
      <c r="D72" s="7" t="str" cm="1">
        <f t="array" aca="1" ref="D72" ca="1">IFERROR(C72 + SUM(Dashboard!J92:J1074)*Query17[Conversion Rate] * SUMPRODUCT((Entries[[Investor Name ]]=Calculations!B72) * (Entries[Deposit Amount]) *(Entries[Time in Fund(Days)]))/SUMPRODUCT(Entries[Deposit Amount],Entries[Time in Fund(Days)])," ")</f>
        <v xml:space="preserve"> </v>
      </c>
    </row>
    <row r="73" spans="2:4" x14ac:dyDescent="0.25">
      <c r="B73" s="6"/>
      <c r="C73" s="2" t="str">
        <f>IF(ISBLANK(Table3[[#This Row],[Investor]])," ",SUMIF(Entries[[Investor Name ]],Calculations!B73,Entries[Deposit Amount]))</f>
        <v xml:space="preserve"> </v>
      </c>
      <c r="D73" s="7" t="str" cm="1">
        <f t="array" aca="1" ref="D73" ca="1">IFERROR(C73 + SUM(Dashboard!J93:J1075)*Query17[Conversion Rate] * SUMPRODUCT((Entries[[Investor Name ]]=Calculations!B73) * (Entries[Deposit Amount]) *(Entries[Time in Fund(Days)]))/SUMPRODUCT(Entries[Deposit Amount],Entries[Time in Fund(Days)])," ")</f>
        <v xml:space="preserve"> </v>
      </c>
    </row>
    <row r="74" spans="2:4" x14ac:dyDescent="0.25">
      <c r="B74" s="6"/>
      <c r="C74" s="2" t="str">
        <f>IF(ISBLANK(Table3[[#This Row],[Investor]])," ",SUMIF(Entries[[Investor Name ]],Calculations!B74,Entries[Deposit Amount]))</f>
        <v xml:space="preserve"> </v>
      </c>
      <c r="D74" s="7" t="str" cm="1">
        <f t="array" aca="1" ref="D74" ca="1">IFERROR(C74 + SUM(Dashboard!J94:J1076)*Query17[Conversion Rate] * SUMPRODUCT((Entries[[Investor Name ]]=Calculations!B74) * (Entries[Deposit Amount]) *(Entries[Time in Fund(Days)]))/SUMPRODUCT(Entries[Deposit Amount],Entries[Time in Fund(Days)])," ")</f>
        <v xml:space="preserve"> </v>
      </c>
    </row>
    <row r="75" spans="2:4" x14ac:dyDescent="0.25">
      <c r="B75" s="6"/>
      <c r="C75" s="2" t="str">
        <f>IF(ISBLANK(Table3[[#This Row],[Investor]])," ",SUMIF(Entries[[Investor Name ]],Calculations!B75,Entries[Deposit Amount]))</f>
        <v xml:space="preserve"> </v>
      </c>
      <c r="D75" s="7" t="str" cm="1">
        <f t="array" aca="1" ref="D75" ca="1">IFERROR(C75 + SUM(Dashboard!J95:J1077)*Query17[Conversion Rate] * SUMPRODUCT((Entries[[Investor Name ]]=Calculations!B75) * (Entries[Deposit Amount]) *(Entries[Time in Fund(Days)]))/SUMPRODUCT(Entries[Deposit Amount],Entries[Time in Fund(Days)])," ")</f>
        <v xml:space="preserve"> </v>
      </c>
    </row>
    <row r="76" spans="2:4" x14ac:dyDescent="0.25">
      <c r="B76" s="6"/>
      <c r="C76" s="2" t="str">
        <f>IF(ISBLANK(Table3[[#This Row],[Investor]])," ",SUMIF(Entries[[Investor Name ]],Calculations!B76,Entries[Deposit Amount]))</f>
        <v xml:space="preserve"> </v>
      </c>
      <c r="D76" s="7" t="str" cm="1">
        <f t="array" aca="1" ref="D76" ca="1">IFERROR(C76 + SUM(Dashboard!J96:J1078)*Query17[Conversion Rate] * SUMPRODUCT((Entries[[Investor Name ]]=Calculations!B76) * (Entries[Deposit Amount]) *(Entries[Time in Fund(Days)]))/SUMPRODUCT(Entries[Deposit Amount],Entries[Time in Fund(Days)])," ")</f>
        <v xml:space="preserve"> </v>
      </c>
    </row>
    <row r="77" spans="2:4" x14ac:dyDescent="0.25">
      <c r="B77" s="6"/>
      <c r="C77" s="2" t="str">
        <f>IF(ISBLANK(Table3[[#This Row],[Investor]])," ",SUMIF(Entries[[Investor Name ]],Calculations!B77,Entries[Deposit Amount]))</f>
        <v xml:space="preserve"> </v>
      </c>
      <c r="D77" s="7" t="str" cm="1">
        <f t="array" aca="1" ref="D77" ca="1">IFERROR(C77 + SUM(Dashboard!J97:J1079)*Query17[Conversion Rate] * SUMPRODUCT((Entries[[Investor Name ]]=Calculations!B77) * (Entries[Deposit Amount]) *(Entries[Time in Fund(Days)]))/SUMPRODUCT(Entries[Deposit Amount],Entries[Time in Fund(Days)])," ")</f>
        <v xml:space="preserve"> </v>
      </c>
    </row>
    <row r="78" spans="2:4" x14ac:dyDescent="0.25">
      <c r="B78" s="6"/>
      <c r="C78" s="2" t="str">
        <f>IF(ISBLANK(Table3[[#This Row],[Investor]])," ",SUMIF(Entries[[Investor Name ]],Calculations!B78,Entries[Deposit Amount]))</f>
        <v xml:space="preserve"> </v>
      </c>
      <c r="D78" s="7" t="str" cm="1">
        <f t="array" aca="1" ref="D78" ca="1">IFERROR(C78 + SUM(Dashboard!J98:J1080)*Query17[Conversion Rate] * SUMPRODUCT((Entries[[Investor Name ]]=Calculations!B78) * (Entries[Deposit Amount]) *(Entries[Time in Fund(Days)]))/SUMPRODUCT(Entries[Deposit Amount],Entries[Time in Fund(Days)])," ")</f>
        <v xml:space="preserve"> </v>
      </c>
    </row>
    <row r="79" spans="2:4" x14ac:dyDescent="0.25">
      <c r="B79" s="6"/>
      <c r="C79" s="2" t="str">
        <f>IF(ISBLANK(Table3[[#This Row],[Investor]])," ",SUMIF(Entries[[Investor Name ]],Calculations!B79,Entries[Deposit Amount]))</f>
        <v xml:space="preserve"> </v>
      </c>
      <c r="D79" s="7" t="str" cm="1">
        <f t="array" aca="1" ref="D79" ca="1">IFERROR(C79 + SUM(Dashboard!J99:J1081)*Query17[Conversion Rate] * SUMPRODUCT((Entries[[Investor Name ]]=Calculations!B79) * (Entries[Deposit Amount]) *(Entries[Time in Fund(Days)]))/SUMPRODUCT(Entries[Deposit Amount],Entries[Time in Fund(Days)])," ")</f>
        <v xml:space="preserve"> </v>
      </c>
    </row>
    <row r="80" spans="2:4" x14ac:dyDescent="0.25">
      <c r="B80" s="6"/>
      <c r="C80" s="2" t="str">
        <f>IF(ISBLANK(Table3[[#This Row],[Investor]])," ",SUMIF(Entries[[Investor Name ]],Calculations!B80,Entries[Deposit Amount]))</f>
        <v xml:space="preserve"> </v>
      </c>
      <c r="D80" s="7" t="str" cm="1">
        <f t="array" aca="1" ref="D80" ca="1">IFERROR(C80 + SUM(Dashboard!J100:J1082)*Query17[Conversion Rate] * SUMPRODUCT((Entries[[Investor Name ]]=Calculations!B80) * (Entries[Deposit Amount]) *(Entries[Time in Fund(Days)]))/SUMPRODUCT(Entries[Deposit Amount],Entries[Time in Fund(Days)])," ")</f>
        <v xml:space="preserve"> </v>
      </c>
    </row>
    <row r="81" spans="2:4" x14ac:dyDescent="0.25">
      <c r="B81" s="6"/>
      <c r="C81" s="2" t="str">
        <f>IF(ISBLANK(Table3[[#This Row],[Investor]])," ",SUMIF(Entries[[Investor Name ]],Calculations!B81,Entries[Deposit Amount]))</f>
        <v xml:space="preserve"> </v>
      </c>
      <c r="D81" s="7" t="str" cm="1">
        <f t="array" aca="1" ref="D81" ca="1">IFERROR(C81 + SUM(Dashboard!J101:J1083)*Query17[Conversion Rate] * SUMPRODUCT((Entries[[Investor Name ]]=Calculations!B81) * (Entries[Deposit Amount]) *(Entries[Time in Fund(Days)]))/SUMPRODUCT(Entries[Deposit Amount],Entries[Time in Fund(Days)])," ")</f>
        <v xml:space="preserve"> </v>
      </c>
    </row>
    <row r="82" spans="2:4" x14ac:dyDescent="0.25">
      <c r="B82" s="6"/>
      <c r="C82" s="2" t="str">
        <f>IF(ISBLANK(Table3[[#This Row],[Investor]])," ",SUMIF(Entries[[Investor Name ]],Calculations!B82,Entries[Deposit Amount]))</f>
        <v xml:space="preserve"> </v>
      </c>
      <c r="D82" s="7" t="str" cm="1">
        <f t="array" aca="1" ref="D82" ca="1">IFERROR(C82 + SUM(Dashboard!J102:J1084)*Query17[Conversion Rate] * SUMPRODUCT((Entries[[Investor Name ]]=Calculations!B82) * (Entries[Deposit Amount]) *(Entries[Time in Fund(Days)]))/SUMPRODUCT(Entries[Deposit Amount],Entries[Time in Fund(Days)])," ")</f>
        <v xml:space="preserve"> </v>
      </c>
    </row>
    <row r="83" spans="2:4" x14ac:dyDescent="0.25">
      <c r="B83" s="6"/>
      <c r="C83" s="2" t="str">
        <f>IF(ISBLANK(Table3[[#This Row],[Investor]])," ",SUMIF(Entries[[Investor Name ]],Calculations!B83,Entries[Deposit Amount]))</f>
        <v xml:space="preserve"> </v>
      </c>
      <c r="D83" s="7" t="str" cm="1">
        <f t="array" aca="1" ref="D83" ca="1">IFERROR(C83 + SUM(Dashboard!J103:J1085)*Query17[Conversion Rate] * SUMPRODUCT((Entries[[Investor Name ]]=Calculations!B83) * (Entries[Deposit Amount]) *(Entries[Time in Fund(Days)]))/SUMPRODUCT(Entries[Deposit Amount],Entries[Time in Fund(Days)])," ")</f>
        <v xml:space="preserve"> </v>
      </c>
    </row>
    <row r="84" spans="2:4" x14ac:dyDescent="0.25">
      <c r="B84" s="6"/>
      <c r="C84" s="2" t="str">
        <f>IF(ISBLANK(Table3[[#This Row],[Investor]])," ",SUMIF(Entries[[Investor Name ]],Calculations!B84,Entries[Deposit Amount]))</f>
        <v xml:space="preserve"> </v>
      </c>
      <c r="D84" s="7" t="str" cm="1">
        <f t="array" aca="1" ref="D84" ca="1">IFERROR(C84 + SUM(Dashboard!J104:J1086)*Query17[Conversion Rate] * SUMPRODUCT((Entries[[Investor Name ]]=Calculations!B84) * (Entries[Deposit Amount]) *(Entries[Time in Fund(Days)]))/SUMPRODUCT(Entries[Deposit Amount],Entries[Time in Fund(Days)])," ")</f>
        <v xml:space="preserve"> </v>
      </c>
    </row>
    <row r="85" spans="2:4" x14ac:dyDescent="0.25">
      <c r="B85" s="6"/>
      <c r="C85" s="2" t="str">
        <f>IF(ISBLANK(Table3[[#This Row],[Investor]])," ",SUMIF(Entries[[Investor Name ]],Calculations!B85,Entries[Deposit Amount]))</f>
        <v xml:space="preserve"> </v>
      </c>
      <c r="D85" s="7" t="str" cm="1">
        <f t="array" aca="1" ref="D85" ca="1">IFERROR(C85 + SUM(Dashboard!J105:J1087)*Query17[Conversion Rate] * SUMPRODUCT((Entries[[Investor Name ]]=Calculations!B85) * (Entries[Deposit Amount]) *(Entries[Time in Fund(Days)]))/SUMPRODUCT(Entries[Deposit Amount],Entries[Time in Fund(Days)])," ")</f>
        <v xml:space="preserve"> </v>
      </c>
    </row>
    <row r="86" spans="2:4" x14ac:dyDescent="0.25">
      <c r="B86" s="6"/>
      <c r="C86" s="2" t="str">
        <f>IF(ISBLANK(Table3[[#This Row],[Investor]])," ",SUMIF(Entries[[Investor Name ]],Calculations!B86,Entries[Deposit Amount]))</f>
        <v xml:space="preserve"> </v>
      </c>
      <c r="D86" s="7" t="str" cm="1">
        <f t="array" aca="1" ref="D86" ca="1">IFERROR(C86 + SUM(Dashboard!J106:J1088)*Query17[Conversion Rate] * SUMPRODUCT((Entries[[Investor Name ]]=Calculations!B86) * (Entries[Deposit Amount]) *(Entries[Time in Fund(Days)]))/SUMPRODUCT(Entries[Deposit Amount],Entries[Time in Fund(Days)])," ")</f>
        <v xml:space="preserve"> </v>
      </c>
    </row>
    <row r="87" spans="2:4" x14ac:dyDescent="0.25">
      <c r="B87" s="6"/>
      <c r="C87" s="2" t="str">
        <f>IF(ISBLANK(Table3[[#This Row],[Investor]])," ",SUMIF(Entries[[Investor Name ]],Calculations!B87,Entries[Deposit Amount]))</f>
        <v xml:space="preserve"> </v>
      </c>
      <c r="D87" s="7" t="str" cm="1">
        <f t="array" aca="1" ref="D87" ca="1">IFERROR(C87 + SUM(Dashboard!J107:J1089)*Query17[Conversion Rate] * SUMPRODUCT((Entries[[Investor Name ]]=Calculations!B87) * (Entries[Deposit Amount]) *(Entries[Time in Fund(Days)]))/SUMPRODUCT(Entries[Deposit Amount],Entries[Time in Fund(Days)])," ")</f>
        <v xml:space="preserve"> </v>
      </c>
    </row>
    <row r="88" spans="2:4" x14ac:dyDescent="0.25">
      <c r="B88" s="6"/>
      <c r="C88" s="2" t="str">
        <f>IF(ISBLANK(Table3[[#This Row],[Investor]])," ",SUMIF(Entries[[Investor Name ]],Calculations!B88,Entries[Deposit Amount]))</f>
        <v xml:space="preserve"> </v>
      </c>
      <c r="D88" s="7" t="str" cm="1">
        <f t="array" aca="1" ref="D88" ca="1">IFERROR(C88 + SUM(Dashboard!J108:J1090)*Query17[Conversion Rate] * SUMPRODUCT((Entries[[Investor Name ]]=Calculations!B88) * (Entries[Deposit Amount]) *(Entries[Time in Fund(Days)]))/SUMPRODUCT(Entries[Deposit Amount],Entries[Time in Fund(Days)])," ")</f>
        <v xml:space="preserve"> </v>
      </c>
    </row>
    <row r="89" spans="2:4" x14ac:dyDescent="0.25">
      <c r="B89" s="6"/>
      <c r="C89" s="2" t="str">
        <f>IF(ISBLANK(Table3[[#This Row],[Investor]])," ",SUMIF(Entries[[Investor Name ]],Calculations!B89,Entries[Deposit Amount]))</f>
        <v xml:space="preserve"> </v>
      </c>
      <c r="D89" s="7" t="str" cm="1">
        <f t="array" aca="1" ref="D89" ca="1">IFERROR(C89 + SUM(Dashboard!J109:J1091)*Query17[Conversion Rate] * SUMPRODUCT((Entries[[Investor Name ]]=Calculations!B89) * (Entries[Deposit Amount]) *(Entries[Time in Fund(Days)]))/SUMPRODUCT(Entries[Deposit Amount],Entries[Time in Fund(Days)])," ")</f>
        <v xml:space="preserve"> </v>
      </c>
    </row>
    <row r="90" spans="2:4" x14ac:dyDescent="0.25">
      <c r="B90" s="6"/>
      <c r="C90" s="2" t="str">
        <f>IF(ISBLANK(Table3[[#This Row],[Investor]])," ",SUMIF(Entries[[Investor Name ]],Calculations!B90,Entries[Deposit Amount]))</f>
        <v xml:space="preserve"> </v>
      </c>
      <c r="D90" s="7" t="str" cm="1">
        <f t="array" aca="1" ref="D90" ca="1">IFERROR(C90 + SUM(Dashboard!J110:J1092)*Query17[Conversion Rate] * SUMPRODUCT((Entries[[Investor Name ]]=Calculations!B90) * (Entries[Deposit Amount]) *(Entries[Time in Fund(Days)]))/SUMPRODUCT(Entries[Deposit Amount],Entries[Time in Fund(Days)])," ")</f>
        <v xml:space="preserve"> </v>
      </c>
    </row>
    <row r="91" spans="2:4" x14ac:dyDescent="0.25">
      <c r="B91" s="6"/>
      <c r="C91" s="2" t="str">
        <f>IF(ISBLANK(Table3[[#This Row],[Investor]])," ",SUMIF(Entries[[Investor Name ]],Calculations!B91,Entries[Deposit Amount]))</f>
        <v xml:space="preserve"> </v>
      </c>
      <c r="D91" s="7" t="str" cm="1">
        <f t="array" aca="1" ref="D91" ca="1">IFERROR(C91 + SUM(Dashboard!J111:J1093)*Query17[Conversion Rate] * SUMPRODUCT((Entries[[Investor Name ]]=Calculations!B91) * (Entries[Deposit Amount]) *(Entries[Time in Fund(Days)]))/SUMPRODUCT(Entries[Deposit Amount],Entries[Time in Fund(Days)])," ")</f>
        <v xml:space="preserve"> </v>
      </c>
    </row>
    <row r="92" spans="2:4" x14ac:dyDescent="0.25">
      <c r="B92" s="6"/>
      <c r="C92" s="2" t="str">
        <f>IF(ISBLANK(Table3[[#This Row],[Investor]])," ",SUMIF(Entries[[Investor Name ]],Calculations!B92,Entries[Deposit Amount]))</f>
        <v xml:space="preserve"> </v>
      </c>
      <c r="D92" s="7" t="str" cm="1">
        <f t="array" aca="1" ref="D92" ca="1">IFERROR(C92 + SUM(Dashboard!J112:J1094)*Query17[Conversion Rate] * SUMPRODUCT((Entries[[Investor Name ]]=Calculations!B92) * (Entries[Deposit Amount]) *(Entries[Time in Fund(Days)]))/SUMPRODUCT(Entries[Deposit Amount],Entries[Time in Fund(Days)])," ")</f>
        <v xml:space="preserve"> </v>
      </c>
    </row>
    <row r="93" spans="2:4" x14ac:dyDescent="0.25">
      <c r="B93" s="6"/>
      <c r="C93" s="2" t="str">
        <f>IF(ISBLANK(Table3[[#This Row],[Investor]])," ",SUMIF(Entries[[Investor Name ]],Calculations!B93,Entries[Deposit Amount]))</f>
        <v xml:space="preserve"> </v>
      </c>
      <c r="D93" s="7" t="str" cm="1">
        <f t="array" aca="1" ref="D93" ca="1">IFERROR(C93 + SUM(Dashboard!J113:J1095)*Query17[Conversion Rate] * SUMPRODUCT((Entries[[Investor Name ]]=Calculations!B93) * (Entries[Deposit Amount]) *(Entries[Time in Fund(Days)]))/SUMPRODUCT(Entries[Deposit Amount],Entries[Time in Fund(Days)])," ")</f>
        <v xml:space="preserve"> </v>
      </c>
    </row>
    <row r="94" spans="2:4" x14ac:dyDescent="0.25">
      <c r="B94" s="6"/>
      <c r="C94" s="2" t="str">
        <f>IF(ISBLANK(Table3[[#This Row],[Investor]])," ",SUMIF(Entries[[Investor Name ]],Calculations!B94,Entries[Deposit Amount]))</f>
        <v xml:space="preserve"> </v>
      </c>
      <c r="D94" s="7" t="str" cm="1">
        <f t="array" aca="1" ref="D94" ca="1">IFERROR(C94 + SUM(Dashboard!J114:J1096)*Query17[Conversion Rate] * SUMPRODUCT((Entries[[Investor Name ]]=Calculations!B94) * (Entries[Deposit Amount]) *(Entries[Time in Fund(Days)]))/SUMPRODUCT(Entries[Deposit Amount],Entries[Time in Fund(Days)])," ")</f>
        <v xml:space="preserve"> </v>
      </c>
    </row>
    <row r="95" spans="2:4" x14ac:dyDescent="0.25">
      <c r="B95" s="6"/>
      <c r="C95" s="2" t="str">
        <f>IF(ISBLANK(Table3[[#This Row],[Investor]])," ",SUMIF(Entries[[Investor Name ]],Calculations!B95,Entries[Deposit Amount]))</f>
        <v xml:space="preserve"> </v>
      </c>
      <c r="D95" s="7" t="str" cm="1">
        <f t="array" aca="1" ref="D95" ca="1">IFERROR(C95 + SUM(Dashboard!J115:J1097)*Query17[Conversion Rate] * SUMPRODUCT((Entries[[Investor Name ]]=Calculations!B95) * (Entries[Deposit Amount]) *(Entries[Time in Fund(Days)]))/SUMPRODUCT(Entries[Deposit Amount],Entries[Time in Fund(Days)])," ")</f>
        <v xml:space="preserve"> </v>
      </c>
    </row>
    <row r="96" spans="2:4" x14ac:dyDescent="0.25">
      <c r="B96" s="6"/>
      <c r="C96" s="2" t="str">
        <f>IF(ISBLANK(Table3[[#This Row],[Investor]])," ",SUMIF(Entries[[Investor Name ]],Calculations!B96,Entries[Deposit Amount]))</f>
        <v xml:space="preserve"> </v>
      </c>
      <c r="D96" s="7" t="str" cm="1">
        <f t="array" aca="1" ref="D96" ca="1">IFERROR(C96 + SUM(Dashboard!J116:J1098)*Query17[Conversion Rate] * SUMPRODUCT((Entries[[Investor Name ]]=Calculations!B96) * (Entries[Deposit Amount]) *(Entries[Time in Fund(Days)]))/SUMPRODUCT(Entries[Deposit Amount],Entries[Time in Fund(Days)])," ")</f>
        <v xml:space="preserve"> </v>
      </c>
    </row>
    <row r="97" spans="2:4" x14ac:dyDescent="0.25">
      <c r="B97" s="6"/>
      <c r="C97" s="2" t="str">
        <f>IF(ISBLANK(Table3[[#This Row],[Investor]])," ",SUMIF(Entries[[Investor Name ]],Calculations!B97,Entries[Deposit Amount]))</f>
        <v xml:space="preserve"> </v>
      </c>
      <c r="D97" s="7" t="str" cm="1">
        <f t="array" aca="1" ref="D97" ca="1">IFERROR(C97 + SUM(Dashboard!J117:J1099)*Query17[Conversion Rate] * SUMPRODUCT((Entries[[Investor Name ]]=Calculations!B97) * (Entries[Deposit Amount]) *(Entries[Time in Fund(Days)]))/SUMPRODUCT(Entries[Deposit Amount],Entries[Time in Fund(Days)])," ")</f>
        <v xml:space="preserve"> </v>
      </c>
    </row>
    <row r="98" spans="2:4" x14ac:dyDescent="0.25">
      <c r="B98" s="6"/>
      <c r="C98" s="2" t="str">
        <f>IF(ISBLANK(Table3[[#This Row],[Investor]])," ",SUMIF(Entries[[Investor Name ]],Calculations!B98,Entries[Deposit Amount]))</f>
        <v xml:space="preserve"> </v>
      </c>
      <c r="D98" s="7" t="str" cm="1">
        <f t="array" aca="1" ref="D98" ca="1">IFERROR(C98 + SUM(Dashboard!J118:J1100)*Query17[Conversion Rate] * SUMPRODUCT((Entries[[Investor Name ]]=Calculations!B98) * (Entries[Deposit Amount]) *(Entries[Time in Fund(Days)]))/SUMPRODUCT(Entries[Deposit Amount],Entries[Time in Fund(Days)])," ")</f>
        <v xml:space="preserve"> </v>
      </c>
    </row>
    <row r="99" spans="2:4" x14ac:dyDescent="0.25">
      <c r="B99" s="6"/>
      <c r="C99" s="2" t="str">
        <f>IF(ISBLANK(Table3[[#This Row],[Investor]])," ",SUMIF(Entries[[Investor Name ]],Calculations!B99,Entries[Deposit Amount]))</f>
        <v xml:space="preserve"> </v>
      </c>
      <c r="D99" s="7" t="str" cm="1">
        <f t="array" aca="1" ref="D99" ca="1">IFERROR(C99 + SUM(Dashboard!J119:J1101)*Query17[Conversion Rate] * SUMPRODUCT((Entries[[Investor Name ]]=Calculations!B99) * (Entries[Deposit Amount]) *(Entries[Time in Fund(Days)]))/SUMPRODUCT(Entries[Deposit Amount],Entries[Time in Fund(Days)])," ")</f>
        <v xml:space="preserve"> </v>
      </c>
    </row>
    <row r="100" spans="2:4" x14ac:dyDescent="0.25">
      <c r="B100" s="6"/>
      <c r="C100" s="2" t="str">
        <f>IF(ISBLANK(Table3[[#This Row],[Investor]])," ",SUMIF(Entries[[Investor Name ]],Calculations!B100,Entries[Deposit Amount]))</f>
        <v xml:space="preserve"> </v>
      </c>
      <c r="D100" s="7" t="str" cm="1">
        <f t="array" aca="1" ref="D100" ca="1">IFERROR(C100 + SUM(Dashboard!J120:J1102)*Query17[Conversion Rate] * SUMPRODUCT((Entries[[Investor Name ]]=Calculations!B100) * (Entries[Deposit Amount]) *(Entries[Time in Fund(Days)]))/SUMPRODUCT(Entries[Deposit Amount],Entries[Time in Fund(Days)])," ")</f>
        <v xml:space="preserve"> </v>
      </c>
    </row>
    <row r="101" spans="2:4" x14ac:dyDescent="0.25">
      <c r="B101" s="6"/>
      <c r="C101" s="2" t="str">
        <f>IF(ISBLANK(Table3[[#This Row],[Investor]])," ",SUMIF(Entries[[Investor Name ]],Calculations!B101,Entries[Deposit Amount]))</f>
        <v xml:space="preserve"> </v>
      </c>
      <c r="D101" s="7" t="str" cm="1">
        <f t="array" aca="1" ref="D101" ca="1">IFERROR(C101 + SUM(Dashboard!J121:J1103)*Query17[Conversion Rate] * SUMPRODUCT((Entries[[Investor Name ]]=Calculations!B101) * (Entries[Deposit Amount]) *(Entries[Time in Fund(Days)]))/SUMPRODUCT(Entries[Deposit Amount],Entries[Time in Fund(Days)])," ")</f>
        <v xml:space="preserve"> </v>
      </c>
    </row>
    <row r="102" spans="2:4" x14ac:dyDescent="0.25">
      <c r="B102" s="6"/>
      <c r="C102" s="2" t="str">
        <f>IF(ISBLANK(Table3[[#This Row],[Investor]])," ",SUMIF(Entries[[Investor Name ]],Calculations!B102,Entries[Deposit Amount]))</f>
        <v xml:space="preserve"> </v>
      </c>
      <c r="D102" s="7" t="str" cm="1">
        <f t="array" aca="1" ref="D102" ca="1">IFERROR(C102 + SUM(Dashboard!J122:J1104)*Query17[Conversion Rate] * SUMPRODUCT((Entries[[Investor Name ]]=Calculations!B102) * (Entries[Deposit Amount]) *(Entries[Time in Fund(Days)]))/SUMPRODUCT(Entries[Deposit Amount],Entries[Time in Fund(Days)])," ")</f>
        <v xml:space="preserve"> </v>
      </c>
    </row>
    <row r="103" spans="2:4" x14ac:dyDescent="0.25">
      <c r="B103" s="6"/>
      <c r="C103" s="2" t="str">
        <f>IF(ISBLANK(Table3[[#This Row],[Investor]])," ",SUMIF(Entries[[Investor Name ]],Calculations!B103,Entries[Deposit Amount]))</f>
        <v xml:space="preserve"> </v>
      </c>
      <c r="D103" s="7" t="str" cm="1">
        <f t="array" aca="1" ref="D103" ca="1">IFERROR(C103 + SUM(Dashboard!J123:J1105)*Query17[Conversion Rate] * SUMPRODUCT((Entries[[Investor Name ]]=Calculations!B103) * (Entries[Deposit Amount]) *(Entries[Time in Fund(Days)]))/SUMPRODUCT(Entries[Deposit Amount],Entries[Time in Fund(Days)])," ")</f>
        <v xml:space="preserve"> </v>
      </c>
    </row>
    <row r="104" spans="2:4" x14ac:dyDescent="0.25">
      <c r="B104" s="6"/>
      <c r="C104" s="2" t="str">
        <f>IF(ISBLANK(Table3[[#This Row],[Investor]])," ",SUMIF(Entries[[Investor Name ]],Calculations!B104,Entries[Deposit Amount]))</f>
        <v xml:space="preserve"> </v>
      </c>
      <c r="D104" s="7" t="str" cm="1">
        <f t="array" aca="1" ref="D104" ca="1">IFERROR(C104 + SUM(Dashboard!J124:J1106)*Query17[Conversion Rate] * SUMPRODUCT((Entries[[Investor Name ]]=Calculations!B104) * (Entries[Deposit Amount]) *(Entries[Time in Fund(Days)]))/SUMPRODUCT(Entries[Deposit Amount],Entries[Time in Fund(Days)])," ")</f>
        <v xml:space="preserve"> </v>
      </c>
    </row>
    <row r="105" spans="2:4" x14ac:dyDescent="0.25">
      <c r="B105" s="6"/>
      <c r="C105" s="2" t="str">
        <f>IF(ISBLANK(Table3[[#This Row],[Investor]])," ",SUMIF(Entries[[Investor Name ]],Calculations!B105,Entries[Deposit Amount]))</f>
        <v xml:space="preserve"> </v>
      </c>
      <c r="D105" s="7" t="str" cm="1">
        <f t="array" aca="1" ref="D105" ca="1">IFERROR(C105 + SUM(Dashboard!J125:J1107)*Query17[Conversion Rate] * SUMPRODUCT((Entries[[Investor Name ]]=Calculations!B105) * (Entries[Deposit Amount]) *(Entries[Time in Fund(Days)]))/SUMPRODUCT(Entries[Deposit Amount],Entries[Time in Fund(Days)])," ")</f>
        <v xml:space="preserve"> </v>
      </c>
    </row>
    <row r="106" spans="2:4" x14ac:dyDescent="0.25">
      <c r="B106" s="6"/>
      <c r="C106" s="2" t="str">
        <f>IF(ISBLANK(Table3[[#This Row],[Investor]])," ",SUMIF(Entries[[Investor Name ]],Calculations!B106,Entries[Deposit Amount]))</f>
        <v xml:space="preserve"> </v>
      </c>
      <c r="D106" s="7" t="str" cm="1">
        <f t="array" aca="1" ref="D106" ca="1">IFERROR(C106 + SUM(Dashboard!J126:J1108)*Query17[Conversion Rate] * SUMPRODUCT((Entries[[Investor Name ]]=Calculations!B106) * (Entries[Deposit Amount]) *(Entries[Time in Fund(Days)]))/SUMPRODUCT(Entries[Deposit Amount],Entries[Time in Fund(Days)])," ")</f>
        <v xml:space="preserve"> </v>
      </c>
    </row>
    <row r="107" spans="2:4" x14ac:dyDescent="0.25">
      <c r="B107" s="6"/>
      <c r="C107" s="2" t="str">
        <f>IF(ISBLANK(Table3[[#This Row],[Investor]])," ",SUMIF(Entries[[Investor Name ]],Calculations!B107,Entries[Deposit Amount]))</f>
        <v xml:space="preserve"> </v>
      </c>
      <c r="D107" s="7" t="str" cm="1">
        <f t="array" aca="1" ref="D107" ca="1">IFERROR(C107 + SUM(Dashboard!J127:J1109)*Query17[Conversion Rate] * SUMPRODUCT((Entries[[Investor Name ]]=Calculations!B107) * (Entries[Deposit Amount]) *(Entries[Time in Fund(Days)]))/SUMPRODUCT(Entries[Deposit Amount],Entries[Time in Fund(Days)])," ")</f>
        <v xml:space="preserve"> </v>
      </c>
    </row>
    <row r="108" spans="2:4" x14ac:dyDescent="0.25">
      <c r="B108" s="6"/>
      <c r="C108" s="2" t="str">
        <f>IF(ISBLANK(Table3[[#This Row],[Investor]])," ",SUMIF(Entries[[Investor Name ]],Calculations!B108,Entries[Deposit Amount]))</f>
        <v xml:space="preserve"> </v>
      </c>
      <c r="D108" s="7" t="str" cm="1">
        <f t="array" aca="1" ref="D108" ca="1">IFERROR(C108 + SUM(Dashboard!J128:J1110)*Query17[Conversion Rate] * SUMPRODUCT((Entries[[Investor Name ]]=Calculations!B108) * (Entries[Deposit Amount]) *(Entries[Time in Fund(Days)]))/SUMPRODUCT(Entries[Deposit Amount],Entries[Time in Fund(Days)])," ")</f>
        <v xml:space="preserve"> </v>
      </c>
    </row>
    <row r="109" spans="2:4" x14ac:dyDescent="0.25">
      <c r="B109" s="6"/>
      <c r="C109" s="2" t="str">
        <f>IF(ISBLANK(Table3[[#This Row],[Investor]])," ",SUMIF(Entries[[Investor Name ]],Calculations!B109,Entries[Deposit Amount]))</f>
        <v xml:space="preserve"> </v>
      </c>
      <c r="D109" s="7" t="str" cm="1">
        <f t="array" aca="1" ref="D109" ca="1">IFERROR(C109 + SUM(Dashboard!J129:J1111)*Query17[Conversion Rate] * SUMPRODUCT((Entries[[Investor Name ]]=Calculations!B109) * (Entries[Deposit Amount]) *(Entries[Time in Fund(Days)]))/SUMPRODUCT(Entries[Deposit Amount],Entries[Time in Fund(Days)])," ")</f>
        <v xml:space="preserve"> </v>
      </c>
    </row>
    <row r="110" spans="2:4" x14ac:dyDescent="0.25">
      <c r="B110" s="6"/>
      <c r="C110" s="2" t="str">
        <f>IF(ISBLANK(Table3[[#This Row],[Investor]])," ",SUMIF(Entries[[Investor Name ]],Calculations!B110,Entries[Deposit Amount]))</f>
        <v xml:space="preserve"> </v>
      </c>
      <c r="D110" s="7" t="str" cm="1">
        <f t="array" aca="1" ref="D110" ca="1">IFERROR(C110 + SUM(Dashboard!J130:J1112)*Query17[Conversion Rate] * SUMPRODUCT((Entries[[Investor Name ]]=Calculations!B110) * (Entries[Deposit Amount]) *(Entries[Time in Fund(Days)]))/SUMPRODUCT(Entries[Deposit Amount],Entries[Time in Fund(Days)])," ")</f>
        <v xml:space="preserve"> </v>
      </c>
    </row>
    <row r="111" spans="2:4" x14ac:dyDescent="0.25">
      <c r="B111" s="6"/>
      <c r="C111" s="2" t="str">
        <f>IF(ISBLANK(Table3[[#This Row],[Investor]])," ",SUMIF(Entries[[Investor Name ]],Calculations!B111,Entries[Deposit Amount]))</f>
        <v xml:space="preserve"> </v>
      </c>
      <c r="D111" s="7" t="str" cm="1">
        <f t="array" aca="1" ref="D111" ca="1">IFERROR(C111 + SUM(Dashboard!J131:J1113)*Query17[Conversion Rate] * SUMPRODUCT((Entries[[Investor Name ]]=Calculations!B111) * (Entries[Deposit Amount]) *(Entries[Time in Fund(Days)]))/SUMPRODUCT(Entries[Deposit Amount],Entries[Time in Fund(Days)])," ")</f>
        <v xml:space="preserve"> </v>
      </c>
    </row>
    <row r="112" spans="2:4" x14ac:dyDescent="0.25">
      <c r="B112" s="6"/>
      <c r="C112" s="2" t="str">
        <f>IF(ISBLANK(Table3[[#This Row],[Investor]])," ",SUMIF(Entries[[Investor Name ]],Calculations!B112,Entries[Deposit Amount]))</f>
        <v xml:space="preserve"> </v>
      </c>
      <c r="D112" s="7" t="str" cm="1">
        <f t="array" aca="1" ref="D112" ca="1">IFERROR(C112 + SUM(Dashboard!J132:J1114)*Query17[Conversion Rate] * SUMPRODUCT((Entries[[Investor Name ]]=Calculations!B112) * (Entries[Deposit Amount]) *(Entries[Time in Fund(Days)]))/SUMPRODUCT(Entries[Deposit Amount],Entries[Time in Fund(Days)])," ")</f>
        <v xml:space="preserve"> </v>
      </c>
    </row>
    <row r="113" spans="2:4" x14ac:dyDescent="0.25">
      <c r="B113" s="6"/>
      <c r="C113" s="2" t="str">
        <f>IF(ISBLANK(Table3[[#This Row],[Investor]])," ",SUMIF(Entries[[Investor Name ]],Calculations!B113,Entries[Deposit Amount]))</f>
        <v xml:space="preserve"> </v>
      </c>
      <c r="D113" s="7" t="str" cm="1">
        <f t="array" aca="1" ref="D113" ca="1">IFERROR(C113 + SUM(Dashboard!J133:J1115)*Query17[Conversion Rate] * SUMPRODUCT((Entries[[Investor Name ]]=Calculations!B113) * (Entries[Deposit Amount]) *(Entries[Time in Fund(Days)]))/SUMPRODUCT(Entries[Deposit Amount],Entries[Time in Fund(Days)])," ")</f>
        <v xml:space="preserve"> </v>
      </c>
    </row>
    <row r="114" spans="2:4" x14ac:dyDescent="0.25">
      <c r="B114" s="6"/>
      <c r="C114" s="2" t="str">
        <f>IF(ISBLANK(Table3[[#This Row],[Investor]])," ",SUMIF(Entries[[Investor Name ]],Calculations!B114,Entries[Deposit Amount]))</f>
        <v xml:space="preserve"> </v>
      </c>
      <c r="D114" s="7" t="str" cm="1">
        <f t="array" aca="1" ref="D114" ca="1">IFERROR(C114 + SUM(Dashboard!J134:J1116)*Query17[Conversion Rate] * SUMPRODUCT((Entries[[Investor Name ]]=Calculations!B114) * (Entries[Deposit Amount]) *(Entries[Time in Fund(Days)]))/SUMPRODUCT(Entries[Deposit Amount],Entries[Time in Fund(Days)])," ")</f>
        <v xml:space="preserve"> </v>
      </c>
    </row>
    <row r="115" spans="2:4" x14ac:dyDescent="0.25">
      <c r="B115" s="6"/>
      <c r="C115" s="2" t="str">
        <f>IF(ISBLANK(Table3[[#This Row],[Investor]])," ",SUMIF(Entries[[Investor Name ]],Calculations!B115,Entries[Deposit Amount]))</f>
        <v xml:space="preserve"> </v>
      </c>
      <c r="D115" s="7" t="str" cm="1">
        <f t="array" aca="1" ref="D115" ca="1">IFERROR(C115 + SUM(Dashboard!J135:J1117)*Query17[Conversion Rate] * SUMPRODUCT((Entries[[Investor Name ]]=Calculations!B115) * (Entries[Deposit Amount]) *(Entries[Time in Fund(Days)]))/SUMPRODUCT(Entries[Deposit Amount],Entries[Time in Fund(Days)])," ")</f>
        <v xml:space="preserve"> </v>
      </c>
    </row>
    <row r="116" spans="2:4" x14ac:dyDescent="0.25">
      <c r="B116" s="6"/>
      <c r="C116" s="2" t="str">
        <f>IF(ISBLANK(Table3[[#This Row],[Investor]])," ",SUMIF(Entries[[Investor Name ]],Calculations!B116,Entries[Deposit Amount]))</f>
        <v xml:space="preserve"> </v>
      </c>
      <c r="D116" s="7" t="str" cm="1">
        <f t="array" aca="1" ref="D116" ca="1">IFERROR(C116 + SUM(Dashboard!J136:J1118)*Query17[Conversion Rate] * SUMPRODUCT((Entries[[Investor Name ]]=Calculations!B116) * (Entries[Deposit Amount]) *(Entries[Time in Fund(Days)]))/SUMPRODUCT(Entries[Deposit Amount],Entries[Time in Fund(Days)])," ")</f>
        <v xml:space="preserve"> </v>
      </c>
    </row>
    <row r="117" spans="2:4" x14ac:dyDescent="0.25">
      <c r="B117" s="6"/>
      <c r="C117" s="2" t="str">
        <f>IF(ISBLANK(Table3[[#This Row],[Investor]])," ",SUMIF(Entries[[Investor Name ]],Calculations!B117,Entries[Deposit Amount]))</f>
        <v xml:space="preserve"> </v>
      </c>
      <c r="D117" s="7" t="str" cm="1">
        <f t="array" aca="1" ref="D117" ca="1">IFERROR(C117 + SUM(Dashboard!J137:J1119)*Query17[Conversion Rate] * SUMPRODUCT((Entries[[Investor Name ]]=Calculations!B117) * (Entries[Deposit Amount]) *(Entries[Time in Fund(Days)]))/SUMPRODUCT(Entries[Deposit Amount],Entries[Time in Fund(Days)])," ")</f>
        <v xml:space="preserve"> </v>
      </c>
    </row>
    <row r="118" spans="2:4" x14ac:dyDescent="0.25">
      <c r="B118" s="6"/>
      <c r="C118" s="2" t="str">
        <f>IF(ISBLANK(Table3[[#This Row],[Investor]])," ",SUMIF(Entries[[Investor Name ]],Calculations!B118,Entries[Deposit Amount]))</f>
        <v xml:space="preserve"> </v>
      </c>
      <c r="D118" s="7" t="str" cm="1">
        <f t="array" aca="1" ref="D118" ca="1">IFERROR(C118 + SUM(Dashboard!J138:J1120)*Query17[Conversion Rate] * SUMPRODUCT((Entries[[Investor Name ]]=Calculations!B118) * (Entries[Deposit Amount]) *(Entries[Time in Fund(Days)]))/SUMPRODUCT(Entries[Deposit Amount],Entries[Time in Fund(Days)])," ")</f>
        <v xml:space="preserve"> </v>
      </c>
    </row>
    <row r="119" spans="2:4" x14ac:dyDescent="0.25">
      <c r="B119" s="6"/>
      <c r="C119" s="2" t="str">
        <f>IF(ISBLANK(Table3[[#This Row],[Investor]])," ",SUMIF(Entries[[Investor Name ]],Calculations!B119,Entries[Deposit Amount]))</f>
        <v xml:space="preserve"> </v>
      </c>
      <c r="D119" s="7" t="str" cm="1">
        <f t="array" aca="1" ref="D119" ca="1">IFERROR(C119 + SUM(Dashboard!J139:J1121)*Query17[Conversion Rate] * SUMPRODUCT((Entries[[Investor Name ]]=Calculations!B119) * (Entries[Deposit Amount]) *(Entries[Time in Fund(Days)]))/SUMPRODUCT(Entries[Deposit Amount],Entries[Time in Fund(Days)])," ")</f>
        <v xml:space="preserve"> </v>
      </c>
    </row>
    <row r="120" spans="2:4" x14ac:dyDescent="0.25">
      <c r="B120" s="6"/>
      <c r="C120" s="2" t="str">
        <f>IF(ISBLANK(Table3[[#This Row],[Investor]])," ",SUMIF(Entries[[Investor Name ]],Calculations!B120,Entries[Deposit Amount]))</f>
        <v xml:space="preserve"> </v>
      </c>
      <c r="D120" s="7" t="str" cm="1">
        <f t="array" aca="1" ref="D120" ca="1">IFERROR(C120 + SUM(Dashboard!J140:J1122)*Query17[Conversion Rate] * SUMPRODUCT((Entries[[Investor Name ]]=Calculations!B120) * (Entries[Deposit Amount]) *(Entries[Time in Fund(Days)]))/SUMPRODUCT(Entries[Deposit Amount],Entries[Time in Fund(Days)])," ")</f>
        <v xml:space="preserve"> </v>
      </c>
    </row>
    <row r="121" spans="2:4" x14ac:dyDescent="0.25">
      <c r="B121" s="6"/>
      <c r="C121" s="2" t="str">
        <f>IF(ISBLANK(Table3[[#This Row],[Investor]])," ",SUMIF(Entries[[Investor Name ]],Calculations!B121,Entries[Deposit Amount]))</f>
        <v xml:space="preserve"> </v>
      </c>
      <c r="D121" s="7" t="str" cm="1">
        <f t="array" aca="1" ref="D121" ca="1">IFERROR(C121 + SUM(Dashboard!J141:J1123)*Query17[Conversion Rate] * SUMPRODUCT((Entries[[Investor Name ]]=Calculations!B121) * (Entries[Deposit Amount]) *(Entries[Time in Fund(Days)]))/SUMPRODUCT(Entries[Deposit Amount],Entries[Time in Fund(Days)])," ")</f>
        <v xml:space="preserve"> </v>
      </c>
    </row>
    <row r="122" spans="2:4" x14ac:dyDescent="0.25">
      <c r="B122" s="6"/>
      <c r="C122" s="2" t="str">
        <f>IF(ISBLANK(Table3[[#This Row],[Investor]])," ",SUMIF(Entries[[Investor Name ]],Calculations!B122,Entries[Deposit Amount]))</f>
        <v xml:space="preserve"> </v>
      </c>
      <c r="D122" s="7" t="str" cm="1">
        <f t="array" aca="1" ref="D122" ca="1">IFERROR(C122 + SUM(Dashboard!J142:J1124)*Query17[Conversion Rate] * SUMPRODUCT((Entries[[Investor Name ]]=Calculations!B122) * (Entries[Deposit Amount]) *(Entries[Time in Fund(Days)]))/SUMPRODUCT(Entries[Deposit Amount],Entries[Time in Fund(Days)])," ")</f>
        <v xml:space="preserve"> </v>
      </c>
    </row>
    <row r="123" spans="2:4" x14ac:dyDescent="0.25">
      <c r="B123" s="6"/>
      <c r="C123" s="2" t="str">
        <f>IF(ISBLANK(Table3[[#This Row],[Investor]])," ",SUMIF(Entries[[Investor Name ]],Calculations!B123,Entries[Deposit Amount]))</f>
        <v xml:space="preserve"> </v>
      </c>
      <c r="D123" s="7" t="str" cm="1">
        <f t="array" aca="1" ref="D123" ca="1">IFERROR(C123 + SUM(Dashboard!J143:J1125)*Query17[Conversion Rate] * SUMPRODUCT((Entries[[Investor Name ]]=Calculations!B123) * (Entries[Deposit Amount]) *(Entries[Time in Fund(Days)]))/SUMPRODUCT(Entries[Deposit Amount],Entries[Time in Fund(Days)])," ")</f>
        <v xml:space="preserve"> </v>
      </c>
    </row>
    <row r="124" spans="2:4" x14ac:dyDescent="0.25">
      <c r="B124" s="6"/>
      <c r="C124" s="2" t="str">
        <f>IF(ISBLANK(Table3[[#This Row],[Investor]])," ",SUMIF(Entries[[Investor Name ]],Calculations!B124,Entries[Deposit Amount]))</f>
        <v xml:space="preserve"> </v>
      </c>
      <c r="D124" s="7" t="str" cm="1">
        <f t="array" aca="1" ref="D124" ca="1">IFERROR(C124 + SUM(Dashboard!J144:J1126)*Query17[Conversion Rate] * SUMPRODUCT((Entries[[Investor Name ]]=Calculations!B124) * (Entries[Deposit Amount]) *(Entries[Time in Fund(Days)]))/SUMPRODUCT(Entries[Deposit Amount],Entries[Time in Fund(Days)])," ")</f>
        <v xml:space="preserve"> </v>
      </c>
    </row>
    <row r="125" spans="2:4" x14ac:dyDescent="0.25">
      <c r="B125" s="6"/>
      <c r="C125" s="2" t="str">
        <f>IF(ISBLANK(Table3[[#This Row],[Investor]])," ",SUMIF(Entries[[Investor Name ]],Calculations!B125,Entries[Deposit Amount]))</f>
        <v xml:space="preserve"> </v>
      </c>
      <c r="D125" s="7" t="str" cm="1">
        <f t="array" aca="1" ref="D125" ca="1">IFERROR(C125 + SUM(Dashboard!J145:J1127)*Query17[Conversion Rate] * SUMPRODUCT((Entries[[Investor Name ]]=Calculations!B125) * (Entries[Deposit Amount]) *(Entries[Time in Fund(Days)]))/SUMPRODUCT(Entries[Deposit Amount],Entries[Time in Fund(Days)])," ")</f>
        <v xml:space="preserve"> </v>
      </c>
    </row>
    <row r="126" spans="2:4" x14ac:dyDescent="0.25">
      <c r="B126" s="6"/>
      <c r="C126" s="2" t="str">
        <f>IF(ISBLANK(Table3[[#This Row],[Investor]])," ",SUMIF(Entries[[Investor Name ]],Calculations!B126,Entries[Deposit Amount]))</f>
        <v xml:space="preserve"> </v>
      </c>
      <c r="D126" s="7" t="str" cm="1">
        <f t="array" aca="1" ref="D126" ca="1">IFERROR(C126 + SUM(Dashboard!J146:J1128)*Query17[Conversion Rate] * SUMPRODUCT((Entries[[Investor Name ]]=Calculations!B126) * (Entries[Deposit Amount]) *(Entries[Time in Fund(Days)]))/SUMPRODUCT(Entries[Deposit Amount],Entries[Time in Fund(Days)])," ")</f>
        <v xml:space="preserve"> </v>
      </c>
    </row>
    <row r="127" spans="2:4" x14ac:dyDescent="0.25">
      <c r="B127" s="6"/>
      <c r="C127" s="2" t="str">
        <f>IF(ISBLANK(Table3[[#This Row],[Investor]])," ",SUMIF(Entries[[Investor Name ]],Calculations!B127,Entries[Deposit Amount]))</f>
        <v xml:space="preserve"> </v>
      </c>
      <c r="D127" s="7" t="str" cm="1">
        <f t="array" aca="1" ref="D127" ca="1">IFERROR(C127 + SUM(Dashboard!J147:J1129)*Query17[Conversion Rate] * SUMPRODUCT((Entries[[Investor Name ]]=Calculations!B127) * (Entries[Deposit Amount]) *(Entries[Time in Fund(Days)]))/SUMPRODUCT(Entries[Deposit Amount],Entries[Time in Fund(Days)])," ")</f>
        <v xml:space="preserve"> </v>
      </c>
    </row>
    <row r="128" spans="2:4" x14ac:dyDescent="0.25">
      <c r="B128" s="6"/>
      <c r="C128" s="2" t="str">
        <f>IF(ISBLANK(Table3[[#This Row],[Investor]])," ",SUMIF(Entries[[Investor Name ]],Calculations!B128,Entries[Deposit Amount]))</f>
        <v xml:space="preserve"> </v>
      </c>
      <c r="D128" s="7" t="str" cm="1">
        <f t="array" aca="1" ref="D128" ca="1">IFERROR(C128 + SUM(Dashboard!J148:J1130)*Query17[Conversion Rate] * SUMPRODUCT((Entries[[Investor Name ]]=Calculations!B128) * (Entries[Deposit Amount]) *(Entries[Time in Fund(Days)]))/SUMPRODUCT(Entries[Deposit Amount],Entries[Time in Fund(Days)])," ")</f>
        <v xml:space="preserve"> </v>
      </c>
    </row>
    <row r="129" spans="2:4" x14ac:dyDescent="0.25">
      <c r="B129" s="6"/>
      <c r="C129" s="2" t="str">
        <f>IF(ISBLANK(Table3[[#This Row],[Investor]])," ",SUMIF(Entries[[Investor Name ]],Calculations!B129,Entries[Deposit Amount]))</f>
        <v xml:space="preserve"> </v>
      </c>
      <c r="D129" s="7" t="str" cm="1">
        <f t="array" aca="1" ref="D129" ca="1">IFERROR(C129 + SUM(Dashboard!J149:J1131)*Query17[Conversion Rate] * SUMPRODUCT((Entries[[Investor Name ]]=Calculations!B129) * (Entries[Deposit Amount]) *(Entries[Time in Fund(Days)]))/SUMPRODUCT(Entries[Deposit Amount],Entries[Time in Fund(Days)])," ")</f>
        <v xml:space="preserve"> </v>
      </c>
    </row>
    <row r="130" spans="2:4" x14ac:dyDescent="0.25">
      <c r="B130" s="6"/>
      <c r="C130" s="2" t="str">
        <f>IF(ISBLANK(Table3[[#This Row],[Investor]])," ",SUMIF(Entries[[Investor Name ]],Calculations!B130,Entries[Deposit Amount]))</f>
        <v xml:space="preserve"> </v>
      </c>
      <c r="D130" s="7" t="str" cm="1">
        <f t="array" aca="1" ref="D130" ca="1">IFERROR(C130 + SUM(Dashboard!J150:J1132)*Query17[Conversion Rate] * SUMPRODUCT((Entries[[Investor Name ]]=Calculations!B130) * (Entries[Deposit Amount]) *(Entries[Time in Fund(Days)]))/SUMPRODUCT(Entries[Deposit Amount],Entries[Time in Fund(Days)])," ")</f>
        <v xml:space="preserve"> </v>
      </c>
    </row>
    <row r="131" spans="2:4" x14ac:dyDescent="0.25">
      <c r="B131" s="6"/>
      <c r="C131" s="2" t="str">
        <f>IF(ISBLANK(Table3[[#This Row],[Investor]])," ",SUMIF(Entries[[Investor Name ]],Calculations!B131,Entries[Deposit Amount]))</f>
        <v xml:space="preserve"> </v>
      </c>
      <c r="D131" s="7" t="str" cm="1">
        <f t="array" aca="1" ref="D131" ca="1">IFERROR(C131 + SUM(Dashboard!J151:J1133)*Query17[Conversion Rate] * SUMPRODUCT((Entries[[Investor Name ]]=Calculations!B131) * (Entries[Deposit Amount]) *(Entries[Time in Fund(Days)]))/SUMPRODUCT(Entries[Deposit Amount],Entries[Time in Fund(Days)])," ")</f>
        <v xml:space="preserve"> </v>
      </c>
    </row>
    <row r="132" spans="2:4" x14ac:dyDescent="0.25">
      <c r="B132" s="6"/>
      <c r="C132" s="2" t="str">
        <f>IF(ISBLANK(Table3[[#This Row],[Investor]])," ",SUMIF(Entries[[Investor Name ]],Calculations!B132,Entries[Deposit Amount]))</f>
        <v xml:space="preserve"> </v>
      </c>
      <c r="D132" s="7" t="str" cm="1">
        <f t="array" aca="1" ref="D132" ca="1">IFERROR(C132 + SUM(Dashboard!J152:J1134)*Query17[Conversion Rate] * SUMPRODUCT((Entries[[Investor Name ]]=Calculations!B132) * (Entries[Deposit Amount]) *(Entries[Time in Fund(Days)]))/SUMPRODUCT(Entries[Deposit Amount],Entries[Time in Fund(Days)])," ")</f>
        <v xml:space="preserve"> </v>
      </c>
    </row>
    <row r="133" spans="2:4" x14ac:dyDescent="0.25">
      <c r="B133" s="6"/>
      <c r="C133" s="2" t="str">
        <f>IF(ISBLANK(Table3[[#This Row],[Investor]])," ",SUMIF(Entries[[Investor Name ]],Calculations!B133,Entries[Deposit Amount]))</f>
        <v xml:space="preserve"> </v>
      </c>
      <c r="D133" s="7" t="str" cm="1">
        <f t="array" aca="1" ref="D133" ca="1">IFERROR(C133 + SUM(Dashboard!J153:J1135)*Query17[Conversion Rate] * SUMPRODUCT((Entries[[Investor Name ]]=Calculations!B133) * (Entries[Deposit Amount]) *(Entries[Time in Fund(Days)]))/SUMPRODUCT(Entries[Deposit Amount],Entries[Time in Fund(Days)])," ")</f>
        <v xml:space="preserve"> </v>
      </c>
    </row>
    <row r="134" spans="2:4" x14ac:dyDescent="0.25">
      <c r="B134" s="6"/>
      <c r="C134" s="2" t="str">
        <f>IF(ISBLANK(Table3[[#This Row],[Investor]])," ",SUMIF(Entries[[Investor Name ]],Calculations!B134,Entries[Deposit Amount]))</f>
        <v xml:space="preserve"> </v>
      </c>
      <c r="D134" s="7" t="str" cm="1">
        <f t="array" aca="1" ref="D134" ca="1">IFERROR(C134 + SUM(Dashboard!J154:J1136)*Query17[Conversion Rate] * SUMPRODUCT((Entries[[Investor Name ]]=Calculations!B134) * (Entries[Deposit Amount]) *(Entries[Time in Fund(Days)]))/SUMPRODUCT(Entries[Deposit Amount],Entries[Time in Fund(Days)])," ")</f>
        <v xml:space="preserve"> </v>
      </c>
    </row>
    <row r="135" spans="2:4" x14ac:dyDescent="0.25">
      <c r="B135" s="6"/>
      <c r="C135" s="2" t="str">
        <f>IF(ISBLANK(Table3[[#This Row],[Investor]])," ",SUMIF(Entries[[Investor Name ]],Calculations!B135,Entries[Deposit Amount]))</f>
        <v xml:space="preserve"> </v>
      </c>
      <c r="D135" s="7" t="str" cm="1">
        <f t="array" aca="1" ref="D135" ca="1">IFERROR(C135 + SUM(Dashboard!J155:J1137)*Query17[Conversion Rate] * SUMPRODUCT((Entries[[Investor Name ]]=Calculations!B135) * (Entries[Deposit Amount]) *(Entries[Time in Fund(Days)]))/SUMPRODUCT(Entries[Deposit Amount],Entries[Time in Fund(Days)])," ")</f>
        <v xml:space="preserve"> </v>
      </c>
    </row>
    <row r="136" spans="2:4" x14ac:dyDescent="0.25">
      <c r="B136" s="6"/>
      <c r="C136" s="2" t="str">
        <f>IF(ISBLANK(Table3[[#This Row],[Investor]])," ",SUMIF(Entries[[Investor Name ]],Calculations!B136,Entries[Deposit Amount]))</f>
        <v xml:space="preserve"> </v>
      </c>
      <c r="D136" s="7" t="str" cm="1">
        <f t="array" aca="1" ref="D136" ca="1">IFERROR(C136 + SUM(Dashboard!J156:J1138)*Query17[Conversion Rate] * SUMPRODUCT((Entries[[Investor Name ]]=Calculations!B136) * (Entries[Deposit Amount]) *(Entries[Time in Fund(Days)]))/SUMPRODUCT(Entries[Deposit Amount],Entries[Time in Fund(Days)])," ")</f>
        <v xml:space="preserve"> </v>
      </c>
    </row>
    <row r="137" spans="2:4" x14ac:dyDescent="0.25">
      <c r="B137" s="6"/>
      <c r="C137" s="2" t="str">
        <f>IF(ISBLANK(Table3[[#This Row],[Investor]])," ",SUMIF(Entries[[Investor Name ]],Calculations!B137,Entries[Deposit Amount]))</f>
        <v xml:space="preserve"> </v>
      </c>
      <c r="D137" s="7" t="str" cm="1">
        <f t="array" aca="1" ref="D137" ca="1">IFERROR(C137 + SUM(Dashboard!J157:J1139)*Query17[Conversion Rate] * SUMPRODUCT((Entries[[Investor Name ]]=Calculations!B137) * (Entries[Deposit Amount]) *(Entries[Time in Fund(Days)]))/SUMPRODUCT(Entries[Deposit Amount],Entries[Time in Fund(Days)])," ")</f>
        <v xml:space="preserve"> </v>
      </c>
    </row>
    <row r="138" spans="2:4" x14ac:dyDescent="0.25">
      <c r="B138" s="6"/>
      <c r="C138" s="2" t="str">
        <f>IF(ISBLANK(Table3[[#This Row],[Investor]])," ",SUMIF(Entries[[Investor Name ]],Calculations!B138,Entries[Deposit Amount]))</f>
        <v xml:space="preserve"> </v>
      </c>
      <c r="D138" s="7" t="str" cm="1">
        <f t="array" aca="1" ref="D138" ca="1">IFERROR(C138 + SUM(Dashboard!J158:J1140)*Query17[Conversion Rate] * SUMPRODUCT((Entries[[Investor Name ]]=Calculations!B138) * (Entries[Deposit Amount]) *(Entries[Time in Fund(Days)]))/SUMPRODUCT(Entries[Deposit Amount],Entries[Time in Fund(Days)])," ")</f>
        <v xml:space="preserve"> </v>
      </c>
    </row>
    <row r="139" spans="2:4" x14ac:dyDescent="0.25">
      <c r="B139" s="6"/>
      <c r="C139" s="2" t="str">
        <f>IF(ISBLANK(Table3[[#This Row],[Investor]])," ",SUMIF(Entries[[Investor Name ]],Calculations!B139,Entries[Deposit Amount]))</f>
        <v xml:space="preserve"> </v>
      </c>
      <c r="D139" s="7" t="str" cm="1">
        <f t="array" aca="1" ref="D139" ca="1">IFERROR(C139 + SUM(Dashboard!J159:J1141)*Query17[Conversion Rate] * SUMPRODUCT((Entries[[Investor Name ]]=Calculations!B139) * (Entries[Deposit Amount]) *(Entries[Time in Fund(Days)]))/SUMPRODUCT(Entries[Deposit Amount],Entries[Time in Fund(Days)])," ")</f>
        <v xml:space="preserve"> </v>
      </c>
    </row>
    <row r="140" spans="2:4" x14ac:dyDescent="0.25">
      <c r="B140" s="6"/>
      <c r="C140" s="2" t="str">
        <f>IF(ISBLANK(Table3[[#This Row],[Investor]])," ",SUMIF(Entries[[Investor Name ]],Calculations!B140,Entries[Deposit Amount]))</f>
        <v xml:space="preserve"> </v>
      </c>
      <c r="D140" s="7" t="str" cm="1">
        <f t="array" aca="1" ref="D140" ca="1">IFERROR(C140 + SUM(Dashboard!J160:J1142)*Query17[Conversion Rate] * SUMPRODUCT((Entries[[Investor Name ]]=Calculations!B140) * (Entries[Deposit Amount]) *(Entries[Time in Fund(Days)]))/SUMPRODUCT(Entries[Deposit Amount],Entries[Time in Fund(Days)])," ")</f>
        <v xml:space="preserve"> </v>
      </c>
    </row>
    <row r="141" spans="2:4" x14ac:dyDescent="0.25">
      <c r="B141" s="6"/>
      <c r="C141" s="2" t="str">
        <f>IF(ISBLANK(Table3[[#This Row],[Investor]])," ",SUMIF(Entries[[Investor Name ]],Calculations!B141,Entries[Deposit Amount]))</f>
        <v xml:space="preserve"> </v>
      </c>
      <c r="D141" s="7" t="str" cm="1">
        <f t="array" aca="1" ref="D141" ca="1">IFERROR(C141 + SUM(Dashboard!J161:J1143)*Query17[Conversion Rate] * SUMPRODUCT((Entries[[Investor Name ]]=Calculations!B141) * (Entries[Deposit Amount]) *(Entries[Time in Fund(Days)]))/SUMPRODUCT(Entries[Deposit Amount],Entries[Time in Fund(Days)])," ")</f>
        <v xml:space="preserve"> </v>
      </c>
    </row>
    <row r="142" spans="2:4" x14ac:dyDescent="0.25">
      <c r="B142" s="6"/>
      <c r="C142" s="2" t="str">
        <f>IF(ISBLANK(Table3[[#This Row],[Investor]])," ",SUMIF(Entries[[Investor Name ]],Calculations!B142,Entries[Deposit Amount]))</f>
        <v xml:space="preserve"> </v>
      </c>
      <c r="D142" s="7" t="str" cm="1">
        <f t="array" aca="1" ref="D142" ca="1">IFERROR(C142 + SUM(Dashboard!J162:J1144)*Query17[Conversion Rate] * SUMPRODUCT((Entries[[Investor Name ]]=Calculations!B142) * (Entries[Deposit Amount]) *(Entries[Time in Fund(Days)]))/SUMPRODUCT(Entries[Deposit Amount],Entries[Time in Fund(Days)])," ")</f>
        <v xml:space="preserve"> </v>
      </c>
    </row>
    <row r="143" spans="2:4" x14ac:dyDescent="0.25">
      <c r="B143" s="6"/>
      <c r="C143" s="2" t="str">
        <f>IF(ISBLANK(Table3[[#This Row],[Investor]])," ",SUMIF(Entries[[Investor Name ]],Calculations!B143,Entries[Deposit Amount]))</f>
        <v xml:space="preserve"> </v>
      </c>
      <c r="D143" s="7" t="str" cm="1">
        <f t="array" aca="1" ref="D143" ca="1">IFERROR(C143 + SUM(Dashboard!J163:J1145)*Query17[Conversion Rate] * SUMPRODUCT((Entries[[Investor Name ]]=Calculations!B143) * (Entries[Deposit Amount]) *(Entries[Time in Fund(Days)]))/SUMPRODUCT(Entries[Deposit Amount],Entries[Time in Fund(Days)])," ")</f>
        <v xml:space="preserve"> </v>
      </c>
    </row>
    <row r="144" spans="2:4" x14ac:dyDescent="0.25">
      <c r="B144" s="6"/>
      <c r="C144" s="2" t="str">
        <f>IF(ISBLANK(Table3[[#This Row],[Investor]])," ",SUMIF(Entries[[Investor Name ]],Calculations!B144,Entries[Deposit Amount]))</f>
        <v xml:space="preserve"> </v>
      </c>
      <c r="D144" s="7" t="str" cm="1">
        <f t="array" aca="1" ref="D144" ca="1">IFERROR(C144 + SUM(Dashboard!J164:J1146)*Query17[Conversion Rate] * SUMPRODUCT((Entries[[Investor Name ]]=Calculations!B144) * (Entries[Deposit Amount]) *(Entries[Time in Fund(Days)]))/SUMPRODUCT(Entries[Deposit Amount],Entries[Time in Fund(Days)])," ")</f>
        <v xml:space="preserve"> </v>
      </c>
    </row>
    <row r="145" spans="2:4" x14ac:dyDescent="0.25">
      <c r="B145" s="6"/>
      <c r="C145" s="2" t="str">
        <f>IF(ISBLANK(Table3[[#This Row],[Investor]])," ",SUMIF(Entries[[Investor Name ]],Calculations!B145,Entries[Deposit Amount]))</f>
        <v xml:space="preserve"> </v>
      </c>
      <c r="D145" s="7" t="str" cm="1">
        <f t="array" aca="1" ref="D145" ca="1">IFERROR(C145 + SUM(Dashboard!J165:J1147)*Query17[Conversion Rate] * SUMPRODUCT((Entries[[Investor Name ]]=Calculations!B145) * (Entries[Deposit Amount]) *(Entries[Time in Fund(Days)]))/SUMPRODUCT(Entries[Deposit Amount],Entries[Time in Fund(Days)])," ")</f>
        <v xml:space="preserve"> </v>
      </c>
    </row>
    <row r="146" spans="2:4" x14ac:dyDescent="0.25">
      <c r="B146" s="6"/>
      <c r="C146" s="2" t="str">
        <f>IF(ISBLANK(Table3[[#This Row],[Investor]])," ",SUMIF(Entries[[Investor Name ]],Calculations!B146,Entries[Deposit Amount]))</f>
        <v xml:space="preserve"> </v>
      </c>
      <c r="D146" s="7" t="str" cm="1">
        <f t="array" aca="1" ref="D146" ca="1">IFERROR(C146 + SUM(Dashboard!J166:J1148)*Query17[Conversion Rate] * SUMPRODUCT((Entries[[Investor Name ]]=Calculations!B146) * (Entries[Deposit Amount]) *(Entries[Time in Fund(Days)]))/SUMPRODUCT(Entries[Deposit Amount],Entries[Time in Fund(Days)])," ")</f>
        <v xml:space="preserve"> </v>
      </c>
    </row>
    <row r="147" spans="2:4" x14ac:dyDescent="0.25">
      <c r="B147" s="6"/>
      <c r="C147" s="2" t="str">
        <f>IF(ISBLANK(Table3[[#This Row],[Investor]])," ",SUMIF(Entries[[Investor Name ]],Calculations!B147,Entries[Deposit Amount]))</f>
        <v xml:space="preserve"> </v>
      </c>
      <c r="D147" s="7" t="str" cm="1">
        <f t="array" aca="1" ref="D147" ca="1">IFERROR(C147 + SUM(Dashboard!J167:J1149)*Query17[Conversion Rate] * SUMPRODUCT((Entries[[Investor Name ]]=Calculations!B147) * (Entries[Deposit Amount]) *(Entries[Time in Fund(Days)]))/SUMPRODUCT(Entries[Deposit Amount],Entries[Time in Fund(Days)])," ")</f>
        <v xml:space="preserve"> </v>
      </c>
    </row>
    <row r="148" spans="2:4" x14ac:dyDescent="0.25">
      <c r="B148" s="6"/>
      <c r="C148" s="2" t="str">
        <f>IF(ISBLANK(Table3[[#This Row],[Investor]])," ",SUMIF(Entries[[Investor Name ]],Calculations!B148,Entries[Deposit Amount]))</f>
        <v xml:space="preserve"> </v>
      </c>
      <c r="D148" s="7" t="str" cm="1">
        <f t="array" aca="1" ref="D148" ca="1">IFERROR(C148 + SUM(Dashboard!J168:J1150)*Query17[Conversion Rate] * SUMPRODUCT((Entries[[Investor Name ]]=Calculations!B148) * (Entries[Deposit Amount]) *(Entries[Time in Fund(Days)]))/SUMPRODUCT(Entries[Deposit Amount],Entries[Time in Fund(Days)])," ")</f>
        <v xml:space="preserve"> </v>
      </c>
    </row>
    <row r="149" spans="2:4" x14ac:dyDescent="0.25">
      <c r="B149" s="6"/>
      <c r="C149" s="2" t="str">
        <f>IF(ISBLANK(Table3[[#This Row],[Investor]])," ",SUMIF(Entries[[Investor Name ]],Calculations!B149,Entries[Deposit Amount]))</f>
        <v xml:space="preserve"> </v>
      </c>
      <c r="D149" s="7" t="str" cm="1">
        <f t="array" aca="1" ref="D149" ca="1">IFERROR(C149 + SUM(Dashboard!J169:J1151)*Query17[Conversion Rate] * SUMPRODUCT((Entries[[Investor Name ]]=Calculations!B149) * (Entries[Deposit Amount]) *(Entries[Time in Fund(Days)]))/SUMPRODUCT(Entries[Deposit Amount],Entries[Time in Fund(Days)])," ")</f>
        <v xml:space="preserve"> </v>
      </c>
    </row>
    <row r="150" spans="2:4" x14ac:dyDescent="0.25">
      <c r="B150" s="6"/>
      <c r="C150" s="2" t="str">
        <f>IF(ISBLANK(Table3[[#This Row],[Investor]])," ",SUMIF(Entries[[Investor Name ]],Calculations!B150,Entries[Deposit Amount]))</f>
        <v xml:space="preserve"> </v>
      </c>
      <c r="D150" s="7" t="str" cm="1">
        <f t="array" aca="1" ref="D150" ca="1">IFERROR(C150 + SUM(Dashboard!J170:J1152)*Query17[Conversion Rate] * SUMPRODUCT((Entries[[Investor Name ]]=Calculations!B150) * (Entries[Deposit Amount]) *(Entries[Time in Fund(Days)]))/SUMPRODUCT(Entries[Deposit Amount],Entries[Time in Fund(Days)])," ")</f>
        <v xml:space="preserve"> </v>
      </c>
    </row>
    <row r="151" spans="2:4" x14ac:dyDescent="0.25">
      <c r="B151" s="6"/>
      <c r="C151" s="2" t="str">
        <f>IF(ISBLANK(Table3[[#This Row],[Investor]])," ",SUMIF(Entries[[Investor Name ]],Calculations!B151,Entries[Deposit Amount]))</f>
        <v xml:space="preserve"> </v>
      </c>
      <c r="D151" s="7" t="str" cm="1">
        <f t="array" aca="1" ref="D151" ca="1">IFERROR(C151 + SUM(Dashboard!J171:J1153)*Query17[Conversion Rate] * SUMPRODUCT((Entries[[Investor Name ]]=Calculations!B151) * (Entries[Deposit Amount]) *(Entries[Time in Fund(Days)]))/SUMPRODUCT(Entries[Deposit Amount],Entries[Time in Fund(Days)])," ")</f>
        <v xml:space="preserve"> </v>
      </c>
    </row>
    <row r="152" spans="2:4" x14ac:dyDescent="0.25">
      <c r="B152" s="6"/>
      <c r="C152" s="2" t="str">
        <f>IF(ISBLANK(Table3[[#This Row],[Investor]])," ",SUMIF(Entries[[Investor Name ]],Calculations!B152,Entries[Deposit Amount]))</f>
        <v xml:space="preserve"> </v>
      </c>
      <c r="D152" s="7" t="str" cm="1">
        <f t="array" aca="1" ref="D152" ca="1">IFERROR(C152 + SUM(Dashboard!J172:J1154)*Query17[Conversion Rate] * SUMPRODUCT((Entries[[Investor Name ]]=Calculations!B152) * (Entries[Deposit Amount]) *(Entries[Time in Fund(Days)]))/SUMPRODUCT(Entries[Deposit Amount],Entries[Time in Fund(Days)])," ")</f>
        <v xml:space="preserve"> </v>
      </c>
    </row>
    <row r="153" spans="2:4" x14ac:dyDescent="0.25">
      <c r="B153" s="6"/>
      <c r="C153" s="2" t="str">
        <f>IF(ISBLANK(Table3[[#This Row],[Investor]])," ",SUMIF(Entries[[Investor Name ]],Calculations!B153,Entries[Deposit Amount]))</f>
        <v xml:space="preserve"> </v>
      </c>
      <c r="D153" s="7" t="str" cm="1">
        <f t="array" aca="1" ref="D153" ca="1">IFERROR(C153 + SUM(Dashboard!J173:J1155)*Query17[Conversion Rate] * SUMPRODUCT((Entries[[Investor Name ]]=Calculations!B153) * (Entries[Deposit Amount]) *(Entries[Time in Fund(Days)]))/SUMPRODUCT(Entries[Deposit Amount],Entries[Time in Fund(Days)])," ")</f>
        <v xml:space="preserve"> </v>
      </c>
    </row>
    <row r="154" spans="2:4" x14ac:dyDescent="0.25">
      <c r="B154" s="6"/>
      <c r="C154" s="2" t="str">
        <f>IF(ISBLANK(Table3[[#This Row],[Investor]])," ",SUMIF(Entries[[Investor Name ]],Calculations!B154,Entries[Deposit Amount]))</f>
        <v xml:space="preserve"> </v>
      </c>
      <c r="D154" s="7" t="str" cm="1">
        <f t="array" aca="1" ref="D154" ca="1">IFERROR(C154 + SUM(Dashboard!J174:J1156)*Query17[Conversion Rate] * SUMPRODUCT((Entries[[Investor Name ]]=Calculations!B154) * (Entries[Deposit Amount]) *(Entries[Time in Fund(Days)]))/SUMPRODUCT(Entries[Deposit Amount],Entries[Time in Fund(Days)])," ")</f>
        <v xml:space="preserve"> </v>
      </c>
    </row>
    <row r="155" spans="2:4" x14ac:dyDescent="0.25">
      <c r="B155" s="6"/>
      <c r="C155" s="2" t="str">
        <f>IF(ISBLANK(Table3[[#This Row],[Investor]])," ",SUMIF(Entries[[Investor Name ]],Calculations!B155,Entries[Deposit Amount]))</f>
        <v xml:space="preserve"> </v>
      </c>
      <c r="D155" s="7" t="str" cm="1">
        <f t="array" aca="1" ref="D155" ca="1">IFERROR(C155 + SUM(Dashboard!J175:J1157)*Query17[Conversion Rate] * SUMPRODUCT((Entries[[Investor Name ]]=Calculations!B155) * (Entries[Deposit Amount]) *(Entries[Time in Fund(Days)]))/SUMPRODUCT(Entries[Deposit Amount],Entries[Time in Fund(Days)])," ")</f>
        <v xml:space="preserve"> </v>
      </c>
    </row>
    <row r="156" spans="2:4" x14ac:dyDescent="0.25">
      <c r="B156" s="6"/>
      <c r="C156" s="2" t="str">
        <f>IF(ISBLANK(Table3[[#This Row],[Investor]])," ",SUMIF(Entries[[Investor Name ]],Calculations!B156,Entries[Deposit Amount]))</f>
        <v xml:space="preserve"> </v>
      </c>
      <c r="D156" s="7" t="str" cm="1">
        <f t="array" aca="1" ref="D156" ca="1">IFERROR(C156 + SUM(Dashboard!J176:J1158)*Query17[Conversion Rate] * SUMPRODUCT((Entries[[Investor Name ]]=Calculations!B156) * (Entries[Deposit Amount]) *(Entries[Time in Fund(Days)]))/SUMPRODUCT(Entries[Deposit Amount],Entries[Time in Fund(Days)])," ")</f>
        <v xml:space="preserve"> </v>
      </c>
    </row>
    <row r="157" spans="2:4" x14ac:dyDescent="0.25">
      <c r="B157" s="6"/>
      <c r="C157" s="2" t="str">
        <f>IF(ISBLANK(Table3[[#This Row],[Investor]])," ",SUMIF(Entries[[Investor Name ]],Calculations!B157,Entries[Deposit Amount]))</f>
        <v xml:space="preserve"> </v>
      </c>
      <c r="D157" s="7" t="str" cm="1">
        <f t="array" aca="1" ref="D157" ca="1">IFERROR(C157 + SUM(Dashboard!J177:J1159)*Query17[Conversion Rate] * SUMPRODUCT((Entries[[Investor Name ]]=Calculations!B157) * (Entries[Deposit Amount]) *(Entries[Time in Fund(Days)]))/SUMPRODUCT(Entries[Deposit Amount],Entries[Time in Fund(Days)])," ")</f>
        <v xml:space="preserve"> </v>
      </c>
    </row>
    <row r="158" spans="2:4" x14ac:dyDescent="0.25">
      <c r="B158" s="6"/>
      <c r="C158" s="2" t="str">
        <f>IF(ISBLANK(Table3[[#This Row],[Investor]])," ",SUMIF(Entries[[Investor Name ]],Calculations!B158,Entries[Deposit Amount]))</f>
        <v xml:space="preserve"> </v>
      </c>
      <c r="D158" s="7" t="str" cm="1">
        <f t="array" aca="1" ref="D158" ca="1">IFERROR(C158 + SUM(Dashboard!J178:J1160)*Query17[Conversion Rate] * SUMPRODUCT((Entries[[Investor Name ]]=Calculations!B158) * (Entries[Deposit Amount]) *(Entries[Time in Fund(Days)]))/SUMPRODUCT(Entries[Deposit Amount],Entries[Time in Fund(Days)])," ")</f>
        <v xml:space="preserve"> </v>
      </c>
    </row>
    <row r="159" spans="2:4" x14ac:dyDescent="0.25">
      <c r="B159" s="6"/>
      <c r="C159" s="2" t="str">
        <f>IF(ISBLANK(Table3[[#This Row],[Investor]])," ",SUMIF(Entries[[Investor Name ]],Calculations!B159,Entries[Deposit Amount]))</f>
        <v xml:space="preserve"> </v>
      </c>
      <c r="D159" s="7" t="str" cm="1">
        <f t="array" aca="1" ref="D159" ca="1">IFERROR(C159 + SUM(Dashboard!J179:J1161)*Query17[Conversion Rate] * SUMPRODUCT((Entries[[Investor Name ]]=Calculations!B159) * (Entries[Deposit Amount]) *(Entries[Time in Fund(Days)]))/SUMPRODUCT(Entries[Deposit Amount],Entries[Time in Fund(Days)])," ")</f>
        <v xml:space="preserve"> </v>
      </c>
    </row>
    <row r="160" spans="2:4" x14ac:dyDescent="0.25">
      <c r="B160" s="6"/>
      <c r="C160" s="2" t="str">
        <f>IF(ISBLANK(Table3[[#This Row],[Investor]])," ",SUMIF(Entries[[Investor Name ]],Calculations!B160,Entries[Deposit Amount]))</f>
        <v xml:space="preserve"> </v>
      </c>
      <c r="D160" s="7" t="str" cm="1">
        <f t="array" aca="1" ref="D160" ca="1">IFERROR(C160 + SUM(Dashboard!J180:J1162)*Query17[Conversion Rate] * SUMPRODUCT((Entries[[Investor Name ]]=Calculations!B160) * (Entries[Deposit Amount]) *(Entries[Time in Fund(Days)]))/SUMPRODUCT(Entries[Deposit Amount],Entries[Time in Fund(Days)])," ")</f>
        <v xml:space="preserve"> </v>
      </c>
    </row>
    <row r="161" spans="2:4" x14ac:dyDescent="0.25">
      <c r="B161" s="6"/>
      <c r="C161" s="2" t="str">
        <f>IF(ISBLANK(Table3[[#This Row],[Investor]])," ",SUMIF(Entries[[Investor Name ]],Calculations!B161,Entries[Deposit Amount]))</f>
        <v xml:space="preserve"> </v>
      </c>
      <c r="D161" s="7" t="str" cm="1">
        <f t="array" aca="1" ref="D161" ca="1">IFERROR(C161 + SUM(Dashboard!J181:J1163)*Query17[Conversion Rate] * SUMPRODUCT((Entries[[Investor Name ]]=Calculations!B161) * (Entries[Deposit Amount]) *(Entries[Time in Fund(Days)]))/SUMPRODUCT(Entries[Deposit Amount],Entries[Time in Fund(Days)])," ")</f>
        <v xml:space="preserve"> </v>
      </c>
    </row>
    <row r="162" spans="2:4" x14ac:dyDescent="0.25">
      <c r="B162" s="6"/>
      <c r="C162" s="2" t="str">
        <f>IF(ISBLANK(Table3[[#This Row],[Investor]])," ",SUMIF(Entries[[Investor Name ]],Calculations!B162,Entries[Deposit Amount]))</f>
        <v xml:space="preserve"> </v>
      </c>
      <c r="D162" s="7" t="str" cm="1">
        <f t="array" aca="1" ref="D162" ca="1">IFERROR(C162 + SUM(Dashboard!J182:J1164)*Query17[Conversion Rate] * SUMPRODUCT((Entries[[Investor Name ]]=Calculations!B162) * (Entries[Deposit Amount]) *(Entries[Time in Fund(Days)]))/SUMPRODUCT(Entries[Deposit Amount],Entries[Time in Fund(Days)])," ")</f>
        <v xml:space="preserve"> </v>
      </c>
    </row>
    <row r="163" spans="2:4" x14ac:dyDescent="0.25">
      <c r="B163" s="6"/>
      <c r="C163" s="2" t="str">
        <f>IF(ISBLANK(Table3[[#This Row],[Investor]])," ",SUMIF(Entries[[Investor Name ]],Calculations!B163,Entries[Deposit Amount]))</f>
        <v xml:space="preserve"> </v>
      </c>
      <c r="D163" s="7" t="str" cm="1">
        <f t="array" aca="1" ref="D163" ca="1">IFERROR(C163 + SUM(Dashboard!J183:J1165)*Query17[Conversion Rate] * SUMPRODUCT((Entries[[Investor Name ]]=Calculations!B163) * (Entries[Deposit Amount]) *(Entries[Time in Fund(Days)]))/SUMPRODUCT(Entries[Deposit Amount],Entries[Time in Fund(Days)])," ")</f>
        <v xml:space="preserve"> </v>
      </c>
    </row>
    <row r="164" spans="2:4" x14ac:dyDescent="0.25">
      <c r="B164" s="6"/>
      <c r="C164" s="2" t="str">
        <f>IF(ISBLANK(Table3[[#This Row],[Investor]])," ",SUMIF(Entries[[Investor Name ]],Calculations!B164,Entries[Deposit Amount]))</f>
        <v xml:space="preserve"> </v>
      </c>
      <c r="D164" s="7" t="str" cm="1">
        <f t="array" aca="1" ref="D164" ca="1">IFERROR(C164 + SUM(Dashboard!J184:J1166)*Query17[Conversion Rate] * SUMPRODUCT((Entries[[Investor Name ]]=Calculations!B164) * (Entries[Deposit Amount]) *(Entries[Time in Fund(Days)]))/SUMPRODUCT(Entries[Deposit Amount],Entries[Time in Fund(Days)])," ")</f>
        <v xml:space="preserve"> </v>
      </c>
    </row>
    <row r="165" spans="2:4" x14ac:dyDescent="0.25">
      <c r="B165" s="6"/>
      <c r="C165" s="2" t="str">
        <f>IF(ISBLANK(Table3[[#This Row],[Investor]])," ",SUMIF(Entries[[Investor Name ]],Calculations!B165,Entries[Deposit Amount]))</f>
        <v xml:space="preserve"> </v>
      </c>
      <c r="D165" s="7" t="str" cm="1">
        <f t="array" aca="1" ref="D165" ca="1">IFERROR(C165 + SUM(Dashboard!J185:J1167)*Query17[Conversion Rate] * SUMPRODUCT((Entries[[Investor Name ]]=Calculations!B165) * (Entries[Deposit Amount]) *(Entries[Time in Fund(Days)]))/SUMPRODUCT(Entries[Deposit Amount],Entries[Time in Fund(Days)])," ")</f>
        <v xml:space="preserve"> </v>
      </c>
    </row>
    <row r="166" spans="2:4" x14ac:dyDescent="0.25">
      <c r="B166" s="6"/>
      <c r="C166" s="2" t="str">
        <f>IF(ISBLANK(Table3[[#This Row],[Investor]])," ",SUMIF(Entries[[Investor Name ]],Calculations!B166,Entries[Deposit Amount]))</f>
        <v xml:space="preserve"> </v>
      </c>
      <c r="D166" s="7" t="str" cm="1">
        <f t="array" aca="1" ref="D166" ca="1">IFERROR(C166 + SUM(Dashboard!J186:J1168)*Query17[Conversion Rate] * SUMPRODUCT((Entries[[Investor Name ]]=Calculations!B166) * (Entries[Deposit Amount]) *(Entries[Time in Fund(Days)]))/SUMPRODUCT(Entries[Deposit Amount],Entries[Time in Fund(Days)])," ")</f>
        <v xml:space="preserve"> </v>
      </c>
    </row>
    <row r="167" spans="2:4" x14ac:dyDescent="0.25">
      <c r="B167" s="6"/>
      <c r="C167" s="2" t="str">
        <f>IF(ISBLANK(Table3[[#This Row],[Investor]])," ",SUMIF(Entries[[Investor Name ]],Calculations!B167,Entries[Deposit Amount]))</f>
        <v xml:space="preserve"> </v>
      </c>
      <c r="D167" s="7" t="str" cm="1">
        <f t="array" aca="1" ref="D167" ca="1">IFERROR(C167 + SUM(Dashboard!J187:J1169)*Query17[Conversion Rate] * SUMPRODUCT((Entries[[Investor Name ]]=Calculations!B167) * (Entries[Deposit Amount]) *(Entries[Time in Fund(Days)]))/SUMPRODUCT(Entries[Deposit Amount],Entries[Time in Fund(Days)])," ")</f>
        <v xml:space="preserve"> </v>
      </c>
    </row>
    <row r="168" spans="2:4" x14ac:dyDescent="0.25">
      <c r="B168" s="6"/>
      <c r="C168" s="2" t="str">
        <f>IF(ISBLANK(Table3[[#This Row],[Investor]])," ",SUMIF(Entries[[Investor Name ]],Calculations!B168,Entries[Deposit Amount]))</f>
        <v xml:space="preserve"> </v>
      </c>
      <c r="D168" s="7" t="str" cm="1">
        <f t="array" aca="1" ref="D168" ca="1">IFERROR(C168 + SUM(Dashboard!J188:J1170)*Query17[Conversion Rate] * SUMPRODUCT((Entries[[Investor Name ]]=Calculations!B168) * (Entries[Deposit Amount]) *(Entries[Time in Fund(Days)]))/SUMPRODUCT(Entries[Deposit Amount],Entries[Time in Fund(Days)])," ")</f>
        <v xml:space="preserve"> </v>
      </c>
    </row>
    <row r="169" spans="2:4" x14ac:dyDescent="0.25">
      <c r="B169" s="6"/>
      <c r="C169" s="2" t="str">
        <f>IF(ISBLANK(Table3[[#This Row],[Investor]])," ",SUMIF(Entries[[Investor Name ]],Calculations!B169,Entries[Deposit Amount]))</f>
        <v xml:space="preserve"> </v>
      </c>
      <c r="D169" s="7" t="str" cm="1">
        <f t="array" aca="1" ref="D169" ca="1">IFERROR(C169 + SUM(Dashboard!J189:J1171)*Query17[Conversion Rate] * SUMPRODUCT((Entries[[Investor Name ]]=Calculations!B169) * (Entries[Deposit Amount]) *(Entries[Time in Fund(Days)]))/SUMPRODUCT(Entries[Deposit Amount],Entries[Time in Fund(Days)])," ")</f>
        <v xml:space="preserve"> </v>
      </c>
    </row>
    <row r="170" spans="2:4" x14ac:dyDescent="0.25">
      <c r="B170" s="6"/>
      <c r="C170" s="2" t="str">
        <f>IF(ISBLANK(Table3[[#This Row],[Investor]])," ",SUMIF(Entries[[Investor Name ]],Calculations!B170,Entries[Deposit Amount]))</f>
        <v xml:space="preserve"> </v>
      </c>
      <c r="D170" s="7" t="str" cm="1">
        <f t="array" aca="1" ref="D170" ca="1">IFERROR(C170 + SUM(Dashboard!J190:J1172)*Query17[Conversion Rate] * SUMPRODUCT((Entries[[Investor Name ]]=Calculations!B170) * (Entries[Deposit Amount]) *(Entries[Time in Fund(Days)]))/SUMPRODUCT(Entries[Deposit Amount],Entries[Time in Fund(Days)])," ")</f>
        <v xml:space="preserve"> </v>
      </c>
    </row>
    <row r="171" spans="2:4" x14ac:dyDescent="0.25">
      <c r="B171" s="6"/>
      <c r="C171" s="2" t="str">
        <f>IF(ISBLANK(Table3[[#This Row],[Investor]])," ",SUMIF(Entries[[Investor Name ]],Calculations!B171,Entries[Deposit Amount]))</f>
        <v xml:space="preserve"> </v>
      </c>
      <c r="D171" s="7" t="str" cm="1">
        <f t="array" aca="1" ref="D171" ca="1">IFERROR(C171 + SUM(Dashboard!J191:J1173)*Query17[Conversion Rate] * SUMPRODUCT((Entries[[Investor Name ]]=Calculations!B171) * (Entries[Deposit Amount]) *(Entries[Time in Fund(Days)]))/SUMPRODUCT(Entries[Deposit Amount],Entries[Time in Fund(Days)])," ")</f>
        <v xml:space="preserve"> </v>
      </c>
    </row>
    <row r="172" spans="2:4" x14ac:dyDescent="0.25">
      <c r="B172" s="6"/>
      <c r="C172" s="2" t="str">
        <f>IF(ISBLANK(Table3[[#This Row],[Investor]])," ",SUMIF(Entries[[Investor Name ]],Calculations!B172,Entries[Deposit Amount]))</f>
        <v xml:space="preserve"> </v>
      </c>
      <c r="D172" s="7" t="str" cm="1">
        <f t="array" aca="1" ref="D172" ca="1">IFERROR(C172 + SUM(Dashboard!J192:J1174)*Query17[Conversion Rate] * SUMPRODUCT((Entries[[Investor Name ]]=Calculations!B172) * (Entries[Deposit Amount]) *(Entries[Time in Fund(Days)]))/SUMPRODUCT(Entries[Deposit Amount],Entries[Time in Fund(Days)])," ")</f>
        <v xml:space="preserve"> </v>
      </c>
    </row>
    <row r="173" spans="2:4" x14ac:dyDescent="0.25">
      <c r="B173" s="6"/>
      <c r="C173" s="2" t="str">
        <f>IF(ISBLANK(Table3[[#This Row],[Investor]])," ",SUMIF(Entries[[Investor Name ]],Calculations!B173,Entries[Deposit Amount]))</f>
        <v xml:space="preserve"> </v>
      </c>
      <c r="D173" s="7" t="str" cm="1">
        <f t="array" aca="1" ref="D173" ca="1">IFERROR(C173 + SUM(Dashboard!J193:J1175)*Query17[Conversion Rate] * SUMPRODUCT((Entries[[Investor Name ]]=Calculations!B173) * (Entries[Deposit Amount]) *(Entries[Time in Fund(Days)]))/SUMPRODUCT(Entries[Deposit Amount],Entries[Time in Fund(Days)])," ")</f>
        <v xml:space="preserve"> </v>
      </c>
    </row>
    <row r="174" spans="2:4" x14ac:dyDescent="0.25">
      <c r="B174" s="6"/>
      <c r="C174" s="2" t="str">
        <f>IF(ISBLANK(Table3[[#This Row],[Investor]])," ",SUMIF(Entries[[Investor Name ]],Calculations!B174,Entries[Deposit Amount]))</f>
        <v xml:space="preserve"> </v>
      </c>
      <c r="D174" s="7" t="str" cm="1">
        <f t="array" aca="1" ref="D174" ca="1">IFERROR(C174 + SUM(Dashboard!J194:J1176)*Query17[Conversion Rate] * SUMPRODUCT((Entries[[Investor Name ]]=Calculations!B174) * (Entries[Deposit Amount]) *(Entries[Time in Fund(Days)]))/SUMPRODUCT(Entries[Deposit Amount],Entries[Time in Fund(Days)])," ")</f>
        <v xml:space="preserve"> </v>
      </c>
    </row>
    <row r="175" spans="2:4" x14ac:dyDescent="0.25">
      <c r="B175" s="6"/>
      <c r="C175" s="2" t="str">
        <f>IF(ISBLANK(Table3[[#This Row],[Investor]])," ",SUMIF(Entries[[Investor Name ]],Calculations!B175,Entries[Deposit Amount]))</f>
        <v xml:space="preserve"> </v>
      </c>
      <c r="D175" s="7" t="str" cm="1">
        <f t="array" aca="1" ref="D175" ca="1">IFERROR(C175 + SUM(Dashboard!J195:J1177)*Query17[Conversion Rate] * SUMPRODUCT((Entries[[Investor Name ]]=Calculations!B175) * (Entries[Deposit Amount]) *(Entries[Time in Fund(Days)]))/SUMPRODUCT(Entries[Deposit Amount],Entries[Time in Fund(Days)])," ")</f>
        <v xml:space="preserve"> </v>
      </c>
    </row>
    <row r="176" spans="2:4" x14ac:dyDescent="0.25">
      <c r="B176" s="6"/>
      <c r="C176" s="2" t="str">
        <f>IF(ISBLANK(Table3[[#This Row],[Investor]])," ",SUMIF(Entries[[Investor Name ]],Calculations!B176,Entries[Deposit Amount]))</f>
        <v xml:space="preserve"> </v>
      </c>
      <c r="D176" s="7" t="str" cm="1">
        <f t="array" aca="1" ref="D176" ca="1">IFERROR(C176 + SUM(Dashboard!J196:J1178)*Query17[Conversion Rate] * SUMPRODUCT((Entries[[Investor Name ]]=Calculations!B176) * (Entries[Deposit Amount]) *(Entries[Time in Fund(Days)]))/SUMPRODUCT(Entries[Deposit Amount],Entries[Time in Fund(Days)])," ")</f>
        <v xml:space="preserve"> </v>
      </c>
    </row>
    <row r="177" spans="2:4" x14ac:dyDescent="0.25">
      <c r="B177" s="6"/>
      <c r="C177" s="2" t="str">
        <f>IF(ISBLANK(Table3[[#This Row],[Investor]])," ",SUMIF(Entries[[Investor Name ]],Calculations!B177,Entries[Deposit Amount]))</f>
        <v xml:space="preserve"> </v>
      </c>
      <c r="D177" s="7" t="str" cm="1">
        <f t="array" aca="1" ref="D177" ca="1">IFERROR(C177 + SUM(Dashboard!J197:J1179)*Query17[Conversion Rate] * SUMPRODUCT((Entries[[Investor Name ]]=Calculations!B177) * (Entries[Deposit Amount]) *(Entries[Time in Fund(Days)]))/SUMPRODUCT(Entries[Deposit Amount],Entries[Time in Fund(Days)])," ")</f>
        <v xml:space="preserve"> </v>
      </c>
    </row>
    <row r="178" spans="2:4" x14ac:dyDescent="0.25">
      <c r="B178" s="6"/>
      <c r="C178" s="2" t="str">
        <f>IF(ISBLANK(Table3[[#This Row],[Investor]])," ",SUMIF(Entries[[Investor Name ]],Calculations!B178,Entries[Deposit Amount]))</f>
        <v xml:space="preserve"> </v>
      </c>
      <c r="D178" s="7" t="str" cm="1">
        <f t="array" aca="1" ref="D178" ca="1">IFERROR(C178 + SUM(Dashboard!J198:J1180)*Query17[Conversion Rate] * SUMPRODUCT((Entries[[Investor Name ]]=Calculations!B178) * (Entries[Deposit Amount]) *(Entries[Time in Fund(Days)]))/SUMPRODUCT(Entries[Deposit Amount],Entries[Time in Fund(Days)])," ")</f>
        <v xml:space="preserve"> </v>
      </c>
    </row>
    <row r="179" spans="2:4" x14ac:dyDescent="0.25">
      <c r="B179" s="6"/>
      <c r="C179" s="2" t="str">
        <f>IF(ISBLANK(Table3[[#This Row],[Investor]])," ",SUMIF(Entries[[Investor Name ]],Calculations!B179,Entries[Deposit Amount]))</f>
        <v xml:space="preserve"> </v>
      </c>
      <c r="D179" s="7" t="str" cm="1">
        <f t="array" aca="1" ref="D179" ca="1">IFERROR(C179 + SUM(Dashboard!J199:J1181)*Query17[Conversion Rate] * SUMPRODUCT((Entries[[Investor Name ]]=Calculations!B179) * (Entries[Deposit Amount]) *(Entries[Time in Fund(Days)]))/SUMPRODUCT(Entries[Deposit Amount],Entries[Time in Fund(Days)])," ")</f>
        <v xml:space="preserve"> </v>
      </c>
    </row>
    <row r="180" spans="2:4" x14ac:dyDescent="0.25">
      <c r="B180" s="6"/>
      <c r="C180" s="2" t="str">
        <f>IF(ISBLANK(Table3[[#This Row],[Investor]])," ",SUMIF(Entries[[Investor Name ]],Calculations!B180,Entries[Deposit Amount]))</f>
        <v xml:space="preserve"> </v>
      </c>
      <c r="D180" s="7" t="str" cm="1">
        <f t="array" aca="1" ref="D180" ca="1">IFERROR(C180 + SUM(Dashboard!J200:J1182)*Query17[Conversion Rate] * SUMPRODUCT((Entries[[Investor Name ]]=Calculations!B180) * (Entries[Deposit Amount]) *(Entries[Time in Fund(Days)]))/SUMPRODUCT(Entries[Deposit Amount],Entries[Time in Fund(Days)])," ")</f>
        <v xml:space="preserve"> </v>
      </c>
    </row>
    <row r="181" spans="2:4" x14ac:dyDescent="0.25">
      <c r="B181" s="6"/>
      <c r="C181" s="2" t="str">
        <f>IF(ISBLANK(Table3[[#This Row],[Investor]])," ",SUMIF(Entries[[Investor Name ]],Calculations!B181,Entries[Deposit Amount]))</f>
        <v xml:space="preserve"> </v>
      </c>
      <c r="D181" s="7" t="str" cm="1">
        <f t="array" aca="1" ref="D181" ca="1">IFERROR(C181 + SUM(Dashboard!J201:J1183)*Query17[Conversion Rate] * SUMPRODUCT((Entries[[Investor Name ]]=Calculations!B181) * (Entries[Deposit Amount]) *(Entries[Time in Fund(Days)]))/SUMPRODUCT(Entries[Deposit Amount],Entries[Time in Fund(Days)])," ")</f>
        <v xml:space="preserve"> </v>
      </c>
    </row>
    <row r="182" spans="2:4" x14ac:dyDescent="0.25">
      <c r="B182" s="6"/>
      <c r="C182" s="2" t="str">
        <f>IF(ISBLANK(Table3[[#This Row],[Investor]])," ",SUMIF(Entries[[Investor Name ]],Calculations!B182,Entries[Deposit Amount]))</f>
        <v xml:space="preserve"> </v>
      </c>
      <c r="D182" s="7" t="str" cm="1">
        <f t="array" aca="1" ref="D182" ca="1">IFERROR(C182 + SUM(Dashboard!J202:J1184)*Query17[Conversion Rate] * SUMPRODUCT((Entries[[Investor Name ]]=Calculations!B182) * (Entries[Deposit Amount]) *(Entries[Time in Fund(Days)]))/SUMPRODUCT(Entries[Deposit Amount],Entries[Time in Fund(Days)])," ")</f>
        <v xml:space="preserve"> </v>
      </c>
    </row>
    <row r="183" spans="2:4" x14ac:dyDescent="0.25">
      <c r="B183" s="6"/>
      <c r="C183" s="2" t="str">
        <f>IF(ISBLANK(Table3[[#This Row],[Investor]])," ",SUMIF(Entries[[Investor Name ]],Calculations!B183,Entries[Deposit Amount]))</f>
        <v xml:space="preserve"> </v>
      </c>
      <c r="D183" s="7" t="str" cm="1">
        <f t="array" aca="1" ref="D183" ca="1">IFERROR(C183 + SUM(Dashboard!J203:J1185)*Query17[Conversion Rate] * SUMPRODUCT((Entries[[Investor Name ]]=Calculations!B183) * (Entries[Deposit Amount]) *(Entries[Time in Fund(Days)]))/SUMPRODUCT(Entries[Deposit Amount],Entries[Time in Fund(Days)])," ")</f>
        <v xml:space="preserve"> </v>
      </c>
    </row>
    <row r="184" spans="2:4" x14ac:dyDescent="0.25">
      <c r="B184" s="6"/>
      <c r="C184" s="2" t="str">
        <f>IF(ISBLANK(Table3[[#This Row],[Investor]])," ",SUMIF(Entries[[Investor Name ]],Calculations!B184,Entries[Deposit Amount]))</f>
        <v xml:space="preserve"> </v>
      </c>
      <c r="D184" s="7" t="str" cm="1">
        <f t="array" aca="1" ref="D184" ca="1">IFERROR(C184 + SUM(Dashboard!J204:J1186)*Query17[Conversion Rate] * SUMPRODUCT((Entries[[Investor Name ]]=Calculations!B184) * (Entries[Deposit Amount]) *(Entries[Time in Fund(Days)]))/SUMPRODUCT(Entries[Deposit Amount],Entries[Time in Fund(Days)])," ")</f>
        <v xml:space="preserve"> </v>
      </c>
    </row>
    <row r="185" spans="2:4" x14ac:dyDescent="0.25">
      <c r="B185" s="6"/>
      <c r="C185" s="2" t="str">
        <f>IF(ISBLANK(Table3[[#This Row],[Investor]])," ",SUMIF(Entries[[Investor Name ]],Calculations!B185,Entries[Deposit Amount]))</f>
        <v xml:space="preserve"> </v>
      </c>
      <c r="D185" s="7" t="str" cm="1">
        <f t="array" aca="1" ref="D185" ca="1">IFERROR(C185 + SUM(Dashboard!J205:J1187)*Query17[Conversion Rate] * SUMPRODUCT((Entries[[Investor Name ]]=Calculations!B185) * (Entries[Deposit Amount]) *(Entries[Time in Fund(Days)]))/SUMPRODUCT(Entries[Deposit Amount],Entries[Time in Fund(Days)])," ")</f>
        <v xml:space="preserve"> </v>
      </c>
    </row>
    <row r="186" spans="2:4" x14ac:dyDescent="0.25">
      <c r="B186" s="6"/>
      <c r="C186" s="2" t="str">
        <f>IF(ISBLANK(Table3[[#This Row],[Investor]])," ",SUMIF(Entries[[Investor Name ]],Calculations!B186,Entries[Deposit Amount]))</f>
        <v xml:space="preserve"> </v>
      </c>
      <c r="D186" s="7" t="str" cm="1">
        <f t="array" aca="1" ref="D186" ca="1">IFERROR(C186 + SUM(Dashboard!J206:J1188)*Query17[Conversion Rate] * SUMPRODUCT((Entries[[Investor Name ]]=Calculations!B186) * (Entries[Deposit Amount]) *(Entries[Time in Fund(Days)]))/SUMPRODUCT(Entries[Deposit Amount],Entries[Time in Fund(Days)])," ")</f>
        <v xml:space="preserve"> </v>
      </c>
    </row>
    <row r="187" spans="2:4" x14ac:dyDescent="0.25">
      <c r="B187" s="6"/>
      <c r="C187" s="2" t="str">
        <f>IF(ISBLANK(Table3[[#This Row],[Investor]])," ",SUMIF(Entries[[Investor Name ]],Calculations!B187,Entries[Deposit Amount]))</f>
        <v xml:space="preserve"> </v>
      </c>
      <c r="D187" s="7" t="str" cm="1">
        <f t="array" aca="1" ref="D187" ca="1">IFERROR(C187 + SUM(Dashboard!J207:J1189)*Query17[Conversion Rate] * SUMPRODUCT((Entries[[Investor Name ]]=Calculations!B187) * (Entries[Deposit Amount]) *(Entries[Time in Fund(Days)]))/SUMPRODUCT(Entries[Deposit Amount],Entries[Time in Fund(Days)])," ")</f>
        <v xml:space="preserve"> </v>
      </c>
    </row>
    <row r="188" spans="2:4" x14ac:dyDescent="0.25">
      <c r="B188" s="6"/>
      <c r="C188" s="2" t="str">
        <f>IF(ISBLANK(Table3[[#This Row],[Investor]])," ",SUMIF(Entries[[Investor Name ]],Calculations!B188,Entries[Deposit Amount]))</f>
        <v xml:space="preserve"> </v>
      </c>
      <c r="D188" s="7" t="str" cm="1">
        <f t="array" aca="1" ref="D188" ca="1">IFERROR(C188 + SUM(Dashboard!J208:J1190)*Query17[Conversion Rate] * SUMPRODUCT((Entries[[Investor Name ]]=Calculations!B188) * (Entries[Deposit Amount]) *(Entries[Time in Fund(Days)]))/SUMPRODUCT(Entries[Deposit Amount],Entries[Time in Fund(Days)])," ")</f>
        <v xml:space="preserve"> </v>
      </c>
    </row>
    <row r="189" spans="2:4" x14ac:dyDescent="0.25">
      <c r="B189" s="6"/>
      <c r="C189" s="2" t="str">
        <f>IF(ISBLANK(Table3[[#This Row],[Investor]])," ",SUMIF(Entries[[Investor Name ]],Calculations!B189,Entries[Deposit Amount]))</f>
        <v xml:space="preserve"> </v>
      </c>
      <c r="D189" s="7" t="str" cm="1">
        <f t="array" aca="1" ref="D189" ca="1">IFERROR(C189 + SUM(Dashboard!J209:J1191)*Query17[Conversion Rate] * SUMPRODUCT((Entries[[Investor Name ]]=Calculations!B189) * (Entries[Deposit Amount]) *(Entries[Time in Fund(Days)]))/SUMPRODUCT(Entries[Deposit Amount],Entries[Time in Fund(Days)])," ")</f>
        <v xml:space="preserve"> </v>
      </c>
    </row>
    <row r="190" spans="2:4" x14ac:dyDescent="0.25">
      <c r="B190" s="6"/>
      <c r="C190" s="2" t="str">
        <f>IF(ISBLANK(Table3[[#This Row],[Investor]])," ",SUMIF(Entries[[Investor Name ]],Calculations!B190,Entries[Deposit Amount]))</f>
        <v xml:space="preserve"> </v>
      </c>
      <c r="D190" s="7" t="str" cm="1">
        <f t="array" aca="1" ref="D190" ca="1">IFERROR(C190 + SUM(Dashboard!J210:J1192)*Query17[Conversion Rate] * SUMPRODUCT((Entries[[Investor Name ]]=Calculations!B190) * (Entries[Deposit Amount]) *(Entries[Time in Fund(Days)]))/SUMPRODUCT(Entries[Deposit Amount],Entries[Time in Fund(Days)])," ")</f>
        <v xml:space="preserve"> </v>
      </c>
    </row>
    <row r="191" spans="2:4" x14ac:dyDescent="0.25">
      <c r="B191" s="6"/>
      <c r="C191" s="2" t="str">
        <f>IF(ISBLANK(Table3[[#This Row],[Investor]])," ",SUMIF(Entries[[Investor Name ]],Calculations!B191,Entries[Deposit Amount]))</f>
        <v xml:space="preserve"> </v>
      </c>
      <c r="D191" s="7" t="str" cm="1">
        <f t="array" aca="1" ref="D191" ca="1">IFERROR(C191 + SUM(Dashboard!J211:J1193)*Query17[Conversion Rate] * SUMPRODUCT((Entries[[Investor Name ]]=Calculations!B191) * (Entries[Deposit Amount]) *(Entries[Time in Fund(Days)]))/SUMPRODUCT(Entries[Deposit Amount],Entries[Time in Fund(Days)])," ")</f>
        <v xml:space="preserve"> </v>
      </c>
    </row>
    <row r="192" spans="2:4" x14ac:dyDescent="0.25">
      <c r="B192" s="6"/>
      <c r="C192" s="2" t="str">
        <f>IF(ISBLANK(Table3[[#This Row],[Investor]])," ",SUMIF(Entries[[Investor Name ]],Calculations!B192,Entries[Deposit Amount]))</f>
        <v xml:space="preserve"> </v>
      </c>
      <c r="D192" s="7" t="str" cm="1">
        <f t="array" aca="1" ref="D192" ca="1">IFERROR(C192 + SUM(Dashboard!J212:J1194)*Query17[Conversion Rate] * SUMPRODUCT((Entries[[Investor Name ]]=Calculations!B192) * (Entries[Deposit Amount]) *(Entries[Time in Fund(Days)]))/SUMPRODUCT(Entries[Deposit Amount],Entries[Time in Fund(Days)])," ")</f>
        <v xml:space="preserve"> </v>
      </c>
    </row>
    <row r="193" spans="2:4" x14ac:dyDescent="0.25">
      <c r="B193" s="6"/>
      <c r="C193" s="2" t="str">
        <f>IF(ISBLANK(Table3[[#This Row],[Investor]])," ",SUMIF(Entries[[Investor Name ]],Calculations!B193,Entries[Deposit Amount]))</f>
        <v xml:space="preserve"> </v>
      </c>
      <c r="D193" s="7" t="str" cm="1">
        <f t="array" aca="1" ref="D193" ca="1">IFERROR(C193 + SUM(Dashboard!J213:J1195)*Query17[Conversion Rate] * SUMPRODUCT((Entries[[Investor Name ]]=Calculations!B193) * (Entries[Deposit Amount]) *(Entries[Time in Fund(Days)]))/SUMPRODUCT(Entries[Deposit Amount],Entries[Time in Fund(Days)])," ")</f>
        <v xml:space="preserve"> </v>
      </c>
    </row>
    <row r="194" spans="2:4" x14ac:dyDescent="0.25">
      <c r="B194" s="6"/>
      <c r="C194" s="2" t="str">
        <f>IF(ISBLANK(Table3[[#This Row],[Investor]])," ",SUMIF(Entries[[Investor Name ]],Calculations!B194,Entries[Deposit Amount]))</f>
        <v xml:space="preserve"> </v>
      </c>
      <c r="D194" s="7" t="str" cm="1">
        <f t="array" aca="1" ref="D194" ca="1">IFERROR(C194 + SUM(Dashboard!J214:J1196)*Query17[Conversion Rate] * SUMPRODUCT((Entries[[Investor Name ]]=Calculations!B194) * (Entries[Deposit Amount]) *(Entries[Time in Fund(Days)]))/SUMPRODUCT(Entries[Deposit Amount],Entries[Time in Fund(Days)])," ")</f>
        <v xml:space="preserve"> </v>
      </c>
    </row>
    <row r="195" spans="2:4" x14ac:dyDescent="0.25">
      <c r="B195" s="6"/>
      <c r="C195" s="2" t="str">
        <f>IF(ISBLANK(Table3[[#This Row],[Investor]])," ",SUMIF(Entries[[Investor Name ]],Calculations!B195,Entries[Deposit Amount]))</f>
        <v xml:space="preserve"> </v>
      </c>
      <c r="D195" s="7" t="str" cm="1">
        <f t="array" aca="1" ref="D195" ca="1">IFERROR(C195 + SUM(Dashboard!J215:J1197)*Query17[Conversion Rate] * SUMPRODUCT((Entries[[Investor Name ]]=Calculations!B195) * (Entries[Deposit Amount]) *(Entries[Time in Fund(Days)]))/SUMPRODUCT(Entries[Deposit Amount],Entries[Time in Fund(Days)])," ")</f>
        <v xml:space="preserve"> </v>
      </c>
    </row>
    <row r="196" spans="2:4" x14ac:dyDescent="0.25">
      <c r="B196" s="6"/>
      <c r="C196" s="2" t="str">
        <f>IF(ISBLANK(Table3[[#This Row],[Investor]])," ",SUMIF(Entries[[Investor Name ]],Calculations!B196,Entries[Deposit Amount]))</f>
        <v xml:space="preserve"> </v>
      </c>
      <c r="D196" s="7" t="str" cm="1">
        <f t="array" aca="1" ref="D196" ca="1">IFERROR(C196 + SUM(Dashboard!J216:J1198)*Query17[Conversion Rate] * SUMPRODUCT((Entries[[Investor Name ]]=Calculations!B196) * (Entries[Deposit Amount]) *(Entries[Time in Fund(Days)]))/SUMPRODUCT(Entries[Deposit Amount],Entries[Time in Fund(Days)])," ")</f>
        <v xml:space="preserve"> </v>
      </c>
    </row>
    <row r="197" spans="2:4" x14ac:dyDescent="0.25">
      <c r="B197" s="6"/>
      <c r="C197" s="2" t="str">
        <f>IF(ISBLANK(Table3[[#This Row],[Investor]])," ",SUMIF(Entries[[Investor Name ]],Calculations!B197,Entries[Deposit Amount]))</f>
        <v xml:space="preserve"> </v>
      </c>
      <c r="D197" s="7" t="str" cm="1">
        <f t="array" aca="1" ref="D197" ca="1">IFERROR(C197 + SUM(Dashboard!J217:J1199)*Query17[Conversion Rate] * SUMPRODUCT((Entries[[Investor Name ]]=Calculations!B197) * (Entries[Deposit Amount]) *(Entries[Time in Fund(Days)]))/SUMPRODUCT(Entries[Deposit Amount],Entries[Time in Fund(Days)])," ")</f>
        <v xml:space="preserve"> </v>
      </c>
    </row>
    <row r="198" spans="2:4" x14ac:dyDescent="0.25">
      <c r="B198" s="6"/>
      <c r="C198" s="2" t="str">
        <f>IF(ISBLANK(Table3[[#This Row],[Investor]])," ",SUMIF(Entries[[Investor Name ]],Calculations!B198,Entries[Deposit Amount]))</f>
        <v xml:space="preserve"> </v>
      </c>
      <c r="D198" s="7" t="str" cm="1">
        <f t="array" aca="1" ref="D198" ca="1">IFERROR(C198 + SUM(Dashboard!J218:J1200)*Query17[Conversion Rate] * SUMPRODUCT((Entries[[Investor Name ]]=Calculations!B198) * (Entries[Deposit Amount]) *(Entries[Time in Fund(Days)]))/SUMPRODUCT(Entries[Deposit Amount],Entries[Time in Fund(Days)])," ")</f>
        <v xml:space="preserve"> </v>
      </c>
    </row>
    <row r="199" spans="2:4" x14ac:dyDescent="0.25">
      <c r="B199" s="6"/>
      <c r="C199" s="2" t="str">
        <f>IF(ISBLANK(Table3[[#This Row],[Investor]])," ",SUMIF(Entries[[Investor Name ]],Calculations!B199,Entries[Deposit Amount]))</f>
        <v xml:space="preserve"> </v>
      </c>
      <c r="D199" s="7" t="str" cm="1">
        <f t="array" aca="1" ref="D199" ca="1">IFERROR(C199 + SUM(Dashboard!J219:J1201)*Query17[Conversion Rate] * SUMPRODUCT((Entries[[Investor Name ]]=Calculations!B199) * (Entries[Deposit Amount]) *(Entries[Time in Fund(Days)]))/SUMPRODUCT(Entries[Deposit Amount],Entries[Time in Fund(Days)])," ")</f>
        <v xml:space="preserve"> </v>
      </c>
    </row>
    <row r="200" spans="2:4" x14ac:dyDescent="0.25">
      <c r="B200" s="6"/>
      <c r="C200" s="2" t="str">
        <f>IF(ISBLANK(Table3[[#This Row],[Investor]])," ",SUMIF(Entries[[Investor Name ]],Calculations!B200,Entries[Deposit Amount]))</f>
        <v xml:space="preserve"> </v>
      </c>
      <c r="D200" s="7" t="str" cm="1">
        <f t="array" aca="1" ref="D200" ca="1">IFERROR(C200 + SUM(Dashboard!J220:J1202)*Query17[Conversion Rate] * SUMPRODUCT((Entries[[Investor Name ]]=Calculations!B200) * (Entries[Deposit Amount]) *(Entries[Time in Fund(Days)]))/SUMPRODUCT(Entries[Deposit Amount],Entries[Time in Fund(Days)])," ")</f>
        <v xml:space="preserve"> </v>
      </c>
    </row>
    <row r="201" spans="2:4" x14ac:dyDescent="0.25">
      <c r="B201" s="6"/>
      <c r="C201" s="2" t="str">
        <f>IF(ISBLANK(Table3[[#This Row],[Investor]])," ",SUMIF(Entries[[Investor Name ]],Calculations!B201,Entries[Deposit Amount]))</f>
        <v xml:space="preserve"> </v>
      </c>
      <c r="D201" s="7" t="str" cm="1">
        <f t="array" aca="1" ref="D201" ca="1">IFERROR(C201 + SUM(Dashboard!J221:J1203)*Query17[Conversion Rate] * SUMPRODUCT((Entries[[Investor Name ]]=Calculations!B201) * (Entries[Deposit Amount]) *(Entries[Time in Fund(Days)]))/SUMPRODUCT(Entries[Deposit Amount],Entries[Time in Fund(Days)])," ")</f>
        <v xml:space="preserve"> </v>
      </c>
    </row>
    <row r="202" spans="2:4" x14ac:dyDescent="0.25">
      <c r="B202" s="6"/>
      <c r="C202" s="2" t="str">
        <f>IF(ISBLANK(Table3[[#This Row],[Investor]])," ",SUMIF(Entries[[Investor Name ]],Calculations!B202,Entries[Deposit Amount]))</f>
        <v xml:space="preserve"> </v>
      </c>
      <c r="D202" s="7" t="str" cm="1">
        <f t="array" aca="1" ref="D202" ca="1">IFERROR(C202 + SUM(Dashboard!J222:J1204)*Query17[Conversion Rate] * SUMPRODUCT((Entries[[Investor Name ]]=Calculations!B202) * (Entries[Deposit Amount]) *(Entries[Time in Fund(Days)]))/SUMPRODUCT(Entries[Deposit Amount],Entries[Time in Fund(Days)])," ")</f>
        <v xml:space="preserve"> </v>
      </c>
    </row>
    <row r="203" spans="2:4" x14ac:dyDescent="0.25">
      <c r="B203" s="6"/>
      <c r="C203" s="2" t="str">
        <f>IF(ISBLANK(Table3[[#This Row],[Investor]])," ",SUMIF(Entries[[Investor Name ]],Calculations!B203,Entries[Deposit Amount]))</f>
        <v xml:space="preserve"> </v>
      </c>
      <c r="D203" s="7" t="str" cm="1">
        <f t="array" aca="1" ref="D203" ca="1">IFERROR(C203 + SUM(Dashboard!J223:J1205)*Query17[Conversion Rate] * SUMPRODUCT((Entries[[Investor Name ]]=Calculations!B203) * (Entries[Deposit Amount]) *(Entries[Time in Fund(Days)]))/SUMPRODUCT(Entries[Deposit Amount],Entries[Time in Fund(Days)])," ")</f>
        <v xml:space="preserve"> </v>
      </c>
    </row>
    <row r="204" spans="2:4" x14ac:dyDescent="0.25">
      <c r="B204" s="6"/>
      <c r="C204" s="2" t="str">
        <f>IF(ISBLANK(Table3[[#This Row],[Investor]])," ",SUMIF(Entries[[Investor Name ]],Calculations!B204,Entries[Deposit Amount]))</f>
        <v xml:space="preserve"> </v>
      </c>
      <c r="D204" s="7" t="str" cm="1">
        <f t="array" aca="1" ref="D204" ca="1">IFERROR(C204 + SUM(Dashboard!J224:J1206)*Query17[Conversion Rate] * SUMPRODUCT((Entries[[Investor Name ]]=Calculations!B204) * (Entries[Deposit Amount]) *(Entries[Time in Fund(Days)]))/SUMPRODUCT(Entries[Deposit Amount],Entries[Time in Fund(Days)])," ")</f>
        <v xml:space="preserve"> </v>
      </c>
    </row>
    <row r="205" spans="2:4" x14ac:dyDescent="0.25">
      <c r="B205" s="6"/>
      <c r="C205" s="2" t="str">
        <f>IF(ISBLANK(Table3[[#This Row],[Investor]])," ",SUMIF(Entries[[Investor Name ]],Calculations!B205,Entries[Deposit Amount]))</f>
        <v xml:space="preserve"> </v>
      </c>
      <c r="D205" s="7" t="str" cm="1">
        <f t="array" aca="1" ref="D205" ca="1">IFERROR(C205 + SUM(Dashboard!J225:J1207)*Query17[Conversion Rate] * SUMPRODUCT((Entries[[Investor Name ]]=Calculations!B205) * (Entries[Deposit Amount]) *(Entries[Time in Fund(Days)]))/SUMPRODUCT(Entries[Deposit Amount],Entries[Time in Fund(Days)])," ")</f>
        <v xml:space="preserve"> </v>
      </c>
    </row>
    <row r="206" spans="2:4" x14ac:dyDescent="0.25">
      <c r="B206" s="6"/>
      <c r="C206" s="2" t="str">
        <f>IF(ISBLANK(Table3[[#This Row],[Investor]])," ",SUMIF(Entries[[Investor Name ]],Calculations!B206,Entries[Deposit Amount]))</f>
        <v xml:space="preserve"> </v>
      </c>
      <c r="D206" s="7" t="str" cm="1">
        <f t="array" aca="1" ref="D206" ca="1">IFERROR(C206 + SUM(Dashboard!J226:J1208)*Query17[Conversion Rate] * SUMPRODUCT((Entries[[Investor Name ]]=Calculations!B206) * (Entries[Deposit Amount]) *(Entries[Time in Fund(Days)]))/SUMPRODUCT(Entries[Deposit Amount],Entries[Time in Fund(Days)])," ")</f>
        <v xml:space="preserve"> </v>
      </c>
    </row>
    <row r="207" spans="2:4" x14ac:dyDescent="0.25">
      <c r="B207" s="6"/>
      <c r="C207" s="2" t="str">
        <f>IF(ISBLANK(Table3[[#This Row],[Investor]])," ",SUMIF(Entries[[Investor Name ]],Calculations!B207,Entries[Deposit Amount]))</f>
        <v xml:space="preserve"> </v>
      </c>
      <c r="D207" s="7" t="str" cm="1">
        <f t="array" aca="1" ref="D207" ca="1">IFERROR(C207 + SUM(Dashboard!J227:J1209)*Query17[Conversion Rate] * SUMPRODUCT((Entries[[Investor Name ]]=Calculations!B207) * (Entries[Deposit Amount]) *(Entries[Time in Fund(Days)]))/SUMPRODUCT(Entries[Deposit Amount],Entries[Time in Fund(Days)])," ")</f>
        <v xml:space="preserve"> </v>
      </c>
    </row>
    <row r="208" spans="2:4" x14ac:dyDescent="0.25">
      <c r="B208" s="6"/>
      <c r="C208" s="2" t="str">
        <f>IF(ISBLANK(Table3[[#This Row],[Investor]])," ",SUMIF(Entries[[Investor Name ]],Calculations!B208,Entries[Deposit Amount]))</f>
        <v xml:space="preserve"> </v>
      </c>
      <c r="D208" s="7" t="str" cm="1">
        <f t="array" aca="1" ref="D208" ca="1">IFERROR(C208 + SUM(Dashboard!J228:J1210)*Query17[Conversion Rate] * SUMPRODUCT((Entries[[Investor Name ]]=Calculations!B208) * (Entries[Deposit Amount]) *(Entries[Time in Fund(Days)]))/SUMPRODUCT(Entries[Deposit Amount],Entries[Time in Fund(Days)])," ")</f>
        <v xml:space="preserve"> </v>
      </c>
    </row>
    <row r="209" spans="2:4" x14ac:dyDescent="0.25">
      <c r="B209" s="6"/>
      <c r="C209" s="2" t="str">
        <f>IF(ISBLANK(Table3[[#This Row],[Investor]])," ",SUMIF(Entries[[Investor Name ]],Calculations!B209,Entries[Deposit Amount]))</f>
        <v xml:space="preserve"> </v>
      </c>
      <c r="D209" s="7" t="str" cm="1">
        <f t="array" aca="1" ref="D209" ca="1">IFERROR(C209 + SUM(Dashboard!J229:J1211)*Query17[Conversion Rate] * SUMPRODUCT((Entries[[Investor Name ]]=Calculations!B209) * (Entries[Deposit Amount]) *(Entries[Time in Fund(Days)]))/SUMPRODUCT(Entries[Deposit Amount],Entries[Time in Fund(Days)])," ")</f>
        <v xml:space="preserve"> </v>
      </c>
    </row>
    <row r="210" spans="2:4" x14ac:dyDescent="0.25">
      <c r="B210" s="6"/>
      <c r="C210" s="2" t="str">
        <f>IF(ISBLANK(Table3[[#This Row],[Investor]])," ",SUMIF(Entries[[Investor Name ]],Calculations!B210,Entries[Deposit Amount]))</f>
        <v xml:space="preserve"> </v>
      </c>
      <c r="D210" s="7" t="str" cm="1">
        <f t="array" aca="1" ref="D210" ca="1">IFERROR(C210 + SUM(Dashboard!J230:J1212)*Query17[Conversion Rate] * SUMPRODUCT((Entries[[Investor Name ]]=Calculations!B210) * (Entries[Deposit Amount]) *(Entries[Time in Fund(Days)]))/SUMPRODUCT(Entries[Deposit Amount],Entries[Time in Fund(Days)])," ")</f>
        <v xml:space="preserve"> </v>
      </c>
    </row>
    <row r="211" spans="2:4" x14ac:dyDescent="0.25">
      <c r="B211" s="6"/>
      <c r="C211" s="2" t="str">
        <f>IF(ISBLANK(Table3[[#This Row],[Investor]])," ",SUMIF(Entries[[Investor Name ]],Calculations!B211,Entries[Deposit Amount]))</f>
        <v xml:space="preserve"> </v>
      </c>
      <c r="D211" s="7" t="str" cm="1">
        <f t="array" aca="1" ref="D211" ca="1">IFERROR(C211 + SUM(Dashboard!J231:J1213)*Query17[Conversion Rate] * SUMPRODUCT((Entries[[Investor Name ]]=Calculations!B211) * (Entries[Deposit Amount]) *(Entries[Time in Fund(Days)]))/SUMPRODUCT(Entries[Deposit Amount],Entries[Time in Fund(Days)])," ")</f>
        <v xml:space="preserve"> </v>
      </c>
    </row>
    <row r="212" spans="2:4" x14ac:dyDescent="0.25">
      <c r="B212" s="6"/>
      <c r="C212" s="2" t="str">
        <f>IF(ISBLANK(Table3[[#This Row],[Investor]])," ",SUMIF(Entries[[Investor Name ]],Calculations!B212,Entries[Deposit Amount]))</f>
        <v xml:space="preserve"> </v>
      </c>
      <c r="D212" s="7" t="str" cm="1">
        <f t="array" aca="1" ref="D212" ca="1">IFERROR(C212 + SUM(Dashboard!J232:J1214)*Query17[Conversion Rate] * SUMPRODUCT((Entries[[Investor Name ]]=Calculations!B212) * (Entries[Deposit Amount]) *(Entries[Time in Fund(Days)]))/SUMPRODUCT(Entries[Deposit Amount],Entries[Time in Fund(Days)])," ")</f>
        <v xml:space="preserve"> </v>
      </c>
    </row>
    <row r="213" spans="2:4" x14ac:dyDescent="0.25">
      <c r="B213" s="6"/>
      <c r="C213" s="2" t="str">
        <f>IF(ISBLANK(Table3[[#This Row],[Investor]])," ",SUMIF(Entries[[Investor Name ]],Calculations!B213,Entries[Deposit Amount]))</f>
        <v xml:space="preserve"> </v>
      </c>
      <c r="D213" s="7" t="str" cm="1">
        <f t="array" aca="1" ref="D213" ca="1">IFERROR(C213 + SUM(Dashboard!J233:J1215)*Query17[Conversion Rate] * SUMPRODUCT((Entries[[Investor Name ]]=Calculations!B213) * (Entries[Deposit Amount]) *(Entries[Time in Fund(Days)]))/SUMPRODUCT(Entries[Deposit Amount],Entries[Time in Fund(Days)])," ")</f>
        <v xml:space="preserve"> </v>
      </c>
    </row>
    <row r="214" spans="2:4" x14ac:dyDescent="0.25">
      <c r="B214" s="6"/>
      <c r="C214" s="2" t="str">
        <f>IF(ISBLANK(Table3[[#This Row],[Investor]])," ",SUMIF(Entries[[Investor Name ]],Calculations!B214,Entries[Deposit Amount]))</f>
        <v xml:space="preserve"> </v>
      </c>
      <c r="D214" s="7" t="str" cm="1">
        <f t="array" aca="1" ref="D214" ca="1">IFERROR(C214 + SUM(Dashboard!J234:J1216)*Query17[Conversion Rate] * SUMPRODUCT((Entries[[Investor Name ]]=Calculations!B214) * (Entries[Deposit Amount]) *(Entries[Time in Fund(Days)]))/SUMPRODUCT(Entries[Deposit Amount],Entries[Time in Fund(Days)])," ")</f>
        <v xml:space="preserve"> </v>
      </c>
    </row>
    <row r="215" spans="2:4" x14ac:dyDescent="0.25">
      <c r="B215" s="6"/>
      <c r="C215" s="2" t="str">
        <f>IF(ISBLANK(Table3[[#This Row],[Investor]])," ",SUMIF(Entries[[Investor Name ]],Calculations!B215,Entries[Deposit Amount]))</f>
        <v xml:space="preserve"> </v>
      </c>
      <c r="D215" s="7" t="str" cm="1">
        <f t="array" aca="1" ref="D215" ca="1">IFERROR(C215 + SUM(Dashboard!J235:J1217)*Query17[Conversion Rate] * SUMPRODUCT((Entries[[Investor Name ]]=Calculations!B215) * (Entries[Deposit Amount]) *(Entries[Time in Fund(Days)]))/SUMPRODUCT(Entries[Deposit Amount],Entries[Time in Fund(Days)])," ")</f>
        <v xml:space="preserve"> </v>
      </c>
    </row>
    <row r="216" spans="2:4" x14ac:dyDescent="0.25">
      <c r="B216" s="6"/>
      <c r="C216" s="2" t="str">
        <f>IF(ISBLANK(Table3[[#This Row],[Investor]])," ",SUMIF(Entries[[Investor Name ]],Calculations!B216,Entries[Deposit Amount]))</f>
        <v xml:space="preserve"> </v>
      </c>
      <c r="D216" s="7" t="str" cm="1">
        <f t="array" aca="1" ref="D216" ca="1">IFERROR(C216 + SUM(Dashboard!J236:J1218)*Query17[Conversion Rate] * SUMPRODUCT((Entries[[Investor Name ]]=Calculations!B216) * (Entries[Deposit Amount]) *(Entries[Time in Fund(Days)]))/SUMPRODUCT(Entries[Deposit Amount],Entries[Time in Fund(Days)])," ")</f>
        <v xml:space="preserve"> </v>
      </c>
    </row>
    <row r="217" spans="2:4" x14ac:dyDescent="0.25">
      <c r="B217" s="6"/>
      <c r="C217" s="2" t="str">
        <f>IF(ISBLANK(Table3[[#This Row],[Investor]])," ",SUMIF(Entries[[Investor Name ]],Calculations!B217,Entries[Deposit Amount]))</f>
        <v xml:space="preserve"> </v>
      </c>
      <c r="D217" s="7" t="str" cm="1">
        <f t="array" aca="1" ref="D217" ca="1">IFERROR(C217 + SUM(Dashboard!J237:J1219)*Query17[Conversion Rate] * SUMPRODUCT((Entries[[Investor Name ]]=Calculations!B217) * (Entries[Deposit Amount]) *(Entries[Time in Fund(Days)]))/SUMPRODUCT(Entries[Deposit Amount],Entries[Time in Fund(Days)])," ")</f>
        <v xml:space="preserve"> </v>
      </c>
    </row>
    <row r="218" spans="2:4" x14ac:dyDescent="0.25">
      <c r="B218" s="6"/>
      <c r="C218" s="2" t="str">
        <f>IF(ISBLANK(Table3[[#This Row],[Investor]])," ",SUMIF(Entries[[Investor Name ]],Calculations!B218,Entries[Deposit Amount]))</f>
        <v xml:space="preserve"> </v>
      </c>
      <c r="D218" s="7" t="str" cm="1">
        <f t="array" aca="1" ref="D218" ca="1">IFERROR(C218 + SUM(Dashboard!J238:J1220)*Query17[Conversion Rate] * SUMPRODUCT((Entries[[Investor Name ]]=Calculations!B218) * (Entries[Deposit Amount]) *(Entries[Time in Fund(Days)]))/SUMPRODUCT(Entries[Deposit Amount],Entries[Time in Fund(Days)])," ")</f>
        <v xml:space="preserve"> </v>
      </c>
    </row>
    <row r="219" spans="2:4" x14ac:dyDescent="0.25">
      <c r="B219" s="6"/>
      <c r="C219" s="2" t="str">
        <f>IF(ISBLANK(Table3[[#This Row],[Investor]])," ",SUMIF(Entries[[Investor Name ]],Calculations!B219,Entries[Deposit Amount]))</f>
        <v xml:space="preserve"> </v>
      </c>
      <c r="D219" s="7" t="str" cm="1">
        <f t="array" aca="1" ref="D219" ca="1">IFERROR(C219 + SUM(Dashboard!J239:J1221)*Query17[Conversion Rate] * SUMPRODUCT((Entries[[Investor Name ]]=Calculations!B219) * (Entries[Deposit Amount]) *(Entries[Time in Fund(Days)]))/SUMPRODUCT(Entries[Deposit Amount],Entries[Time in Fund(Days)])," ")</f>
        <v xml:space="preserve"> </v>
      </c>
    </row>
    <row r="220" spans="2:4" x14ac:dyDescent="0.25">
      <c r="B220" s="6"/>
      <c r="C220" s="2" t="str">
        <f>IF(ISBLANK(Table3[[#This Row],[Investor]])," ",SUMIF(Entries[[Investor Name ]],Calculations!B220,Entries[Deposit Amount]))</f>
        <v xml:space="preserve"> </v>
      </c>
      <c r="D220" s="7" t="str" cm="1">
        <f t="array" aca="1" ref="D220" ca="1">IFERROR(C220 + SUM(Dashboard!J240:J1222)*Query17[Conversion Rate] * SUMPRODUCT((Entries[[Investor Name ]]=Calculations!B220) * (Entries[Deposit Amount]) *(Entries[Time in Fund(Days)]))/SUMPRODUCT(Entries[Deposit Amount],Entries[Time in Fund(Days)])," ")</f>
        <v xml:space="preserve"> </v>
      </c>
    </row>
    <row r="221" spans="2:4" x14ac:dyDescent="0.25">
      <c r="B221" s="6"/>
      <c r="C221" s="2" t="str">
        <f>IF(ISBLANK(Table3[[#This Row],[Investor]])," ",SUMIF(Entries[[Investor Name ]],Calculations!B221,Entries[Deposit Amount]))</f>
        <v xml:space="preserve"> </v>
      </c>
      <c r="D221" s="7" t="str" cm="1">
        <f t="array" aca="1" ref="D221" ca="1">IFERROR(C221 + SUM(Dashboard!J241:J1223)*Query17[Conversion Rate] * SUMPRODUCT((Entries[[Investor Name ]]=Calculations!B221) * (Entries[Deposit Amount]) *(Entries[Time in Fund(Days)]))/SUMPRODUCT(Entries[Deposit Amount],Entries[Time in Fund(Days)])," ")</f>
        <v xml:space="preserve"> </v>
      </c>
    </row>
    <row r="222" spans="2:4" x14ac:dyDescent="0.25">
      <c r="B222" s="6"/>
      <c r="C222" s="2" t="str">
        <f>IF(ISBLANK(Table3[[#This Row],[Investor]])," ",SUMIF(Entries[[Investor Name ]],Calculations!B222,Entries[Deposit Amount]))</f>
        <v xml:space="preserve"> </v>
      </c>
      <c r="D222" s="7" t="str" cm="1">
        <f t="array" aca="1" ref="D222" ca="1">IFERROR(C222 + SUM(Dashboard!J242:J1224)*Query17[Conversion Rate] * SUMPRODUCT((Entries[[Investor Name ]]=Calculations!B222) * (Entries[Deposit Amount]) *(Entries[Time in Fund(Days)]))/SUMPRODUCT(Entries[Deposit Amount],Entries[Time in Fund(Days)])," ")</f>
        <v xml:space="preserve"> </v>
      </c>
    </row>
    <row r="223" spans="2:4" x14ac:dyDescent="0.25">
      <c r="B223" s="6"/>
      <c r="C223" s="2" t="str">
        <f>IF(ISBLANK(Table3[[#This Row],[Investor]])," ",SUMIF(Entries[[Investor Name ]],Calculations!B223,Entries[Deposit Amount]))</f>
        <v xml:space="preserve"> </v>
      </c>
      <c r="D223" s="7" t="str" cm="1">
        <f t="array" aca="1" ref="D223" ca="1">IFERROR(C223 + SUM(Dashboard!J243:J1225)*Query17[Conversion Rate] * SUMPRODUCT((Entries[[Investor Name ]]=Calculations!B223) * (Entries[Deposit Amount]) *(Entries[Time in Fund(Days)]))/SUMPRODUCT(Entries[Deposit Amount],Entries[Time in Fund(Days)])," ")</f>
        <v xml:space="preserve"> </v>
      </c>
    </row>
    <row r="224" spans="2:4" x14ac:dyDescent="0.25">
      <c r="B224" s="6"/>
      <c r="C224" s="2" t="str">
        <f>IF(ISBLANK(Table3[[#This Row],[Investor]])," ",SUMIF(Entries[[Investor Name ]],Calculations!B224,Entries[Deposit Amount]))</f>
        <v xml:space="preserve"> </v>
      </c>
      <c r="D224" s="7" t="str" cm="1">
        <f t="array" aca="1" ref="D224" ca="1">IFERROR(C224 + SUM(Dashboard!J244:J1226)*Query17[Conversion Rate] * SUMPRODUCT((Entries[[Investor Name ]]=Calculations!B224) * (Entries[Deposit Amount]) *(Entries[Time in Fund(Days)]))/SUMPRODUCT(Entries[Deposit Amount],Entries[Time in Fund(Days)])," ")</f>
        <v xml:space="preserve"> </v>
      </c>
    </row>
    <row r="225" spans="2:4" x14ac:dyDescent="0.25">
      <c r="B225" s="6"/>
      <c r="C225" s="2" t="str">
        <f>IF(ISBLANK(Table3[[#This Row],[Investor]])," ",SUMIF(Entries[[Investor Name ]],Calculations!B225,Entries[Deposit Amount]))</f>
        <v xml:space="preserve"> </v>
      </c>
      <c r="D225" s="7" t="str" cm="1">
        <f t="array" aca="1" ref="D225" ca="1">IFERROR(C225 + SUM(Dashboard!J245:J1227)*Query17[Conversion Rate] * SUMPRODUCT((Entries[[Investor Name ]]=Calculations!B225) * (Entries[Deposit Amount]) *(Entries[Time in Fund(Days)]))/SUMPRODUCT(Entries[Deposit Amount],Entries[Time in Fund(Days)])," ")</f>
        <v xml:space="preserve"> </v>
      </c>
    </row>
    <row r="226" spans="2:4" x14ac:dyDescent="0.25">
      <c r="B226" s="6"/>
      <c r="C226" s="2" t="str">
        <f>IF(ISBLANK(Table3[[#This Row],[Investor]])," ",SUMIF(Entries[[Investor Name ]],Calculations!B226,Entries[Deposit Amount]))</f>
        <v xml:space="preserve"> </v>
      </c>
      <c r="D226" s="7" t="str" cm="1">
        <f t="array" aca="1" ref="D226" ca="1">IFERROR(C226 + SUM(Dashboard!J246:J1228)*Query17[Conversion Rate] * SUMPRODUCT((Entries[[Investor Name ]]=Calculations!B226) * (Entries[Deposit Amount]) *(Entries[Time in Fund(Days)]))/SUMPRODUCT(Entries[Deposit Amount],Entries[Time in Fund(Days)])," ")</f>
        <v xml:space="preserve"> </v>
      </c>
    </row>
    <row r="227" spans="2:4" x14ac:dyDescent="0.25">
      <c r="B227" s="6"/>
      <c r="C227" s="2" t="str">
        <f>IF(ISBLANK(Table3[[#This Row],[Investor]])," ",SUMIF(Entries[[Investor Name ]],Calculations!B227,Entries[Deposit Amount]))</f>
        <v xml:space="preserve"> </v>
      </c>
      <c r="D227" s="7" t="str" cm="1">
        <f t="array" aca="1" ref="D227" ca="1">IFERROR(C227 + SUM(Dashboard!J247:J1229)*Query17[Conversion Rate] * SUMPRODUCT((Entries[[Investor Name ]]=Calculations!B227) * (Entries[Deposit Amount]) *(Entries[Time in Fund(Days)]))/SUMPRODUCT(Entries[Deposit Amount],Entries[Time in Fund(Days)])," ")</f>
        <v xml:space="preserve"> </v>
      </c>
    </row>
    <row r="228" spans="2:4" x14ac:dyDescent="0.25">
      <c r="B228" s="6"/>
      <c r="C228" s="2" t="str">
        <f>IF(ISBLANK(Table3[[#This Row],[Investor]])," ",SUMIF(Entries[[Investor Name ]],Calculations!B228,Entries[Deposit Amount]))</f>
        <v xml:space="preserve"> </v>
      </c>
      <c r="D228" s="7" t="str" cm="1">
        <f t="array" aca="1" ref="D228" ca="1">IFERROR(C228 + SUM(Dashboard!J248:J1230)*Query17[Conversion Rate] * SUMPRODUCT((Entries[[Investor Name ]]=Calculations!B228) * (Entries[Deposit Amount]) *(Entries[Time in Fund(Days)]))/SUMPRODUCT(Entries[Deposit Amount],Entries[Time in Fund(Days)])," ")</f>
        <v xml:space="preserve"> </v>
      </c>
    </row>
    <row r="229" spans="2:4" x14ac:dyDescent="0.25">
      <c r="B229" s="6"/>
      <c r="C229" s="2" t="str">
        <f>IF(ISBLANK(Table3[[#This Row],[Investor]])," ",SUMIF(Entries[[Investor Name ]],Calculations!B229,Entries[Deposit Amount]))</f>
        <v xml:space="preserve"> </v>
      </c>
      <c r="D229" s="7" t="str" cm="1">
        <f t="array" aca="1" ref="D229" ca="1">IFERROR(C229 + SUM(Dashboard!J249:J1231)*Query17[Conversion Rate] * SUMPRODUCT((Entries[[Investor Name ]]=Calculations!B229) * (Entries[Deposit Amount]) *(Entries[Time in Fund(Days)]))/SUMPRODUCT(Entries[Deposit Amount],Entries[Time in Fund(Days)])," ")</f>
        <v xml:space="preserve"> </v>
      </c>
    </row>
    <row r="230" spans="2:4" x14ac:dyDescent="0.25">
      <c r="B230" s="6"/>
      <c r="C230" s="2" t="str">
        <f>IF(ISBLANK(Table3[[#This Row],[Investor]])," ",SUMIF(Entries[[Investor Name ]],Calculations!B230,Entries[Deposit Amount]))</f>
        <v xml:space="preserve"> </v>
      </c>
      <c r="D230" s="7" t="str" cm="1">
        <f t="array" aca="1" ref="D230" ca="1">IFERROR(C230 + SUM(Dashboard!J250:J1232)*Query17[Conversion Rate] * SUMPRODUCT((Entries[[Investor Name ]]=Calculations!B230) * (Entries[Deposit Amount]) *(Entries[Time in Fund(Days)]))/SUMPRODUCT(Entries[Deposit Amount],Entries[Time in Fund(Days)])," ")</f>
        <v xml:space="preserve"> </v>
      </c>
    </row>
    <row r="231" spans="2:4" x14ac:dyDescent="0.25">
      <c r="B231" s="6"/>
      <c r="C231" s="2" t="str">
        <f>IF(ISBLANK(Table3[[#This Row],[Investor]])," ",SUMIF(Entries[[Investor Name ]],Calculations!B231,Entries[Deposit Amount]))</f>
        <v xml:space="preserve"> </v>
      </c>
      <c r="D231" s="7" t="str" cm="1">
        <f t="array" aca="1" ref="D231" ca="1">IFERROR(C231 + SUM(Dashboard!J251:J1233)*Query17[Conversion Rate] * SUMPRODUCT((Entries[[Investor Name ]]=Calculations!B231) * (Entries[Deposit Amount]) *(Entries[Time in Fund(Days)]))/SUMPRODUCT(Entries[Deposit Amount],Entries[Time in Fund(Days)])," ")</f>
        <v xml:space="preserve"> </v>
      </c>
    </row>
    <row r="232" spans="2:4" x14ac:dyDescent="0.25">
      <c r="B232" s="6"/>
      <c r="C232" s="2" t="str">
        <f>IF(ISBLANK(Table3[[#This Row],[Investor]])," ",SUMIF(Entries[[Investor Name ]],Calculations!B232,Entries[Deposit Amount]))</f>
        <v xml:space="preserve"> </v>
      </c>
      <c r="D232" s="7" t="str" cm="1">
        <f t="array" aca="1" ref="D232" ca="1">IFERROR(C232 + SUM(Dashboard!J252:J1234)*Query17[Conversion Rate] * SUMPRODUCT((Entries[[Investor Name ]]=Calculations!B232) * (Entries[Deposit Amount]) *(Entries[Time in Fund(Days)]))/SUMPRODUCT(Entries[Deposit Amount],Entries[Time in Fund(Days)])," ")</f>
        <v xml:space="preserve"> </v>
      </c>
    </row>
    <row r="233" spans="2:4" x14ac:dyDescent="0.25">
      <c r="B233" s="6"/>
      <c r="C233" s="2" t="str">
        <f>IF(ISBLANK(Table3[[#This Row],[Investor]])," ",SUMIF(Entries[[Investor Name ]],Calculations!B233,Entries[Deposit Amount]))</f>
        <v xml:space="preserve"> </v>
      </c>
      <c r="D233" s="7" t="str" cm="1">
        <f t="array" aca="1" ref="D233" ca="1">IFERROR(C233 + SUM(Dashboard!J253:J1235)*Query17[Conversion Rate] * SUMPRODUCT((Entries[[Investor Name ]]=Calculations!B233) * (Entries[Deposit Amount]) *(Entries[Time in Fund(Days)]))/SUMPRODUCT(Entries[Deposit Amount],Entries[Time in Fund(Days)])," ")</f>
        <v xml:space="preserve"> </v>
      </c>
    </row>
    <row r="234" spans="2:4" x14ac:dyDescent="0.25">
      <c r="B234" s="6"/>
      <c r="C234" s="2" t="str">
        <f>IF(ISBLANK(Table3[[#This Row],[Investor]])," ",SUMIF(Entries[[Investor Name ]],Calculations!B234,Entries[Deposit Amount]))</f>
        <v xml:space="preserve"> </v>
      </c>
      <c r="D234" s="7" t="str" cm="1">
        <f t="array" aca="1" ref="D234" ca="1">IFERROR(C234 + SUM(Dashboard!J254:J1236)*Query17[Conversion Rate] * SUMPRODUCT((Entries[[Investor Name ]]=Calculations!B234) * (Entries[Deposit Amount]) *(Entries[Time in Fund(Days)]))/SUMPRODUCT(Entries[Deposit Amount],Entries[Time in Fund(Days)])," ")</f>
        <v xml:space="preserve"> </v>
      </c>
    </row>
    <row r="235" spans="2:4" x14ac:dyDescent="0.25">
      <c r="B235" s="6"/>
      <c r="C235" s="2" t="str">
        <f>IF(ISBLANK(Table3[[#This Row],[Investor]])," ",SUMIF(Entries[[Investor Name ]],Calculations!B235,Entries[Deposit Amount]))</f>
        <v xml:space="preserve"> </v>
      </c>
      <c r="D235" s="7" t="str" cm="1">
        <f t="array" aca="1" ref="D235" ca="1">IFERROR(C235 + SUM(Dashboard!J255:J1237)*Query17[Conversion Rate] * SUMPRODUCT((Entries[[Investor Name ]]=Calculations!B235) * (Entries[Deposit Amount]) *(Entries[Time in Fund(Days)]))/SUMPRODUCT(Entries[Deposit Amount],Entries[Time in Fund(Days)])," ")</f>
        <v xml:space="preserve"> </v>
      </c>
    </row>
    <row r="236" spans="2:4" x14ac:dyDescent="0.25">
      <c r="B236" s="6"/>
      <c r="C236" s="2" t="str">
        <f>IF(ISBLANK(Table3[[#This Row],[Investor]])," ",SUMIF(Entries[[Investor Name ]],Calculations!B236,Entries[Deposit Amount]))</f>
        <v xml:space="preserve"> </v>
      </c>
      <c r="D236" s="7" t="str" cm="1">
        <f t="array" aca="1" ref="D236" ca="1">IFERROR(C236 + SUM(Dashboard!J256:J1238)*Query17[Conversion Rate] * SUMPRODUCT((Entries[[Investor Name ]]=Calculations!B236) * (Entries[Deposit Amount]) *(Entries[Time in Fund(Days)]))/SUMPRODUCT(Entries[Deposit Amount],Entries[Time in Fund(Days)])," ")</f>
        <v xml:space="preserve"> </v>
      </c>
    </row>
    <row r="237" spans="2:4" x14ac:dyDescent="0.25">
      <c r="B237" s="6"/>
      <c r="C237" s="2" t="str">
        <f>IF(ISBLANK(Table3[[#This Row],[Investor]])," ",SUMIF(Entries[[Investor Name ]],Calculations!B237,Entries[Deposit Amount]))</f>
        <v xml:space="preserve"> </v>
      </c>
      <c r="D237" s="7" t="str" cm="1">
        <f t="array" aca="1" ref="D237" ca="1">IFERROR(C237 + SUM(Dashboard!J257:J1239)*Query17[Conversion Rate] * SUMPRODUCT((Entries[[Investor Name ]]=Calculations!B237) * (Entries[Deposit Amount]) *(Entries[Time in Fund(Days)]))/SUMPRODUCT(Entries[Deposit Amount],Entries[Time in Fund(Days)])," ")</f>
        <v xml:space="preserve"> </v>
      </c>
    </row>
    <row r="238" spans="2:4" x14ac:dyDescent="0.25">
      <c r="B238" s="6"/>
      <c r="C238" s="2" t="str">
        <f>IF(ISBLANK(Table3[[#This Row],[Investor]])," ",SUMIF(Entries[[Investor Name ]],Calculations!B238,Entries[Deposit Amount]))</f>
        <v xml:space="preserve"> </v>
      </c>
      <c r="D238" s="7" t="str" cm="1">
        <f t="array" aca="1" ref="D238" ca="1">IFERROR(C238 + SUM(Dashboard!J258:J1240)*Query17[Conversion Rate] * SUMPRODUCT((Entries[[Investor Name ]]=Calculations!B238) * (Entries[Deposit Amount]) *(Entries[Time in Fund(Days)]))/SUMPRODUCT(Entries[Deposit Amount],Entries[Time in Fund(Days)])," ")</f>
        <v xml:space="preserve"> </v>
      </c>
    </row>
    <row r="239" spans="2:4" x14ac:dyDescent="0.25">
      <c r="B239" s="6"/>
      <c r="C239" s="2" t="str">
        <f>IF(ISBLANK(Table3[[#This Row],[Investor]])," ",SUMIF(Entries[[Investor Name ]],Calculations!B239,Entries[Deposit Amount]))</f>
        <v xml:space="preserve"> </v>
      </c>
      <c r="D239" s="7" t="str" cm="1">
        <f t="array" aca="1" ref="D239" ca="1">IFERROR(C239 + SUM(Dashboard!J259:J1241)*Query17[Conversion Rate] * SUMPRODUCT((Entries[[Investor Name ]]=Calculations!B239) * (Entries[Deposit Amount]) *(Entries[Time in Fund(Days)]))/SUMPRODUCT(Entries[Deposit Amount],Entries[Time in Fund(Days)])," ")</f>
        <v xml:space="preserve"> </v>
      </c>
    </row>
    <row r="240" spans="2:4" x14ac:dyDescent="0.25">
      <c r="B240" s="6"/>
      <c r="C240" s="2" t="str">
        <f>IF(ISBLANK(Table3[[#This Row],[Investor]])," ",SUMIF(Entries[[Investor Name ]],Calculations!B240,Entries[Deposit Amount]))</f>
        <v xml:space="preserve"> </v>
      </c>
      <c r="D240" s="7" t="str" cm="1">
        <f t="array" aca="1" ref="D240" ca="1">IFERROR(C240 + SUM(Dashboard!J260:J1242)*Query17[Conversion Rate] * SUMPRODUCT((Entries[[Investor Name ]]=Calculations!B240) * (Entries[Deposit Amount]) *(Entries[Time in Fund(Days)]))/SUMPRODUCT(Entries[Deposit Amount],Entries[Time in Fund(Days)])," ")</f>
        <v xml:space="preserve"> </v>
      </c>
    </row>
    <row r="241" spans="2:4" x14ac:dyDescent="0.25">
      <c r="B241" s="6"/>
      <c r="C241" s="2" t="str">
        <f>IF(ISBLANK(Table3[[#This Row],[Investor]])," ",SUMIF(Entries[[Investor Name ]],Calculations!B241,Entries[Deposit Amount]))</f>
        <v xml:space="preserve"> </v>
      </c>
      <c r="D241" s="7" t="str" cm="1">
        <f t="array" aca="1" ref="D241" ca="1">IFERROR(C241 + SUM(Dashboard!J261:J1243)*Query17[Conversion Rate] * SUMPRODUCT((Entries[[Investor Name ]]=Calculations!B241) * (Entries[Deposit Amount]) *(Entries[Time in Fund(Days)]))/SUMPRODUCT(Entries[Deposit Amount],Entries[Time in Fund(Days)])," ")</f>
        <v xml:space="preserve"> </v>
      </c>
    </row>
    <row r="242" spans="2:4" x14ac:dyDescent="0.25">
      <c r="B242" s="6"/>
      <c r="C242" s="2" t="str">
        <f>IF(ISBLANK(Table3[[#This Row],[Investor]])," ",SUMIF(Entries[[Investor Name ]],Calculations!B242,Entries[Deposit Amount]))</f>
        <v xml:space="preserve"> </v>
      </c>
      <c r="D242" s="7" t="str" cm="1">
        <f t="array" aca="1" ref="D242" ca="1">IFERROR(C242 + SUM(Dashboard!J262:J1244)*Query17[Conversion Rate] * SUMPRODUCT((Entries[[Investor Name ]]=Calculations!B242) * (Entries[Deposit Amount]) *(Entries[Time in Fund(Days)]))/SUMPRODUCT(Entries[Deposit Amount],Entries[Time in Fund(Days)])," ")</f>
        <v xml:space="preserve"> </v>
      </c>
    </row>
    <row r="243" spans="2:4" x14ac:dyDescent="0.25">
      <c r="B243" s="6"/>
      <c r="C243" s="2" t="str">
        <f>IF(ISBLANK(Table3[[#This Row],[Investor]])," ",SUMIF(Entries[[Investor Name ]],Calculations!B243,Entries[Deposit Amount]))</f>
        <v xml:space="preserve"> </v>
      </c>
      <c r="D243" s="7" t="str" cm="1">
        <f t="array" aca="1" ref="D243" ca="1">IFERROR(C243 + SUM(Dashboard!J263:J1245)*Query17[Conversion Rate] * SUMPRODUCT((Entries[[Investor Name ]]=Calculations!B243) * (Entries[Deposit Amount]) *(Entries[Time in Fund(Days)]))/SUMPRODUCT(Entries[Deposit Amount],Entries[Time in Fund(Days)])," ")</f>
        <v xml:space="preserve"> </v>
      </c>
    </row>
    <row r="244" spans="2:4" x14ac:dyDescent="0.25">
      <c r="B244" s="6"/>
      <c r="C244" s="2" t="str">
        <f>IF(ISBLANK(Table3[[#This Row],[Investor]])," ",SUMIF(Entries[[Investor Name ]],Calculations!B244,Entries[Deposit Amount]))</f>
        <v xml:space="preserve"> </v>
      </c>
      <c r="D244" s="7" t="str" cm="1">
        <f t="array" aca="1" ref="D244" ca="1">IFERROR(C244 + SUM(Dashboard!J264:J1246)*Query17[Conversion Rate] * SUMPRODUCT((Entries[[Investor Name ]]=Calculations!B244) * (Entries[Deposit Amount]) *(Entries[Time in Fund(Days)]))/SUMPRODUCT(Entries[Deposit Amount],Entries[Time in Fund(Days)])," ")</f>
        <v xml:space="preserve"> </v>
      </c>
    </row>
    <row r="245" spans="2:4" x14ac:dyDescent="0.25">
      <c r="B245" s="6"/>
      <c r="C245" s="2" t="str">
        <f>IF(ISBLANK(Table3[[#This Row],[Investor]])," ",SUMIF(Entries[[Investor Name ]],Calculations!B245,Entries[Deposit Amount]))</f>
        <v xml:space="preserve"> </v>
      </c>
      <c r="D245" s="7" t="str" cm="1">
        <f t="array" aca="1" ref="D245" ca="1">IFERROR(C245 + SUM(Dashboard!J265:J1247)*Query17[Conversion Rate] * SUMPRODUCT((Entries[[Investor Name ]]=Calculations!B245) * (Entries[Deposit Amount]) *(Entries[Time in Fund(Days)]))/SUMPRODUCT(Entries[Deposit Amount],Entries[Time in Fund(Days)])," ")</f>
        <v xml:space="preserve"> </v>
      </c>
    </row>
    <row r="246" spans="2:4" x14ac:dyDescent="0.25">
      <c r="B246" s="6"/>
      <c r="C246" s="2" t="str">
        <f>IF(ISBLANK(Table3[[#This Row],[Investor]])," ",SUMIF(Entries[[Investor Name ]],Calculations!B246,Entries[Deposit Amount]))</f>
        <v xml:space="preserve"> </v>
      </c>
      <c r="D246" s="7" t="str" cm="1">
        <f t="array" aca="1" ref="D246" ca="1">IFERROR(C246 + SUM(Dashboard!J266:J1248)*Query17[Conversion Rate] * SUMPRODUCT((Entries[[Investor Name ]]=Calculations!B246) * (Entries[Deposit Amount]) *(Entries[Time in Fund(Days)]))/SUMPRODUCT(Entries[Deposit Amount],Entries[Time in Fund(Days)])," ")</f>
        <v xml:space="preserve"> </v>
      </c>
    </row>
    <row r="247" spans="2:4" x14ac:dyDescent="0.25">
      <c r="B247" s="6"/>
      <c r="C247" s="2" t="str">
        <f>IF(ISBLANK(Table3[[#This Row],[Investor]])," ",SUMIF(Entries[[Investor Name ]],Calculations!B247,Entries[Deposit Amount]))</f>
        <v xml:space="preserve"> </v>
      </c>
      <c r="D247" s="7" t="str" cm="1">
        <f t="array" aca="1" ref="D247" ca="1">IFERROR(C247 + SUM(Dashboard!J267:J1249)*Query17[Conversion Rate] * SUMPRODUCT((Entries[[Investor Name ]]=Calculations!B247) * (Entries[Deposit Amount]) *(Entries[Time in Fund(Days)]))/SUMPRODUCT(Entries[Deposit Amount],Entries[Time in Fund(Days)])," ")</f>
        <v xml:space="preserve"> </v>
      </c>
    </row>
    <row r="248" spans="2:4" x14ac:dyDescent="0.25">
      <c r="B248" s="6"/>
      <c r="C248" s="2" t="str">
        <f>IF(ISBLANK(Table3[[#This Row],[Investor]])," ",SUMIF(Entries[[Investor Name ]],Calculations!B248,Entries[Deposit Amount]))</f>
        <v xml:space="preserve"> </v>
      </c>
      <c r="D248" s="7" t="str" cm="1">
        <f t="array" aca="1" ref="D248" ca="1">IFERROR(C248 + SUM(Dashboard!J268:J1250)*Query17[Conversion Rate] * SUMPRODUCT((Entries[[Investor Name ]]=Calculations!B248) * (Entries[Deposit Amount]) *(Entries[Time in Fund(Days)]))/SUMPRODUCT(Entries[Deposit Amount],Entries[Time in Fund(Days)])," ")</f>
        <v xml:space="preserve"> </v>
      </c>
    </row>
    <row r="249" spans="2:4" x14ac:dyDescent="0.25">
      <c r="B249" s="6"/>
      <c r="C249" s="2" t="str">
        <f>IF(ISBLANK(Table3[[#This Row],[Investor]])," ",SUMIF(Entries[[Investor Name ]],Calculations!B249,Entries[Deposit Amount]))</f>
        <v xml:space="preserve"> </v>
      </c>
      <c r="D249" s="7" t="str" cm="1">
        <f t="array" aca="1" ref="D249" ca="1">IFERROR(C249 + SUM(Dashboard!J269:J1251)*Query17[Conversion Rate] * SUMPRODUCT((Entries[[Investor Name ]]=Calculations!B249) * (Entries[Deposit Amount]) *(Entries[Time in Fund(Days)]))/SUMPRODUCT(Entries[Deposit Amount],Entries[Time in Fund(Days)])," ")</f>
        <v xml:space="preserve"> </v>
      </c>
    </row>
    <row r="250" spans="2:4" x14ac:dyDescent="0.25">
      <c r="B250" s="6"/>
      <c r="C250" s="2" t="str">
        <f>IF(ISBLANK(Table3[[#This Row],[Investor]])," ",SUMIF(Entries[[Investor Name ]],Calculations!B250,Entries[Deposit Amount]))</f>
        <v xml:space="preserve"> </v>
      </c>
      <c r="D250" s="7" t="str" cm="1">
        <f t="array" aca="1" ref="D250" ca="1">IFERROR(C250 + SUM(Dashboard!J270:J1252)*Query17[Conversion Rate] * SUMPRODUCT((Entries[[Investor Name ]]=Calculations!B250) * (Entries[Deposit Amount]) *(Entries[Time in Fund(Days)]))/SUMPRODUCT(Entries[Deposit Amount],Entries[Time in Fund(Days)])," ")</f>
        <v xml:space="preserve"> </v>
      </c>
    </row>
    <row r="251" spans="2:4" x14ac:dyDescent="0.25">
      <c r="B251" s="6"/>
      <c r="C251" s="2" t="str">
        <f>IF(ISBLANK(Table3[[#This Row],[Investor]])," ",SUMIF(Entries[[Investor Name ]],Calculations!B251,Entries[Deposit Amount]))</f>
        <v xml:space="preserve"> </v>
      </c>
      <c r="D251" s="7" t="str" cm="1">
        <f t="array" aca="1" ref="D251" ca="1">IFERROR(C251 + SUM(Dashboard!J271:J1253)*Query17[Conversion Rate] * SUMPRODUCT((Entries[[Investor Name ]]=Calculations!B251) * (Entries[Deposit Amount]) *(Entries[Time in Fund(Days)]))/SUMPRODUCT(Entries[Deposit Amount],Entries[Time in Fund(Days)])," ")</f>
        <v xml:space="preserve"> </v>
      </c>
    </row>
    <row r="252" spans="2:4" x14ac:dyDescent="0.25">
      <c r="B252" s="6"/>
      <c r="C252" s="2" t="str">
        <f>IF(ISBLANK(Table3[[#This Row],[Investor]])," ",SUMIF(Entries[[Investor Name ]],Calculations!B252,Entries[Deposit Amount]))</f>
        <v xml:space="preserve"> </v>
      </c>
      <c r="D252" s="7" t="str" cm="1">
        <f t="array" aca="1" ref="D252" ca="1">IFERROR(C252 + SUM(Dashboard!J272:J1254)*Query17[Conversion Rate] * SUMPRODUCT((Entries[[Investor Name ]]=Calculations!B252) * (Entries[Deposit Amount]) *(Entries[Time in Fund(Days)]))/SUMPRODUCT(Entries[Deposit Amount],Entries[Time in Fund(Days)])," ")</f>
        <v xml:space="preserve"> </v>
      </c>
    </row>
    <row r="253" spans="2:4" x14ac:dyDescent="0.25">
      <c r="B253" s="6"/>
      <c r="C253" s="2" t="str">
        <f>IF(ISBLANK(Table3[[#This Row],[Investor]])," ",SUMIF(Entries[[Investor Name ]],Calculations!B253,Entries[Deposit Amount]))</f>
        <v xml:space="preserve"> </v>
      </c>
      <c r="D253" s="7" t="str" cm="1">
        <f t="array" aca="1" ref="D253" ca="1">IFERROR(C253 + SUM(Dashboard!J273:J1255)*Query17[Conversion Rate] * SUMPRODUCT((Entries[[Investor Name ]]=Calculations!B253) * (Entries[Deposit Amount]) *(Entries[Time in Fund(Days)]))/SUMPRODUCT(Entries[Deposit Amount],Entries[Time in Fund(Days)])," ")</f>
        <v xml:space="preserve"> </v>
      </c>
    </row>
    <row r="254" spans="2:4" x14ac:dyDescent="0.25">
      <c r="B254" s="6"/>
      <c r="C254" s="2" t="str">
        <f>IF(ISBLANK(Table3[[#This Row],[Investor]])," ",SUMIF(Entries[[Investor Name ]],Calculations!B254,Entries[Deposit Amount]))</f>
        <v xml:space="preserve"> </v>
      </c>
      <c r="D254" s="7" t="str" cm="1">
        <f t="array" aca="1" ref="D254" ca="1">IFERROR(C254 + SUM(Dashboard!J274:J1256)*Query17[Conversion Rate] * SUMPRODUCT((Entries[[Investor Name ]]=Calculations!B254) * (Entries[Deposit Amount]) *(Entries[Time in Fund(Days)]))/SUMPRODUCT(Entries[Deposit Amount],Entries[Time in Fund(Days)])," ")</f>
        <v xml:space="preserve"> </v>
      </c>
    </row>
    <row r="255" spans="2:4" x14ac:dyDescent="0.25">
      <c r="B255" s="6"/>
      <c r="C255" s="2" t="str">
        <f>IF(ISBLANK(Table3[[#This Row],[Investor]])," ",SUMIF(Entries[[Investor Name ]],Calculations!B255,Entries[Deposit Amount]))</f>
        <v xml:space="preserve"> </v>
      </c>
      <c r="D255" s="7" t="str" cm="1">
        <f t="array" aca="1" ref="D255" ca="1">IFERROR(C255 + SUM(Dashboard!J275:J1257)*Query17[Conversion Rate] * SUMPRODUCT((Entries[[Investor Name ]]=Calculations!B255) * (Entries[Deposit Amount]) *(Entries[Time in Fund(Days)]))/SUMPRODUCT(Entries[Deposit Amount],Entries[Time in Fund(Days)])," ")</f>
        <v xml:space="preserve"> </v>
      </c>
    </row>
    <row r="256" spans="2:4" x14ac:dyDescent="0.25">
      <c r="B256" s="6"/>
      <c r="C256" s="2" t="str">
        <f>IF(ISBLANK(Table3[[#This Row],[Investor]])," ",SUMIF(Entries[[Investor Name ]],Calculations!B256,Entries[Deposit Amount]))</f>
        <v xml:space="preserve"> </v>
      </c>
      <c r="D256" s="7" t="str" cm="1">
        <f t="array" aca="1" ref="D256" ca="1">IFERROR(C256 + SUM(Dashboard!J276:J1258)*Query17[Conversion Rate] * SUMPRODUCT((Entries[[Investor Name ]]=Calculations!B256) * (Entries[Deposit Amount]) *(Entries[Time in Fund(Days)]))/SUMPRODUCT(Entries[Deposit Amount],Entries[Time in Fund(Days)])," ")</f>
        <v xml:space="preserve"> </v>
      </c>
    </row>
    <row r="257" spans="2:4" x14ac:dyDescent="0.25">
      <c r="B257" s="6"/>
      <c r="C257" s="2" t="str">
        <f>IF(ISBLANK(Table3[[#This Row],[Investor]])," ",SUMIF(Entries[[Investor Name ]],Calculations!B257,Entries[Deposit Amount]))</f>
        <v xml:space="preserve"> </v>
      </c>
      <c r="D257" s="7" t="str" cm="1">
        <f t="array" aca="1" ref="D257" ca="1">IFERROR(C257 + SUM(Dashboard!J277:J1259)*Query17[Conversion Rate] * SUMPRODUCT((Entries[[Investor Name ]]=Calculations!B257) * (Entries[Deposit Amount]) *(Entries[Time in Fund(Days)]))/SUMPRODUCT(Entries[Deposit Amount],Entries[Time in Fund(Days)])," ")</f>
        <v xml:space="preserve"> </v>
      </c>
    </row>
    <row r="258" spans="2:4" x14ac:dyDescent="0.25">
      <c r="B258" s="6"/>
      <c r="C258" s="2" t="str">
        <f>IF(ISBLANK(Table3[[#This Row],[Investor]])," ",SUMIF(Entries[[Investor Name ]],Calculations!B258,Entries[Deposit Amount]))</f>
        <v xml:space="preserve"> </v>
      </c>
      <c r="D258" s="7" t="str" cm="1">
        <f t="array" aca="1" ref="D258" ca="1">IFERROR(C258 + SUM(Dashboard!J278:J1260)*Query17[Conversion Rate] * SUMPRODUCT((Entries[[Investor Name ]]=Calculations!B258) * (Entries[Deposit Amount]) *(Entries[Time in Fund(Days)]))/SUMPRODUCT(Entries[Deposit Amount],Entries[Time in Fund(Days)])," ")</f>
        <v xml:space="preserve"> </v>
      </c>
    </row>
    <row r="259" spans="2:4" x14ac:dyDescent="0.25">
      <c r="B259" s="6"/>
      <c r="C259" s="2" t="str">
        <f>IF(ISBLANK(Table3[[#This Row],[Investor]])," ",SUMIF(Entries[[Investor Name ]],Calculations!B259,Entries[Deposit Amount]))</f>
        <v xml:space="preserve"> </v>
      </c>
      <c r="D259" s="7" t="str" cm="1">
        <f t="array" aca="1" ref="D259" ca="1">IFERROR(C259 + SUM(Dashboard!J279:J1261)*Query17[Conversion Rate] * SUMPRODUCT((Entries[[Investor Name ]]=Calculations!B259) * (Entries[Deposit Amount]) *(Entries[Time in Fund(Days)]))/SUMPRODUCT(Entries[Deposit Amount],Entries[Time in Fund(Days)])," ")</f>
        <v xml:space="preserve"> </v>
      </c>
    </row>
    <row r="260" spans="2:4" x14ac:dyDescent="0.25">
      <c r="B260" s="6"/>
      <c r="C260" s="2" t="str">
        <f>IF(ISBLANK(Table3[[#This Row],[Investor]])," ",SUMIF(Entries[[Investor Name ]],Calculations!B260,Entries[Deposit Amount]))</f>
        <v xml:space="preserve"> </v>
      </c>
      <c r="D260" s="7" t="str" cm="1">
        <f t="array" aca="1" ref="D260" ca="1">IFERROR(C260 + SUM(Dashboard!J280:J1262)*Query17[Conversion Rate] * SUMPRODUCT((Entries[[Investor Name ]]=Calculations!B260) * (Entries[Deposit Amount]) *(Entries[Time in Fund(Days)]))/SUMPRODUCT(Entries[Deposit Amount],Entries[Time in Fund(Days)])," ")</f>
        <v xml:space="preserve"> </v>
      </c>
    </row>
    <row r="261" spans="2:4" x14ac:dyDescent="0.25">
      <c r="B261" s="6"/>
      <c r="C261" s="2" t="str">
        <f>IF(ISBLANK(Table3[[#This Row],[Investor]])," ",SUMIF(Entries[[Investor Name ]],Calculations!B261,Entries[Deposit Amount]))</f>
        <v xml:space="preserve"> </v>
      </c>
      <c r="D261" s="7" t="str" cm="1">
        <f t="array" aca="1" ref="D261" ca="1">IFERROR(C261 + SUM(Dashboard!J281:J1263)*Query17[Conversion Rate] * SUMPRODUCT((Entries[[Investor Name ]]=Calculations!B261) * (Entries[Deposit Amount]) *(Entries[Time in Fund(Days)]))/SUMPRODUCT(Entries[Deposit Amount],Entries[Time in Fund(Days)])," ")</f>
        <v xml:space="preserve"> </v>
      </c>
    </row>
    <row r="262" spans="2:4" x14ac:dyDescent="0.25">
      <c r="B262" s="6"/>
      <c r="C262" s="2" t="str">
        <f>IF(ISBLANK(Table3[[#This Row],[Investor]])," ",SUMIF(Entries[[Investor Name ]],Calculations!B262,Entries[Deposit Amount]))</f>
        <v xml:space="preserve"> </v>
      </c>
      <c r="D262" s="7" t="str" cm="1">
        <f t="array" aca="1" ref="D262" ca="1">IFERROR(C262 + SUM(Dashboard!J282:J1264)*Query17[Conversion Rate] * SUMPRODUCT((Entries[[Investor Name ]]=Calculations!B262) * (Entries[Deposit Amount]) *(Entries[Time in Fund(Days)]))/SUMPRODUCT(Entries[Deposit Amount],Entries[Time in Fund(Days)])," ")</f>
        <v xml:space="preserve"> </v>
      </c>
    </row>
    <row r="263" spans="2:4" x14ac:dyDescent="0.25">
      <c r="B263" s="6"/>
      <c r="C263" s="2" t="str">
        <f>IF(ISBLANK(Table3[[#This Row],[Investor]])," ",SUMIF(Entries[[Investor Name ]],Calculations!B263,Entries[Deposit Amount]))</f>
        <v xml:space="preserve"> </v>
      </c>
      <c r="D263" s="7" t="str" cm="1">
        <f t="array" aca="1" ref="D263" ca="1">IFERROR(C263 + SUM(Dashboard!J283:J1265)*Query17[Conversion Rate] * SUMPRODUCT((Entries[[Investor Name ]]=Calculations!B263) * (Entries[Deposit Amount]) *(Entries[Time in Fund(Days)]))/SUMPRODUCT(Entries[Deposit Amount],Entries[Time in Fund(Days)])," ")</f>
        <v xml:space="preserve"> </v>
      </c>
    </row>
    <row r="264" spans="2:4" x14ac:dyDescent="0.25">
      <c r="B264" s="6"/>
      <c r="C264" s="2" t="str">
        <f>IF(ISBLANK(Table3[[#This Row],[Investor]])," ",SUMIF(Entries[[Investor Name ]],Calculations!B264,Entries[Deposit Amount]))</f>
        <v xml:space="preserve"> </v>
      </c>
      <c r="D264" s="7" t="str" cm="1">
        <f t="array" aca="1" ref="D264" ca="1">IFERROR(C264 + SUM(Dashboard!J284:J1266)*Query17[Conversion Rate] * SUMPRODUCT((Entries[[Investor Name ]]=Calculations!B264) * (Entries[Deposit Amount]) *(Entries[Time in Fund(Days)]))/SUMPRODUCT(Entries[Deposit Amount],Entries[Time in Fund(Days)])," ")</f>
        <v xml:space="preserve"> </v>
      </c>
    </row>
    <row r="265" spans="2:4" x14ac:dyDescent="0.25">
      <c r="B265" s="6"/>
      <c r="C265" s="2" t="str">
        <f>IF(ISBLANK(Table3[[#This Row],[Investor]])," ",SUMIF(Entries[[Investor Name ]],Calculations!B265,Entries[Deposit Amount]))</f>
        <v xml:space="preserve"> </v>
      </c>
      <c r="D265" s="7" t="str" cm="1">
        <f t="array" aca="1" ref="D265" ca="1">IFERROR(C265 + SUM(Dashboard!J285:J1267)*Query17[Conversion Rate] * SUMPRODUCT((Entries[[Investor Name ]]=Calculations!B265) * (Entries[Deposit Amount]) *(Entries[Time in Fund(Days)]))/SUMPRODUCT(Entries[Deposit Amount],Entries[Time in Fund(Days)])," ")</f>
        <v xml:space="preserve"> </v>
      </c>
    </row>
    <row r="266" spans="2:4" x14ac:dyDescent="0.25">
      <c r="B266" s="6"/>
      <c r="C266" s="2" t="str">
        <f>IF(ISBLANK(Table3[[#This Row],[Investor]])," ",SUMIF(Entries[[Investor Name ]],Calculations!B266,Entries[Deposit Amount]))</f>
        <v xml:space="preserve"> </v>
      </c>
      <c r="D266" s="7" t="str" cm="1">
        <f t="array" aca="1" ref="D266" ca="1">IFERROR(C266 + SUM(Dashboard!J286:J1268)*Query17[Conversion Rate] * SUMPRODUCT((Entries[[Investor Name ]]=Calculations!B266) * (Entries[Deposit Amount]) *(Entries[Time in Fund(Days)]))/SUMPRODUCT(Entries[Deposit Amount],Entries[Time in Fund(Days)])," ")</f>
        <v xml:space="preserve"> </v>
      </c>
    </row>
    <row r="267" spans="2:4" x14ac:dyDescent="0.25">
      <c r="B267" s="6"/>
      <c r="C267" s="2" t="str">
        <f>IF(ISBLANK(Table3[[#This Row],[Investor]])," ",SUMIF(Entries[[Investor Name ]],Calculations!B267,Entries[Deposit Amount]))</f>
        <v xml:space="preserve"> </v>
      </c>
      <c r="D267" s="7" t="str" cm="1">
        <f t="array" aca="1" ref="D267" ca="1">IFERROR(C267 + SUM(Dashboard!J287:J1269)*Query17[Conversion Rate] * SUMPRODUCT((Entries[[Investor Name ]]=Calculations!B267) * (Entries[Deposit Amount]) *(Entries[Time in Fund(Days)]))/SUMPRODUCT(Entries[Deposit Amount],Entries[Time in Fund(Days)])," ")</f>
        <v xml:space="preserve"> </v>
      </c>
    </row>
    <row r="268" spans="2:4" x14ac:dyDescent="0.25">
      <c r="B268" s="6"/>
      <c r="C268" s="2" t="str">
        <f>IF(ISBLANK(Table3[[#This Row],[Investor]])," ",SUMIF(Entries[[Investor Name ]],Calculations!B268,Entries[Deposit Amount]))</f>
        <v xml:space="preserve"> </v>
      </c>
      <c r="D268" s="7" t="str" cm="1">
        <f t="array" aca="1" ref="D268" ca="1">IFERROR(C268 + SUM(Dashboard!J288:J1270)*Query17[Conversion Rate] * SUMPRODUCT((Entries[[Investor Name ]]=Calculations!B268) * (Entries[Deposit Amount]) *(Entries[Time in Fund(Days)]))/SUMPRODUCT(Entries[Deposit Amount],Entries[Time in Fund(Days)])," ")</f>
        <v xml:space="preserve"> </v>
      </c>
    </row>
    <row r="269" spans="2:4" x14ac:dyDescent="0.25">
      <c r="B269" s="6"/>
      <c r="C269" s="2" t="str">
        <f>IF(ISBLANK(Table3[[#This Row],[Investor]])," ",SUMIF(Entries[[Investor Name ]],Calculations!B269,Entries[Deposit Amount]))</f>
        <v xml:space="preserve"> </v>
      </c>
      <c r="D269" s="7" t="str" cm="1">
        <f t="array" aca="1" ref="D269" ca="1">IFERROR(C269 + SUM(Dashboard!J289:J1271)*Query17[Conversion Rate] * SUMPRODUCT((Entries[[Investor Name ]]=Calculations!B269) * (Entries[Deposit Amount]) *(Entries[Time in Fund(Days)]))/SUMPRODUCT(Entries[Deposit Amount],Entries[Time in Fund(Days)])," ")</f>
        <v xml:space="preserve"> </v>
      </c>
    </row>
    <row r="270" spans="2:4" x14ac:dyDescent="0.25">
      <c r="B270" s="6"/>
      <c r="C270" s="2" t="str">
        <f>IF(ISBLANK(Table3[[#This Row],[Investor]])," ",SUMIF(Entries[[Investor Name ]],Calculations!B270,Entries[Deposit Amount]))</f>
        <v xml:space="preserve"> </v>
      </c>
      <c r="D270" s="7" t="str" cm="1">
        <f t="array" aca="1" ref="D270" ca="1">IFERROR(C270 + SUM(Dashboard!J290:J1272)*Query17[Conversion Rate] * SUMPRODUCT((Entries[[Investor Name ]]=Calculations!B270) * (Entries[Deposit Amount]) *(Entries[Time in Fund(Days)]))/SUMPRODUCT(Entries[Deposit Amount],Entries[Time in Fund(Days)])," ")</f>
        <v xml:space="preserve"> </v>
      </c>
    </row>
    <row r="271" spans="2:4" x14ac:dyDescent="0.25">
      <c r="B271" s="6"/>
      <c r="C271" s="2" t="str">
        <f>IF(ISBLANK(Table3[[#This Row],[Investor]])," ",SUMIF(Entries[[Investor Name ]],Calculations!B271,Entries[Deposit Amount]))</f>
        <v xml:space="preserve"> </v>
      </c>
      <c r="D271" s="7" t="str" cm="1">
        <f t="array" aca="1" ref="D271" ca="1">IFERROR(C271 + SUM(Dashboard!J291:J1273)*Query17[Conversion Rate] * SUMPRODUCT((Entries[[Investor Name ]]=Calculations!B271) * (Entries[Deposit Amount]) *(Entries[Time in Fund(Days)]))/SUMPRODUCT(Entries[Deposit Amount],Entries[Time in Fund(Days)])," ")</f>
        <v xml:space="preserve"> </v>
      </c>
    </row>
    <row r="272" spans="2:4" x14ac:dyDescent="0.25">
      <c r="B272" s="6"/>
      <c r="C272" s="2" t="str">
        <f>IF(ISBLANK(Table3[[#This Row],[Investor]])," ",SUMIF(Entries[[Investor Name ]],Calculations!B272,Entries[Deposit Amount]))</f>
        <v xml:space="preserve"> </v>
      </c>
      <c r="D272" s="7" t="str" cm="1">
        <f t="array" aca="1" ref="D272" ca="1">IFERROR(C272 + SUM(Dashboard!J292:J1274)*Query17[Conversion Rate] * SUMPRODUCT((Entries[[Investor Name ]]=Calculations!B272) * (Entries[Deposit Amount]) *(Entries[Time in Fund(Days)]))/SUMPRODUCT(Entries[Deposit Amount],Entries[Time in Fund(Days)])," ")</f>
        <v xml:space="preserve"> </v>
      </c>
    </row>
    <row r="273" spans="2:4" x14ac:dyDescent="0.25">
      <c r="B273" s="6"/>
      <c r="C273" s="2" t="str">
        <f>IF(ISBLANK(Table3[[#This Row],[Investor]])," ",SUMIF(Entries[[Investor Name ]],Calculations!B273,Entries[Deposit Amount]))</f>
        <v xml:space="preserve"> </v>
      </c>
      <c r="D273" s="7" t="str" cm="1">
        <f t="array" aca="1" ref="D273" ca="1">IFERROR(C273 + SUM(Dashboard!J293:J1275)*Query17[Conversion Rate] * SUMPRODUCT((Entries[[Investor Name ]]=Calculations!B273) * (Entries[Deposit Amount]) *(Entries[Time in Fund(Days)]))/SUMPRODUCT(Entries[Deposit Amount],Entries[Time in Fund(Days)])," ")</f>
        <v xml:space="preserve"> </v>
      </c>
    </row>
    <row r="274" spans="2:4" x14ac:dyDescent="0.25">
      <c r="B274" s="6"/>
      <c r="C274" s="2" t="str">
        <f>IF(ISBLANK(Table3[[#This Row],[Investor]])," ",SUMIF(Entries[[Investor Name ]],Calculations!B274,Entries[Deposit Amount]))</f>
        <v xml:space="preserve"> </v>
      </c>
      <c r="D274" s="7" t="str" cm="1">
        <f t="array" aca="1" ref="D274" ca="1">IFERROR(C274 + SUM(Dashboard!J294:J1276)*Query17[Conversion Rate] * SUMPRODUCT((Entries[[Investor Name ]]=Calculations!B274) * (Entries[Deposit Amount]) *(Entries[Time in Fund(Days)]))/SUMPRODUCT(Entries[Deposit Amount],Entries[Time in Fund(Days)])," ")</f>
        <v xml:space="preserve"> </v>
      </c>
    </row>
    <row r="275" spans="2:4" x14ac:dyDescent="0.25">
      <c r="B275" s="6"/>
      <c r="C275" s="2" t="str">
        <f>IF(ISBLANK(Table3[[#This Row],[Investor]])," ",SUMIF(Entries[[Investor Name ]],Calculations!B275,Entries[Deposit Amount]))</f>
        <v xml:space="preserve"> </v>
      </c>
      <c r="D275" s="7" t="str" cm="1">
        <f t="array" aca="1" ref="D275" ca="1">IFERROR(C275 + SUM(Dashboard!J295:J1277)*Query17[Conversion Rate] * SUMPRODUCT((Entries[[Investor Name ]]=Calculations!B275) * (Entries[Deposit Amount]) *(Entries[Time in Fund(Days)]))/SUMPRODUCT(Entries[Deposit Amount],Entries[Time in Fund(Days)])," ")</f>
        <v xml:space="preserve"> </v>
      </c>
    </row>
    <row r="276" spans="2:4" x14ac:dyDescent="0.25">
      <c r="B276" s="6"/>
      <c r="C276" s="2" t="str">
        <f>IF(ISBLANK(Table3[[#This Row],[Investor]])," ",SUMIF(Entries[[Investor Name ]],Calculations!B276,Entries[Deposit Amount]))</f>
        <v xml:space="preserve"> </v>
      </c>
      <c r="D276" s="7" t="str" cm="1">
        <f t="array" aca="1" ref="D276" ca="1">IFERROR(C276 + SUM(Dashboard!J296:J1278)*Query17[Conversion Rate] * SUMPRODUCT((Entries[[Investor Name ]]=Calculations!B276) * (Entries[Deposit Amount]) *(Entries[Time in Fund(Days)]))/SUMPRODUCT(Entries[Deposit Amount],Entries[Time in Fund(Days)])," ")</f>
        <v xml:space="preserve"> </v>
      </c>
    </row>
    <row r="277" spans="2:4" x14ac:dyDescent="0.25">
      <c r="B277" s="6"/>
      <c r="C277" s="2" t="str">
        <f>IF(ISBLANK(Table3[[#This Row],[Investor]])," ",SUMIF(Entries[[Investor Name ]],Calculations!B277,Entries[Deposit Amount]))</f>
        <v xml:space="preserve"> </v>
      </c>
      <c r="D277" s="7" t="str" cm="1">
        <f t="array" aca="1" ref="D277" ca="1">IFERROR(C277 + SUM(Dashboard!J297:J1279)*Query17[Conversion Rate] * SUMPRODUCT((Entries[[Investor Name ]]=Calculations!B277) * (Entries[Deposit Amount]) *(Entries[Time in Fund(Days)]))/SUMPRODUCT(Entries[Deposit Amount],Entries[Time in Fund(Days)])," ")</f>
        <v xml:space="preserve"> </v>
      </c>
    </row>
    <row r="278" spans="2:4" x14ac:dyDescent="0.25">
      <c r="B278" s="6"/>
      <c r="C278" s="2" t="str">
        <f>IF(ISBLANK(Table3[[#This Row],[Investor]])," ",SUMIF(Entries[[Investor Name ]],Calculations!B278,Entries[Deposit Amount]))</f>
        <v xml:space="preserve"> </v>
      </c>
      <c r="D278" s="7" t="str" cm="1">
        <f t="array" aca="1" ref="D278" ca="1">IFERROR(C278 + SUM(Dashboard!J298:J1280)*Query17[Conversion Rate] * SUMPRODUCT((Entries[[Investor Name ]]=Calculations!B278) * (Entries[Deposit Amount]) *(Entries[Time in Fund(Days)]))/SUMPRODUCT(Entries[Deposit Amount],Entries[Time in Fund(Days)])," ")</f>
        <v xml:space="preserve"> </v>
      </c>
    </row>
    <row r="279" spans="2:4" x14ac:dyDescent="0.25">
      <c r="B279" s="6"/>
      <c r="C279" s="2" t="str">
        <f>IF(ISBLANK(Table3[[#This Row],[Investor]])," ",SUMIF(Entries[[Investor Name ]],Calculations!B279,Entries[Deposit Amount]))</f>
        <v xml:space="preserve"> </v>
      </c>
      <c r="D279" s="7" t="str" cm="1">
        <f t="array" aca="1" ref="D279" ca="1">IFERROR(C279 + SUM(Dashboard!J299:J1281)*Query17[Conversion Rate] * SUMPRODUCT((Entries[[Investor Name ]]=Calculations!B279) * (Entries[Deposit Amount]) *(Entries[Time in Fund(Days)]))/SUMPRODUCT(Entries[Deposit Amount],Entries[Time in Fund(Days)])," ")</f>
        <v xml:space="preserve"> </v>
      </c>
    </row>
    <row r="280" spans="2:4" x14ac:dyDescent="0.25">
      <c r="B280" s="6"/>
      <c r="C280" s="2" t="str">
        <f>IF(ISBLANK(Table3[[#This Row],[Investor]])," ",SUMIF(Entries[[Investor Name ]],Calculations!B280,Entries[Deposit Amount]))</f>
        <v xml:space="preserve"> </v>
      </c>
      <c r="D280" s="7" t="str" cm="1">
        <f t="array" aca="1" ref="D280" ca="1">IFERROR(C280 + SUM(Dashboard!J300:J1282)*Query17[Conversion Rate] * SUMPRODUCT((Entries[[Investor Name ]]=Calculations!B280) * (Entries[Deposit Amount]) *(Entries[Time in Fund(Days)]))/SUMPRODUCT(Entries[Deposit Amount],Entries[Time in Fund(Days)])," ")</f>
        <v xml:space="preserve"> </v>
      </c>
    </row>
    <row r="281" spans="2:4" x14ac:dyDescent="0.25">
      <c r="B281" s="6"/>
      <c r="C281" s="2" t="str">
        <f>IF(ISBLANK(Table3[[#This Row],[Investor]])," ",SUMIF(Entries[[Investor Name ]],Calculations!B281,Entries[Deposit Amount]))</f>
        <v xml:space="preserve"> </v>
      </c>
      <c r="D281" s="7" t="str" cm="1">
        <f t="array" aca="1" ref="D281" ca="1">IFERROR(C281 + SUM(Dashboard!J301:J1283)*Query17[Conversion Rate] * SUMPRODUCT((Entries[[Investor Name ]]=Calculations!B281) * (Entries[Deposit Amount]) *(Entries[Time in Fund(Days)]))/SUMPRODUCT(Entries[Deposit Amount],Entries[Time in Fund(Days)])," ")</f>
        <v xml:space="preserve"> </v>
      </c>
    </row>
    <row r="282" spans="2:4" x14ac:dyDescent="0.25">
      <c r="B282" s="6"/>
      <c r="C282" s="2" t="str">
        <f>IF(ISBLANK(Table3[[#This Row],[Investor]])," ",SUMIF(Entries[[Investor Name ]],Calculations!B282,Entries[Deposit Amount]))</f>
        <v xml:space="preserve"> </v>
      </c>
      <c r="D282" s="7" t="str" cm="1">
        <f t="array" aca="1" ref="D282" ca="1">IFERROR(C282 + SUM(Dashboard!J302:J1284)*Query17[Conversion Rate] * SUMPRODUCT((Entries[[Investor Name ]]=Calculations!B282) * (Entries[Deposit Amount]) *(Entries[Time in Fund(Days)]))/SUMPRODUCT(Entries[Deposit Amount],Entries[Time in Fund(Days)])," ")</f>
        <v xml:space="preserve"> </v>
      </c>
    </row>
    <row r="283" spans="2:4" x14ac:dyDescent="0.25">
      <c r="B283" s="6"/>
      <c r="C283" s="2" t="str">
        <f>IF(ISBLANK(Table3[[#This Row],[Investor]])," ",SUMIF(Entries[[Investor Name ]],Calculations!B283,Entries[Deposit Amount]))</f>
        <v xml:space="preserve"> </v>
      </c>
      <c r="D283" s="7" t="str" cm="1">
        <f t="array" aca="1" ref="D283" ca="1">IFERROR(C283 + SUM(Dashboard!J303:J1285)*Query17[Conversion Rate] * SUMPRODUCT((Entries[[Investor Name ]]=Calculations!B283) * (Entries[Deposit Amount]) *(Entries[Time in Fund(Days)]))/SUMPRODUCT(Entries[Deposit Amount],Entries[Time in Fund(Days)])," ")</f>
        <v xml:space="preserve"> </v>
      </c>
    </row>
    <row r="284" spans="2:4" x14ac:dyDescent="0.25">
      <c r="B284" s="6"/>
      <c r="C284" s="2" t="str">
        <f>IF(ISBLANK(Table3[[#This Row],[Investor]])," ",SUMIF(Entries[[Investor Name ]],Calculations!B284,Entries[Deposit Amount]))</f>
        <v xml:space="preserve"> </v>
      </c>
      <c r="D284" s="7" t="str" cm="1">
        <f t="array" aca="1" ref="D284" ca="1">IFERROR(C284 + SUM(Dashboard!J304:J1286)*Query17[Conversion Rate] * SUMPRODUCT((Entries[[Investor Name ]]=Calculations!B284) * (Entries[Deposit Amount]) *(Entries[Time in Fund(Days)]))/SUMPRODUCT(Entries[Deposit Amount],Entries[Time in Fund(Days)])," ")</f>
        <v xml:space="preserve"> </v>
      </c>
    </row>
    <row r="285" spans="2:4" x14ac:dyDescent="0.25">
      <c r="B285" s="6"/>
      <c r="C285" s="2" t="str">
        <f>IF(ISBLANK(Table3[[#This Row],[Investor]])," ",SUMIF(Entries[[Investor Name ]],Calculations!B285,Entries[Deposit Amount]))</f>
        <v xml:space="preserve"> </v>
      </c>
      <c r="D285" s="7" t="str" cm="1">
        <f t="array" aca="1" ref="D285" ca="1">IFERROR(C285 + SUM(Dashboard!J305:J1287)*Query17[Conversion Rate] * SUMPRODUCT((Entries[[Investor Name ]]=Calculations!B285) * (Entries[Deposit Amount]) *(Entries[Time in Fund(Days)]))/SUMPRODUCT(Entries[Deposit Amount],Entries[Time in Fund(Days)])," ")</f>
        <v xml:space="preserve"> </v>
      </c>
    </row>
    <row r="286" spans="2:4" x14ac:dyDescent="0.25">
      <c r="B286" s="6"/>
      <c r="C286" s="2" t="str">
        <f>IF(ISBLANK(Table3[[#This Row],[Investor]])," ",SUMIF(Entries[[Investor Name ]],Calculations!B286,Entries[Deposit Amount]))</f>
        <v xml:space="preserve"> </v>
      </c>
      <c r="D286" s="7" t="str" cm="1">
        <f t="array" aca="1" ref="D286" ca="1">IFERROR(C286 + SUM(Dashboard!J306:J1288)*Query17[Conversion Rate] * SUMPRODUCT((Entries[[Investor Name ]]=Calculations!B286) * (Entries[Deposit Amount]) *(Entries[Time in Fund(Days)]))/SUMPRODUCT(Entries[Deposit Amount],Entries[Time in Fund(Days)])," ")</f>
        <v xml:space="preserve"> </v>
      </c>
    </row>
    <row r="287" spans="2:4" x14ac:dyDescent="0.25">
      <c r="B287" s="6"/>
      <c r="C287" s="2" t="str">
        <f>IF(ISBLANK(Table3[[#This Row],[Investor]])," ",SUMIF(Entries[[Investor Name ]],Calculations!B287,Entries[Deposit Amount]))</f>
        <v xml:space="preserve"> </v>
      </c>
      <c r="D287" s="7" t="str" cm="1">
        <f t="array" aca="1" ref="D287" ca="1">IFERROR(C287 + SUM(Dashboard!J307:J1289)*Query17[Conversion Rate] * SUMPRODUCT((Entries[[Investor Name ]]=Calculations!B287) * (Entries[Deposit Amount]) *(Entries[Time in Fund(Days)]))/SUMPRODUCT(Entries[Deposit Amount],Entries[Time in Fund(Days)])," ")</f>
        <v xml:space="preserve"> </v>
      </c>
    </row>
    <row r="288" spans="2:4" x14ac:dyDescent="0.25">
      <c r="B288" s="6"/>
      <c r="C288" s="2" t="str">
        <f>IF(ISBLANK(Table3[[#This Row],[Investor]])," ",SUMIF(Entries[[Investor Name ]],Calculations!B288,Entries[Deposit Amount]))</f>
        <v xml:space="preserve"> </v>
      </c>
      <c r="D288" s="7" t="str" cm="1">
        <f t="array" aca="1" ref="D288" ca="1">IFERROR(C288 + SUM(Dashboard!J308:J1290)*Query17[Conversion Rate] * SUMPRODUCT((Entries[[Investor Name ]]=Calculations!B288) * (Entries[Deposit Amount]) *(Entries[Time in Fund(Days)]))/SUMPRODUCT(Entries[Deposit Amount],Entries[Time in Fund(Days)])," ")</f>
        <v xml:space="preserve"> </v>
      </c>
    </row>
    <row r="289" spans="2:4" x14ac:dyDescent="0.25">
      <c r="B289" s="6"/>
      <c r="C289" s="2" t="str">
        <f>IF(ISBLANK(Table3[[#This Row],[Investor]])," ",SUMIF(Entries[[Investor Name ]],Calculations!B289,Entries[Deposit Amount]))</f>
        <v xml:space="preserve"> </v>
      </c>
      <c r="D289" s="7" t="str" cm="1">
        <f t="array" aca="1" ref="D289" ca="1">IFERROR(C289 + SUM(Dashboard!J309:J1291)*Query17[Conversion Rate] * SUMPRODUCT((Entries[[Investor Name ]]=Calculations!B289) * (Entries[Deposit Amount]) *(Entries[Time in Fund(Days)]))/SUMPRODUCT(Entries[Deposit Amount],Entries[Time in Fund(Days)])," ")</f>
        <v xml:space="preserve"> </v>
      </c>
    </row>
    <row r="290" spans="2:4" x14ac:dyDescent="0.25">
      <c r="B290" s="6"/>
      <c r="C290" s="2" t="str">
        <f>IF(ISBLANK(Table3[[#This Row],[Investor]])," ",SUMIF(Entries[[Investor Name ]],Calculations!B290,Entries[Deposit Amount]))</f>
        <v xml:space="preserve"> </v>
      </c>
      <c r="D290" s="7" t="str" cm="1">
        <f t="array" aca="1" ref="D290" ca="1">IFERROR(C290 + SUM(Dashboard!J310:J1292)*Query17[Conversion Rate] * SUMPRODUCT((Entries[[Investor Name ]]=Calculations!B290) * (Entries[Deposit Amount]) *(Entries[Time in Fund(Days)]))/SUMPRODUCT(Entries[Deposit Amount],Entries[Time in Fund(Days)])," ")</f>
        <v xml:space="preserve"> </v>
      </c>
    </row>
    <row r="291" spans="2:4" x14ac:dyDescent="0.25">
      <c r="B291" s="6"/>
      <c r="C291" s="2" t="str">
        <f>IF(ISBLANK(Table3[[#This Row],[Investor]])," ",SUMIF(Entries[[Investor Name ]],Calculations!B291,Entries[Deposit Amount]))</f>
        <v xml:space="preserve"> </v>
      </c>
      <c r="D291" s="7" t="str" cm="1">
        <f t="array" aca="1" ref="D291" ca="1">IFERROR(C291 + SUM(Dashboard!J311:J1293)*Query17[Conversion Rate] * SUMPRODUCT((Entries[[Investor Name ]]=Calculations!B291) * (Entries[Deposit Amount]) *(Entries[Time in Fund(Days)]))/SUMPRODUCT(Entries[Deposit Amount],Entries[Time in Fund(Days)])," ")</f>
        <v xml:space="preserve"> </v>
      </c>
    </row>
    <row r="292" spans="2:4" x14ac:dyDescent="0.25">
      <c r="B292" s="6"/>
      <c r="C292" s="2" t="str">
        <f>IF(ISBLANK(Table3[[#This Row],[Investor]])," ",SUMIF(Entries[[Investor Name ]],Calculations!B292,Entries[Deposit Amount]))</f>
        <v xml:space="preserve"> </v>
      </c>
      <c r="D292" s="7" t="str" cm="1">
        <f t="array" aca="1" ref="D292" ca="1">IFERROR(C292 + SUM(Dashboard!J312:J1294)*Query17[Conversion Rate] * SUMPRODUCT((Entries[[Investor Name ]]=Calculations!B292) * (Entries[Deposit Amount]) *(Entries[Time in Fund(Days)]))/SUMPRODUCT(Entries[Deposit Amount],Entries[Time in Fund(Days)])," ")</f>
        <v xml:space="preserve"> </v>
      </c>
    </row>
    <row r="293" spans="2:4" x14ac:dyDescent="0.25">
      <c r="B293" s="6"/>
      <c r="C293" s="2" t="str">
        <f>IF(ISBLANK(Table3[[#This Row],[Investor]])," ",SUMIF(Entries[[Investor Name ]],Calculations!B293,Entries[Deposit Amount]))</f>
        <v xml:space="preserve"> </v>
      </c>
      <c r="D293" s="7" t="str" cm="1">
        <f t="array" aca="1" ref="D293" ca="1">IFERROR(C293 + SUM(Dashboard!J313:J1295)*Query17[Conversion Rate] * SUMPRODUCT((Entries[[Investor Name ]]=Calculations!B293) * (Entries[Deposit Amount]) *(Entries[Time in Fund(Days)]))/SUMPRODUCT(Entries[Deposit Amount],Entries[Time in Fund(Days)])," ")</f>
        <v xml:space="preserve"> </v>
      </c>
    </row>
    <row r="294" spans="2:4" x14ac:dyDescent="0.25">
      <c r="B294" s="6"/>
      <c r="C294" s="2" t="str">
        <f>IF(ISBLANK(Table3[[#This Row],[Investor]])," ",SUMIF(Entries[[Investor Name ]],Calculations!B294,Entries[Deposit Amount]))</f>
        <v xml:space="preserve"> </v>
      </c>
      <c r="D294" s="7" t="str" cm="1">
        <f t="array" aca="1" ref="D294" ca="1">IFERROR(C294 + SUM(Dashboard!J314:J1296)*Query17[Conversion Rate] * SUMPRODUCT((Entries[[Investor Name ]]=Calculations!B294) * (Entries[Deposit Amount]) *(Entries[Time in Fund(Days)]))/SUMPRODUCT(Entries[Deposit Amount],Entries[Time in Fund(Days)])," ")</f>
        <v xml:space="preserve"> </v>
      </c>
    </row>
    <row r="295" spans="2:4" x14ac:dyDescent="0.25">
      <c r="B295" s="6"/>
      <c r="C295" s="2" t="str">
        <f>IF(ISBLANK(Table3[[#This Row],[Investor]])," ",SUMIF(Entries[[Investor Name ]],Calculations!B295,Entries[Deposit Amount]))</f>
        <v xml:space="preserve"> </v>
      </c>
      <c r="D295" s="7" t="str" cm="1">
        <f t="array" aca="1" ref="D295" ca="1">IFERROR(C295 + SUM(Dashboard!J315:J1297)*Query17[Conversion Rate] * SUMPRODUCT((Entries[[Investor Name ]]=Calculations!B295) * (Entries[Deposit Amount]) *(Entries[Time in Fund(Days)]))/SUMPRODUCT(Entries[Deposit Amount],Entries[Time in Fund(Days)])," ")</f>
        <v xml:space="preserve"> </v>
      </c>
    </row>
    <row r="296" spans="2:4" x14ac:dyDescent="0.25">
      <c r="B296" s="6"/>
      <c r="C296" s="2" t="str">
        <f>IF(ISBLANK(Table3[[#This Row],[Investor]])," ",SUMIF(Entries[[Investor Name ]],Calculations!B296,Entries[Deposit Amount]))</f>
        <v xml:space="preserve"> </v>
      </c>
      <c r="D296" s="7" t="str" cm="1">
        <f t="array" aca="1" ref="D296" ca="1">IFERROR(C296 + SUM(Dashboard!J316:J1298)*Query17[Conversion Rate] * SUMPRODUCT((Entries[[Investor Name ]]=Calculations!B296) * (Entries[Deposit Amount]) *(Entries[Time in Fund(Days)]))/SUMPRODUCT(Entries[Deposit Amount],Entries[Time in Fund(Days)])," ")</f>
        <v xml:space="preserve"> </v>
      </c>
    </row>
    <row r="297" spans="2:4" x14ac:dyDescent="0.25">
      <c r="B297" s="6"/>
      <c r="C297" s="2" t="str">
        <f>IF(ISBLANK(Table3[[#This Row],[Investor]])," ",SUMIF(Entries[[Investor Name ]],Calculations!B297,Entries[Deposit Amount]))</f>
        <v xml:space="preserve"> </v>
      </c>
      <c r="D297" s="7" t="str" cm="1">
        <f t="array" aca="1" ref="D297" ca="1">IFERROR(C297 + SUM(Dashboard!J317:J1299)*Query17[Conversion Rate] * SUMPRODUCT((Entries[[Investor Name ]]=Calculations!B297) * (Entries[Deposit Amount]) *(Entries[Time in Fund(Days)]))/SUMPRODUCT(Entries[Deposit Amount],Entries[Time in Fund(Days)])," ")</f>
        <v xml:space="preserve"> </v>
      </c>
    </row>
    <row r="298" spans="2:4" x14ac:dyDescent="0.25">
      <c r="B298" s="6"/>
      <c r="C298" s="2" t="str">
        <f>IF(ISBLANK(Table3[[#This Row],[Investor]])," ",SUMIF(Entries[[Investor Name ]],Calculations!B298,Entries[Deposit Amount]))</f>
        <v xml:space="preserve"> </v>
      </c>
      <c r="D298" s="7" t="str" cm="1">
        <f t="array" aca="1" ref="D298" ca="1">IFERROR(C298 + SUM(Dashboard!J318:J1300)*Query17[Conversion Rate] * SUMPRODUCT((Entries[[Investor Name ]]=Calculations!B298) * (Entries[Deposit Amount]) *(Entries[Time in Fund(Days)]))/SUMPRODUCT(Entries[Deposit Amount],Entries[Time in Fund(Days)])," ")</f>
        <v xml:space="preserve"> </v>
      </c>
    </row>
    <row r="299" spans="2:4" x14ac:dyDescent="0.25">
      <c r="B299" s="6"/>
      <c r="C299" s="2" t="str">
        <f>IF(ISBLANK(Table3[[#This Row],[Investor]])," ",SUMIF(Entries[[Investor Name ]],Calculations!B299,Entries[Deposit Amount]))</f>
        <v xml:space="preserve"> </v>
      </c>
      <c r="D299" s="7" t="str" cm="1">
        <f t="array" aca="1" ref="D299" ca="1">IFERROR(C299 + SUM(Dashboard!J319:J1301)*Query17[Conversion Rate] * SUMPRODUCT((Entries[[Investor Name ]]=Calculations!B299) * (Entries[Deposit Amount]) *(Entries[Time in Fund(Days)]))/SUMPRODUCT(Entries[Deposit Amount],Entries[Time in Fund(Days)])," ")</f>
        <v xml:space="preserve"> </v>
      </c>
    </row>
    <row r="300" spans="2:4" x14ac:dyDescent="0.25">
      <c r="B300" s="6"/>
      <c r="C300" s="2" t="str">
        <f>IF(ISBLANK(Table3[[#This Row],[Investor]])," ",SUMIF(Entries[[Investor Name ]],Calculations!B300,Entries[Deposit Amount]))</f>
        <v xml:space="preserve"> </v>
      </c>
      <c r="D300" s="7" t="str" cm="1">
        <f t="array" aca="1" ref="D300" ca="1">IFERROR(C300 + SUM(Dashboard!J320:J1302)*Query17[Conversion Rate] * SUMPRODUCT((Entries[[Investor Name ]]=Calculations!B300) * (Entries[Deposit Amount]) *(Entries[Time in Fund(Days)]))/SUMPRODUCT(Entries[Deposit Amount],Entries[Time in Fund(Days)])," ")</f>
        <v xml:space="preserve"> </v>
      </c>
    </row>
    <row r="301" spans="2:4" x14ac:dyDescent="0.25">
      <c r="B301" s="6"/>
      <c r="C301" s="2" t="str">
        <f>IF(ISBLANK(Table3[[#This Row],[Investor]])," ",SUMIF(Entries[[Investor Name ]],Calculations!B301,Entries[Deposit Amount]))</f>
        <v xml:space="preserve"> </v>
      </c>
      <c r="D301" s="7" t="str" cm="1">
        <f t="array" aca="1" ref="D301" ca="1">IFERROR(C301 + SUM(Dashboard!J321:J1303)*Query17[Conversion Rate] * SUMPRODUCT((Entries[[Investor Name ]]=Calculations!B301) * (Entries[Deposit Amount]) *(Entries[Time in Fund(Days)]))/SUMPRODUCT(Entries[Deposit Amount],Entries[Time in Fund(Days)])," ")</f>
        <v xml:space="preserve"> </v>
      </c>
    </row>
    <row r="302" spans="2:4" x14ac:dyDescent="0.25">
      <c r="B302" s="6"/>
      <c r="C302" s="2" t="str">
        <f>IF(ISBLANK(Table3[[#This Row],[Investor]])," ",SUMIF(Entries[[Investor Name ]],Calculations!B302,Entries[Deposit Amount]))</f>
        <v xml:space="preserve"> </v>
      </c>
      <c r="D302" s="7" t="str" cm="1">
        <f t="array" aca="1" ref="D302" ca="1">IFERROR(C302 + SUM(Dashboard!J322:J1304)*Query17[Conversion Rate] * SUMPRODUCT((Entries[[Investor Name ]]=Calculations!B302) * (Entries[Deposit Amount]) *(Entries[Time in Fund(Days)]))/SUMPRODUCT(Entries[Deposit Amount],Entries[Time in Fund(Days)])," ")</f>
        <v xml:space="preserve"> </v>
      </c>
    </row>
    <row r="303" spans="2:4" x14ac:dyDescent="0.25">
      <c r="B303" s="6"/>
      <c r="C303" s="2" t="str">
        <f>IF(ISBLANK(Table3[[#This Row],[Investor]])," ",SUMIF(Entries[[Investor Name ]],Calculations!B303,Entries[Deposit Amount]))</f>
        <v xml:space="preserve"> </v>
      </c>
      <c r="D303" s="7" t="str" cm="1">
        <f t="array" aca="1" ref="D303" ca="1">IFERROR(C303 + SUM(Dashboard!J323:J1305)*Query17[Conversion Rate] * SUMPRODUCT((Entries[[Investor Name ]]=Calculations!B303) * (Entries[Deposit Amount]) *(Entries[Time in Fund(Days)]))/SUMPRODUCT(Entries[Deposit Amount],Entries[Time in Fund(Days)])," ")</f>
        <v xml:space="preserve"> </v>
      </c>
    </row>
    <row r="304" spans="2:4" x14ac:dyDescent="0.25">
      <c r="B304" s="6"/>
      <c r="C304" s="2" t="str">
        <f>IF(ISBLANK(Table3[[#This Row],[Investor]])," ",SUMIF(Entries[[Investor Name ]],Calculations!B304,Entries[Deposit Amount]))</f>
        <v xml:space="preserve"> </v>
      </c>
      <c r="D304" s="7" t="str" cm="1">
        <f t="array" aca="1" ref="D304" ca="1">IFERROR(C304 + SUM(Dashboard!J324:J1306)*Query17[Conversion Rate] * SUMPRODUCT((Entries[[Investor Name ]]=Calculations!B304) * (Entries[Deposit Amount]) *(Entries[Time in Fund(Days)]))/SUMPRODUCT(Entries[Deposit Amount],Entries[Time in Fund(Days)])," ")</f>
        <v xml:space="preserve"> </v>
      </c>
    </row>
    <row r="305" spans="2:4" x14ac:dyDescent="0.25">
      <c r="B305" s="6"/>
      <c r="C305" s="2" t="str">
        <f>IF(ISBLANK(Table3[[#This Row],[Investor]])," ",SUMIF(Entries[[Investor Name ]],Calculations!B305,Entries[Deposit Amount]))</f>
        <v xml:space="preserve"> </v>
      </c>
      <c r="D305" s="7" t="str" cm="1">
        <f t="array" aca="1" ref="D305" ca="1">IFERROR(C305 + SUM(Dashboard!J325:J1307)*Query17[Conversion Rate] * SUMPRODUCT((Entries[[Investor Name ]]=Calculations!B305) * (Entries[Deposit Amount]) *(Entries[Time in Fund(Days)]))/SUMPRODUCT(Entries[Deposit Amount],Entries[Time in Fund(Days)])," ")</f>
        <v xml:space="preserve"> </v>
      </c>
    </row>
    <row r="306" spans="2:4" x14ac:dyDescent="0.25">
      <c r="B306" s="6"/>
      <c r="C306" s="2" t="str">
        <f>IF(ISBLANK(Table3[[#This Row],[Investor]])," ",SUMIF(Entries[[Investor Name ]],Calculations!B306,Entries[Deposit Amount]))</f>
        <v xml:space="preserve"> </v>
      </c>
      <c r="D306" s="7" t="str" cm="1">
        <f t="array" aca="1" ref="D306" ca="1">IFERROR(C306 + SUM(Dashboard!J326:J1308)*Query17[Conversion Rate] * SUMPRODUCT((Entries[[Investor Name ]]=Calculations!B306) * (Entries[Deposit Amount]) *(Entries[Time in Fund(Days)]))/SUMPRODUCT(Entries[Deposit Amount],Entries[Time in Fund(Days)])," ")</f>
        <v xml:space="preserve"> </v>
      </c>
    </row>
    <row r="307" spans="2:4" x14ac:dyDescent="0.25">
      <c r="B307" s="6"/>
      <c r="C307" s="2" t="str">
        <f>IF(ISBLANK(Table3[[#This Row],[Investor]])," ",SUMIF(Entries[[Investor Name ]],Calculations!B307,Entries[Deposit Amount]))</f>
        <v xml:space="preserve"> </v>
      </c>
      <c r="D307" s="7" t="str" cm="1">
        <f t="array" aca="1" ref="D307" ca="1">IFERROR(C307 + SUM(Dashboard!J327:J1309)*Query17[Conversion Rate] * SUMPRODUCT((Entries[[Investor Name ]]=Calculations!B307) * (Entries[Deposit Amount]) *(Entries[Time in Fund(Days)]))/SUMPRODUCT(Entries[Deposit Amount],Entries[Time in Fund(Days)])," ")</f>
        <v xml:space="preserve"> </v>
      </c>
    </row>
    <row r="308" spans="2:4" x14ac:dyDescent="0.25">
      <c r="B308" s="6"/>
      <c r="C308" s="2" t="str">
        <f>IF(ISBLANK(Table3[[#This Row],[Investor]])," ",SUMIF(Entries[[Investor Name ]],Calculations!B308,Entries[Deposit Amount]))</f>
        <v xml:space="preserve"> </v>
      </c>
      <c r="D308" s="7" t="str" cm="1">
        <f t="array" aca="1" ref="D308" ca="1">IFERROR(C308 + SUM(Dashboard!J328:J1310)*Query17[Conversion Rate] * SUMPRODUCT((Entries[[Investor Name ]]=Calculations!B308) * (Entries[Deposit Amount]) *(Entries[Time in Fund(Days)]))/SUMPRODUCT(Entries[Deposit Amount],Entries[Time in Fund(Days)])," ")</f>
        <v xml:space="preserve"> </v>
      </c>
    </row>
    <row r="309" spans="2:4" x14ac:dyDescent="0.25">
      <c r="B309" s="6"/>
      <c r="C309" s="2" t="str">
        <f>IF(ISBLANK(Table3[[#This Row],[Investor]])," ",SUMIF(Entries[[Investor Name ]],Calculations!B309,Entries[Deposit Amount]))</f>
        <v xml:space="preserve"> </v>
      </c>
      <c r="D309" s="7" t="str" cm="1">
        <f t="array" aca="1" ref="D309" ca="1">IFERROR(C309 + SUM(Dashboard!J329:J1311)*Query17[Conversion Rate] * SUMPRODUCT((Entries[[Investor Name ]]=Calculations!B309) * (Entries[Deposit Amount]) *(Entries[Time in Fund(Days)]))/SUMPRODUCT(Entries[Deposit Amount],Entries[Time in Fund(Days)])," ")</f>
        <v xml:space="preserve"> </v>
      </c>
    </row>
    <row r="310" spans="2:4" x14ac:dyDescent="0.25">
      <c r="B310" s="6"/>
      <c r="C310" s="2" t="str">
        <f>IF(ISBLANK(Table3[[#This Row],[Investor]])," ",SUMIF(Entries[[Investor Name ]],Calculations!B310,Entries[Deposit Amount]))</f>
        <v xml:space="preserve"> </v>
      </c>
      <c r="D310" s="7" t="str" cm="1">
        <f t="array" aca="1" ref="D310" ca="1">IFERROR(C310 + SUM(Dashboard!J330:J1312)*Query17[Conversion Rate] * SUMPRODUCT((Entries[[Investor Name ]]=Calculations!B310) * (Entries[Deposit Amount]) *(Entries[Time in Fund(Days)]))/SUMPRODUCT(Entries[Deposit Amount],Entries[Time in Fund(Days)])," ")</f>
        <v xml:space="preserve"> </v>
      </c>
    </row>
    <row r="311" spans="2:4" x14ac:dyDescent="0.25">
      <c r="B311" s="6"/>
      <c r="C311" s="2" t="str">
        <f>IF(ISBLANK(Table3[[#This Row],[Investor]])," ",SUMIF(Entries[[Investor Name ]],Calculations!B311,Entries[Deposit Amount]))</f>
        <v xml:space="preserve"> </v>
      </c>
      <c r="D311" s="7" t="str" cm="1">
        <f t="array" aca="1" ref="D311" ca="1">IFERROR(C311 + SUM(Dashboard!J331:J1313)*Query17[Conversion Rate] * SUMPRODUCT((Entries[[Investor Name ]]=Calculations!B311) * (Entries[Deposit Amount]) *(Entries[Time in Fund(Days)]))/SUMPRODUCT(Entries[Deposit Amount],Entries[Time in Fund(Days)])," ")</f>
        <v xml:space="preserve"> </v>
      </c>
    </row>
    <row r="312" spans="2:4" x14ac:dyDescent="0.25">
      <c r="B312" s="6"/>
      <c r="C312" s="2" t="str">
        <f>IF(ISBLANK(Table3[[#This Row],[Investor]])," ",SUMIF(Entries[[Investor Name ]],Calculations!B312,Entries[Deposit Amount]))</f>
        <v xml:space="preserve"> </v>
      </c>
      <c r="D312" s="7" t="str" cm="1">
        <f t="array" aca="1" ref="D312" ca="1">IFERROR(C312 + SUM(Dashboard!J332:J1314)*Query17[Conversion Rate] * SUMPRODUCT((Entries[[Investor Name ]]=Calculations!B312) * (Entries[Deposit Amount]) *(Entries[Time in Fund(Days)]))/SUMPRODUCT(Entries[Deposit Amount],Entries[Time in Fund(Days)])," ")</f>
        <v xml:space="preserve"> </v>
      </c>
    </row>
    <row r="313" spans="2:4" x14ac:dyDescent="0.25">
      <c r="B313" s="6"/>
      <c r="C313" s="2" t="str">
        <f>IF(ISBLANK(Table3[[#This Row],[Investor]])," ",SUMIF(Entries[[Investor Name ]],Calculations!B313,Entries[Deposit Amount]))</f>
        <v xml:space="preserve"> </v>
      </c>
      <c r="D313" s="7" t="str" cm="1">
        <f t="array" aca="1" ref="D313" ca="1">IFERROR(C313 + SUM(Dashboard!J333:J1315)*Query17[Conversion Rate] * SUMPRODUCT((Entries[[Investor Name ]]=Calculations!B313) * (Entries[Deposit Amount]) *(Entries[Time in Fund(Days)]))/SUMPRODUCT(Entries[Deposit Amount],Entries[Time in Fund(Days)])," ")</f>
        <v xml:space="preserve"> </v>
      </c>
    </row>
    <row r="314" spans="2:4" x14ac:dyDescent="0.25">
      <c r="B314" s="6"/>
      <c r="C314" s="2" t="str">
        <f>IF(ISBLANK(Table3[[#This Row],[Investor]])," ",SUMIF(Entries[[Investor Name ]],Calculations!B314,Entries[Deposit Amount]))</f>
        <v xml:space="preserve"> </v>
      </c>
      <c r="D314" s="7" t="str" cm="1">
        <f t="array" aca="1" ref="D314" ca="1">IFERROR(C314 + SUM(Dashboard!J334:J1316)*Query17[Conversion Rate] * SUMPRODUCT((Entries[[Investor Name ]]=Calculations!B314) * (Entries[Deposit Amount]) *(Entries[Time in Fund(Days)]))/SUMPRODUCT(Entries[Deposit Amount],Entries[Time in Fund(Days)])," ")</f>
        <v xml:space="preserve"> </v>
      </c>
    </row>
    <row r="315" spans="2:4" x14ac:dyDescent="0.25">
      <c r="B315" s="6"/>
      <c r="C315" s="2" t="str">
        <f>IF(ISBLANK(Table3[[#This Row],[Investor]])," ",SUMIF(Entries[[Investor Name ]],Calculations!B315,Entries[Deposit Amount]))</f>
        <v xml:space="preserve"> </v>
      </c>
      <c r="D315" s="7" t="str" cm="1">
        <f t="array" aca="1" ref="D315" ca="1">IFERROR(C315 + SUM(Dashboard!J335:J1317)*Query17[Conversion Rate] * SUMPRODUCT((Entries[[Investor Name ]]=Calculations!B315) * (Entries[Deposit Amount]) *(Entries[Time in Fund(Days)]))/SUMPRODUCT(Entries[Deposit Amount],Entries[Time in Fund(Days)])," ")</f>
        <v xml:space="preserve"> </v>
      </c>
    </row>
    <row r="316" spans="2:4" x14ac:dyDescent="0.25">
      <c r="B316" s="6"/>
      <c r="C316" s="2" t="str">
        <f>IF(ISBLANK(Table3[[#This Row],[Investor]])," ",SUMIF(Entries[[Investor Name ]],Calculations!B316,Entries[Deposit Amount]))</f>
        <v xml:space="preserve"> </v>
      </c>
      <c r="D316" s="7" t="str" cm="1">
        <f t="array" aca="1" ref="D316" ca="1">IFERROR(C316 + SUM(Dashboard!J336:J1318)*Query17[Conversion Rate] * SUMPRODUCT((Entries[[Investor Name ]]=Calculations!B316) * (Entries[Deposit Amount]) *(Entries[Time in Fund(Days)]))/SUMPRODUCT(Entries[Deposit Amount],Entries[Time in Fund(Days)])," ")</f>
        <v xml:space="preserve"> </v>
      </c>
    </row>
    <row r="317" spans="2:4" x14ac:dyDescent="0.25">
      <c r="B317" s="6"/>
      <c r="C317" s="2" t="str">
        <f>IF(ISBLANK(Table3[[#This Row],[Investor]])," ",SUMIF(Entries[[Investor Name ]],Calculations!B317,Entries[Deposit Amount]))</f>
        <v xml:space="preserve"> </v>
      </c>
      <c r="D317" s="7" t="str" cm="1">
        <f t="array" aca="1" ref="D317" ca="1">IFERROR(C317 + SUM(Dashboard!J337:J1319)*Query17[Conversion Rate] * SUMPRODUCT((Entries[[Investor Name ]]=Calculations!B317) * (Entries[Deposit Amount]) *(Entries[Time in Fund(Days)]))/SUMPRODUCT(Entries[Deposit Amount],Entries[Time in Fund(Days)])," ")</f>
        <v xml:space="preserve"> </v>
      </c>
    </row>
    <row r="318" spans="2:4" x14ac:dyDescent="0.25">
      <c r="B318" s="6"/>
      <c r="C318" s="2" t="str">
        <f>IF(ISBLANK(Table3[[#This Row],[Investor]])," ",SUMIF(Entries[[Investor Name ]],Calculations!B318,Entries[Deposit Amount]))</f>
        <v xml:space="preserve"> </v>
      </c>
      <c r="D318" s="7" t="str" cm="1">
        <f t="array" aca="1" ref="D318" ca="1">IFERROR(C318 + SUM(Dashboard!J338:J1320)*Query17[Conversion Rate] * SUMPRODUCT((Entries[[Investor Name ]]=Calculations!B318) * (Entries[Deposit Amount]) *(Entries[Time in Fund(Days)]))/SUMPRODUCT(Entries[Deposit Amount],Entries[Time in Fund(Days)])," ")</f>
        <v xml:space="preserve"> </v>
      </c>
    </row>
    <row r="319" spans="2:4" x14ac:dyDescent="0.25">
      <c r="B319" s="6"/>
      <c r="C319" s="2" t="str">
        <f>IF(ISBLANK(Table3[[#This Row],[Investor]])," ",SUMIF(Entries[[Investor Name ]],Calculations!B319,Entries[Deposit Amount]))</f>
        <v xml:space="preserve"> </v>
      </c>
      <c r="D319" s="7" t="str" cm="1">
        <f t="array" aca="1" ref="D319" ca="1">IFERROR(C319 + SUM(Dashboard!J339:J1321)*Query17[Conversion Rate] * SUMPRODUCT((Entries[[Investor Name ]]=Calculations!B319) * (Entries[Deposit Amount]) *(Entries[Time in Fund(Days)]))/SUMPRODUCT(Entries[Deposit Amount],Entries[Time in Fund(Days)])," ")</f>
        <v xml:space="preserve"> </v>
      </c>
    </row>
    <row r="320" spans="2:4" x14ac:dyDescent="0.25">
      <c r="B320" s="6"/>
      <c r="C320" s="2" t="str">
        <f>IF(ISBLANK(Table3[[#This Row],[Investor]])," ",SUMIF(Entries[[Investor Name ]],Calculations!B320,Entries[Deposit Amount]))</f>
        <v xml:space="preserve"> </v>
      </c>
      <c r="D320" s="7" t="str" cm="1">
        <f t="array" aca="1" ref="D320" ca="1">IFERROR(C320 + SUM(Dashboard!J340:J1322)*Query17[Conversion Rate] * SUMPRODUCT((Entries[[Investor Name ]]=Calculations!B320) * (Entries[Deposit Amount]) *(Entries[Time in Fund(Days)]))/SUMPRODUCT(Entries[Deposit Amount],Entries[Time in Fund(Days)])," ")</f>
        <v xml:space="preserve"> </v>
      </c>
    </row>
    <row r="321" spans="2:4" x14ac:dyDescent="0.25">
      <c r="B321" s="6"/>
      <c r="C321" s="2" t="str">
        <f>IF(ISBLANK(Table3[[#This Row],[Investor]])," ",SUMIF(Entries[[Investor Name ]],Calculations!B321,Entries[Deposit Amount]))</f>
        <v xml:space="preserve"> </v>
      </c>
      <c r="D321" s="7" t="str" cm="1">
        <f t="array" aca="1" ref="D321" ca="1">IFERROR(C321 + SUM(Dashboard!J341:J1323)*Query17[Conversion Rate] * SUMPRODUCT((Entries[[Investor Name ]]=Calculations!B321) * (Entries[Deposit Amount]) *(Entries[Time in Fund(Days)]))/SUMPRODUCT(Entries[Deposit Amount],Entries[Time in Fund(Days)])," ")</f>
        <v xml:space="preserve"> </v>
      </c>
    </row>
    <row r="322" spans="2:4" x14ac:dyDescent="0.25">
      <c r="B322" s="6"/>
      <c r="C322" s="2" t="str">
        <f>IF(ISBLANK(Table3[[#This Row],[Investor]])," ",SUMIF(Entries[[Investor Name ]],Calculations!B322,Entries[Deposit Amount]))</f>
        <v xml:space="preserve"> </v>
      </c>
      <c r="D322" s="7" t="str" cm="1">
        <f t="array" aca="1" ref="D322" ca="1">IFERROR(C322 + SUM(Dashboard!J342:J1324)*Query17[Conversion Rate] * SUMPRODUCT((Entries[[Investor Name ]]=Calculations!B322) * (Entries[Deposit Amount]) *(Entries[Time in Fund(Days)]))/SUMPRODUCT(Entries[Deposit Amount],Entries[Time in Fund(Days)])," ")</f>
        <v xml:space="preserve"> </v>
      </c>
    </row>
    <row r="323" spans="2:4" x14ac:dyDescent="0.25">
      <c r="B323" s="6"/>
      <c r="C323" s="2" t="str">
        <f>IF(ISBLANK(Table3[[#This Row],[Investor]])," ",SUMIF(Entries[[Investor Name ]],Calculations!B323,Entries[Deposit Amount]))</f>
        <v xml:space="preserve"> </v>
      </c>
      <c r="D323" s="7" t="str" cm="1">
        <f t="array" aca="1" ref="D323" ca="1">IFERROR(C323 + SUM(Dashboard!J343:J1325)*Query17[Conversion Rate] * SUMPRODUCT((Entries[[Investor Name ]]=Calculations!B323) * (Entries[Deposit Amount]) *(Entries[Time in Fund(Days)]))/SUMPRODUCT(Entries[Deposit Amount],Entries[Time in Fund(Days)])," ")</f>
        <v xml:space="preserve"> </v>
      </c>
    </row>
    <row r="324" spans="2:4" x14ac:dyDescent="0.25">
      <c r="B324" s="6"/>
      <c r="C324" s="2" t="str">
        <f>IF(ISBLANK(Table3[[#This Row],[Investor]])," ",SUMIF(Entries[[Investor Name ]],Calculations!B324,Entries[Deposit Amount]))</f>
        <v xml:space="preserve"> </v>
      </c>
      <c r="D324" s="7" t="str" cm="1">
        <f t="array" aca="1" ref="D324" ca="1">IFERROR(C324 + SUM(Dashboard!J344:J1326)*Query17[Conversion Rate] * SUMPRODUCT((Entries[[Investor Name ]]=Calculations!B324) * (Entries[Deposit Amount]) *(Entries[Time in Fund(Days)]))/SUMPRODUCT(Entries[Deposit Amount],Entries[Time in Fund(Days)])," ")</f>
        <v xml:space="preserve"> </v>
      </c>
    </row>
    <row r="325" spans="2:4" x14ac:dyDescent="0.25">
      <c r="B325" s="6"/>
      <c r="C325" s="2" t="str">
        <f>IF(ISBLANK(Table3[[#This Row],[Investor]])," ",SUMIF(Entries[[Investor Name ]],Calculations!B325,Entries[Deposit Amount]))</f>
        <v xml:space="preserve"> </v>
      </c>
      <c r="D325" s="7" t="str" cm="1">
        <f t="array" aca="1" ref="D325" ca="1">IFERROR(C325 + SUM(Dashboard!J345:J1327)*Query17[Conversion Rate] * SUMPRODUCT((Entries[[Investor Name ]]=Calculations!B325) * (Entries[Deposit Amount]) *(Entries[Time in Fund(Days)]))/SUMPRODUCT(Entries[Deposit Amount],Entries[Time in Fund(Days)])," ")</f>
        <v xml:space="preserve"> </v>
      </c>
    </row>
    <row r="326" spans="2:4" x14ac:dyDescent="0.25">
      <c r="B326" s="6"/>
      <c r="C326" s="2" t="str">
        <f>IF(ISBLANK(Table3[[#This Row],[Investor]])," ",SUMIF(Entries[[Investor Name ]],Calculations!B326,Entries[Deposit Amount]))</f>
        <v xml:space="preserve"> </v>
      </c>
      <c r="D326" s="7" t="str" cm="1">
        <f t="array" aca="1" ref="D326" ca="1">IFERROR(C326 + SUM(Dashboard!J346:J1328)*Query17[Conversion Rate] * SUMPRODUCT((Entries[[Investor Name ]]=Calculations!B326) * (Entries[Deposit Amount]) *(Entries[Time in Fund(Days)]))/SUMPRODUCT(Entries[Deposit Amount],Entries[Time in Fund(Days)])," ")</f>
        <v xml:space="preserve"> </v>
      </c>
    </row>
    <row r="327" spans="2:4" x14ac:dyDescent="0.25">
      <c r="B327" s="6"/>
      <c r="C327" s="2" t="str">
        <f>IF(ISBLANK(Table3[[#This Row],[Investor]])," ",SUMIF(Entries[[Investor Name ]],Calculations!B327,Entries[Deposit Amount]))</f>
        <v xml:space="preserve"> </v>
      </c>
      <c r="D327" s="7" t="str" cm="1">
        <f t="array" aca="1" ref="D327" ca="1">IFERROR(C327 + SUM(Dashboard!J347:J1329)*Query17[Conversion Rate] * SUMPRODUCT((Entries[[Investor Name ]]=Calculations!B327) * (Entries[Deposit Amount]) *(Entries[Time in Fund(Days)]))/SUMPRODUCT(Entries[Deposit Amount],Entries[Time in Fund(Days)])," ")</f>
        <v xml:space="preserve"> </v>
      </c>
    </row>
    <row r="328" spans="2:4" x14ac:dyDescent="0.25">
      <c r="B328" s="6"/>
      <c r="C328" s="2" t="str">
        <f>IF(ISBLANK(Table3[[#This Row],[Investor]])," ",SUMIF(Entries[[Investor Name ]],Calculations!B328,Entries[Deposit Amount]))</f>
        <v xml:space="preserve"> </v>
      </c>
      <c r="D328" s="7" t="str" cm="1">
        <f t="array" aca="1" ref="D328" ca="1">IFERROR(C328 + SUM(Dashboard!J348:J1330)*Query17[Conversion Rate] * SUMPRODUCT((Entries[[Investor Name ]]=Calculations!B328) * (Entries[Deposit Amount]) *(Entries[Time in Fund(Days)]))/SUMPRODUCT(Entries[Deposit Amount],Entries[Time in Fund(Days)])," ")</f>
        <v xml:space="preserve"> </v>
      </c>
    </row>
    <row r="329" spans="2:4" x14ac:dyDescent="0.25">
      <c r="B329" s="6"/>
      <c r="C329" s="2" t="str">
        <f>IF(ISBLANK(Table3[[#This Row],[Investor]])," ",SUMIF(Entries[[Investor Name ]],Calculations!B329,Entries[Deposit Amount]))</f>
        <v xml:space="preserve"> </v>
      </c>
      <c r="D329" s="7" t="str" cm="1">
        <f t="array" aca="1" ref="D329" ca="1">IFERROR(C329 + SUM(Dashboard!J349:J1331)*Query17[Conversion Rate] * SUMPRODUCT((Entries[[Investor Name ]]=Calculations!B329) * (Entries[Deposit Amount]) *(Entries[Time in Fund(Days)]))/SUMPRODUCT(Entries[Deposit Amount],Entries[Time in Fund(Days)])," ")</f>
        <v xml:space="preserve"> </v>
      </c>
    </row>
    <row r="330" spans="2:4" x14ac:dyDescent="0.25">
      <c r="B330" s="6"/>
      <c r="C330" s="2" t="str">
        <f>IF(ISBLANK(Table3[[#This Row],[Investor]])," ",SUMIF(Entries[[Investor Name ]],Calculations!B330,Entries[Deposit Amount]))</f>
        <v xml:space="preserve"> </v>
      </c>
      <c r="D330" s="7" t="str" cm="1">
        <f t="array" aca="1" ref="D330" ca="1">IFERROR(C330 + SUM(Dashboard!J350:J1332)*Query17[Conversion Rate] * SUMPRODUCT((Entries[[Investor Name ]]=Calculations!B330) * (Entries[Deposit Amount]) *(Entries[Time in Fund(Days)]))/SUMPRODUCT(Entries[Deposit Amount],Entries[Time in Fund(Days)])," ")</f>
        <v xml:space="preserve"> </v>
      </c>
    </row>
    <row r="331" spans="2:4" x14ac:dyDescent="0.25">
      <c r="B331" s="6"/>
      <c r="C331" s="2" t="str">
        <f>IF(ISBLANK(Table3[[#This Row],[Investor]])," ",SUMIF(Entries[[Investor Name ]],Calculations!B331,Entries[Deposit Amount]))</f>
        <v xml:space="preserve"> </v>
      </c>
      <c r="D331" s="7" t="str" cm="1">
        <f t="array" aca="1" ref="D331" ca="1">IFERROR(C331 + SUM(Dashboard!J351:J1333)*Query17[Conversion Rate] * SUMPRODUCT((Entries[[Investor Name ]]=Calculations!B331) * (Entries[Deposit Amount]) *(Entries[Time in Fund(Days)]))/SUMPRODUCT(Entries[Deposit Amount],Entries[Time in Fund(Days)])," ")</f>
        <v xml:space="preserve"> </v>
      </c>
    </row>
    <row r="332" spans="2:4" x14ac:dyDescent="0.25">
      <c r="B332" s="6"/>
      <c r="C332" s="2" t="str">
        <f>IF(ISBLANK(Table3[[#This Row],[Investor]])," ",SUMIF(Entries[[Investor Name ]],Calculations!B332,Entries[Deposit Amount]))</f>
        <v xml:space="preserve"> </v>
      </c>
      <c r="D332" s="7" t="str" cm="1">
        <f t="array" aca="1" ref="D332" ca="1">IFERROR(C332 + SUM(Dashboard!J352:J1334)*Query17[Conversion Rate] * SUMPRODUCT((Entries[[Investor Name ]]=Calculations!B332) * (Entries[Deposit Amount]) *(Entries[Time in Fund(Days)]))/SUMPRODUCT(Entries[Deposit Amount],Entries[Time in Fund(Days)])," ")</f>
        <v xml:space="preserve"> </v>
      </c>
    </row>
    <row r="333" spans="2:4" x14ac:dyDescent="0.25">
      <c r="B333" s="6"/>
      <c r="C333" s="2" t="str">
        <f>IF(ISBLANK(Table3[[#This Row],[Investor]])," ",SUMIF(Entries[[Investor Name ]],Calculations!B333,Entries[Deposit Amount]))</f>
        <v xml:space="preserve"> </v>
      </c>
      <c r="D333" s="7" t="str" cm="1">
        <f t="array" aca="1" ref="D333" ca="1">IFERROR(C333 + SUM(Dashboard!J353:J1335)*Query17[Conversion Rate] * SUMPRODUCT((Entries[[Investor Name ]]=Calculations!B333) * (Entries[Deposit Amount]) *(Entries[Time in Fund(Days)]))/SUMPRODUCT(Entries[Deposit Amount],Entries[Time in Fund(Days)])," ")</f>
        <v xml:space="preserve"> </v>
      </c>
    </row>
    <row r="334" spans="2:4" x14ac:dyDescent="0.25">
      <c r="B334" s="6"/>
      <c r="C334" s="2" t="str">
        <f>IF(ISBLANK(Table3[[#This Row],[Investor]])," ",SUMIF(Entries[[Investor Name ]],Calculations!B334,Entries[Deposit Amount]))</f>
        <v xml:space="preserve"> </v>
      </c>
      <c r="D334" s="7" t="str" cm="1">
        <f t="array" aca="1" ref="D334" ca="1">IFERROR(C334 + SUM(Dashboard!J354:J1336)*Query17[Conversion Rate] * SUMPRODUCT((Entries[[Investor Name ]]=Calculations!B334) * (Entries[Deposit Amount]) *(Entries[Time in Fund(Days)]))/SUMPRODUCT(Entries[Deposit Amount],Entries[Time in Fund(Days)])," ")</f>
        <v xml:space="preserve"> </v>
      </c>
    </row>
    <row r="335" spans="2:4" x14ac:dyDescent="0.25">
      <c r="B335" s="6"/>
      <c r="C335" s="2" t="str">
        <f>IF(ISBLANK(Table3[[#This Row],[Investor]])," ",SUMIF(Entries[[Investor Name ]],Calculations!B335,Entries[Deposit Amount]))</f>
        <v xml:space="preserve"> </v>
      </c>
      <c r="D335" s="7" t="str" cm="1">
        <f t="array" aca="1" ref="D335" ca="1">IFERROR(C335 + SUM(Dashboard!J355:J1337)*Query17[Conversion Rate] * SUMPRODUCT((Entries[[Investor Name ]]=Calculations!B335) * (Entries[Deposit Amount]) *(Entries[Time in Fund(Days)]))/SUMPRODUCT(Entries[Deposit Amount],Entries[Time in Fund(Days)])," ")</f>
        <v xml:space="preserve"> </v>
      </c>
    </row>
    <row r="336" spans="2:4" x14ac:dyDescent="0.25">
      <c r="B336" s="6"/>
      <c r="C336" s="2" t="str">
        <f>IF(ISBLANK(Table3[[#This Row],[Investor]])," ",SUMIF(Entries[[Investor Name ]],Calculations!B336,Entries[Deposit Amount]))</f>
        <v xml:space="preserve"> </v>
      </c>
      <c r="D336" s="7" t="str" cm="1">
        <f t="array" aca="1" ref="D336" ca="1">IFERROR(C336 + SUM(Dashboard!J356:J1338)*Query17[Conversion Rate] * SUMPRODUCT((Entries[[Investor Name ]]=Calculations!B336) * (Entries[Deposit Amount]) *(Entries[Time in Fund(Days)]))/SUMPRODUCT(Entries[Deposit Amount],Entries[Time in Fund(Days)])," ")</f>
        <v xml:space="preserve"> </v>
      </c>
    </row>
    <row r="337" spans="2:4" x14ac:dyDescent="0.25">
      <c r="B337" s="6"/>
      <c r="C337" s="2" t="str">
        <f>IF(ISBLANK(Table3[[#This Row],[Investor]])," ",SUMIF(Entries[[Investor Name ]],Calculations!B337,Entries[Deposit Amount]))</f>
        <v xml:space="preserve"> </v>
      </c>
      <c r="D337" s="7" t="str" cm="1">
        <f t="array" aca="1" ref="D337" ca="1">IFERROR(C337 + SUM(Dashboard!J357:J1339)*Query17[Conversion Rate] * SUMPRODUCT((Entries[[Investor Name ]]=Calculations!B337) * (Entries[Deposit Amount]) *(Entries[Time in Fund(Days)]))/SUMPRODUCT(Entries[Deposit Amount],Entries[Time in Fund(Days)])," ")</f>
        <v xml:space="preserve"> </v>
      </c>
    </row>
    <row r="338" spans="2:4" x14ac:dyDescent="0.25">
      <c r="B338" s="6"/>
      <c r="C338" s="2" t="str">
        <f>IF(ISBLANK(Table3[[#This Row],[Investor]])," ",SUMIF(Entries[[Investor Name ]],Calculations!B338,Entries[Deposit Amount]))</f>
        <v xml:space="preserve"> </v>
      </c>
      <c r="D338" s="7" t="str" cm="1">
        <f t="array" aca="1" ref="D338" ca="1">IFERROR(C338 + SUM(Dashboard!J358:J1340)*Query17[Conversion Rate] * SUMPRODUCT((Entries[[Investor Name ]]=Calculations!B338) * (Entries[Deposit Amount]) *(Entries[Time in Fund(Days)]))/SUMPRODUCT(Entries[Deposit Amount],Entries[Time in Fund(Days)])," ")</f>
        <v xml:space="preserve"> </v>
      </c>
    </row>
    <row r="339" spans="2:4" x14ac:dyDescent="0.25">
      <c r="B339" s="6"/>
      <c r="C339" s="2" t="str">
        <f>IF(ISBLANK(Table3[[#This Row],[Investor]])," ",SUMIF(Entries[[Investor Name ]],Calculations!B339,Entries[Deposit Amount]))</f>
        <v xml:space="preserve"> </v>
      </c>
      <c r="D339" s="7" t="str" cm="1">
        <f t="array" aca="1" ref="D339" ca="1">IFERROR(C339 + SUM(Dashboard!J359:J1341)*Query17[Conversion Rate] * SUMPRODUCT((Entries[[Investor Name ]]=Calculations!B339) * (Entries[Deposit Amount]) *(Entries[Time in Fund(Days)]))/SUMPRODUCT(Entries[Deposit Amount],Entries[Time in Fund(Days)])," ")</f>
        <v xml:space="preserve"> </v>
      </c>
    </row>
    <row r="340" spans="2:4" x14ac:dyDescent="0.25">
      <c r="B340" s="6"/>
      <c r="C340" s="2" t="str">
        <f>IF(ISBLANK(Table3[[#This Row],[Investor]])," ",SUMIF(Entries[[Investor Name ]],Calculations!B340,Entries[Deposit Amount]))</f>
        <v xml:space="preserve"> </v>
      </c>
      <c r="D340" s="7" t="str" cm="1">
        <f t="array" aca="1" ref="D340" ca="1">IFERROR(C340 + SUM(Dashboard!J360:J1342)*Query17[Conversion Rate] * SUMPRODUCT((Entries[[Investor Name ]]=Calculations!B340) * (Entries[Deposit Amount]) *(Entries[Time in Fund(Days)]))/SUMPRODUCT(Entries[Deposit Amount],Entries[Time in Fund(Days)])," ")</f>
        <v xml:space="preserve"> </v>
      </c>
    </row>
    <row r="341" spans="2:4" x14ac:dyDescent="0.25">
      <c r="B341" s="6"/>
      <c r="C341" s="2" t="str">
        <f>IF(ISBLANK(Table3[[#This Row],[Investor]])," ",SUMIF(Entries[[Investor Name ]],Calculations!B341,Entries[Deposit Amount]))</f>
        <v xml:space="preserve"> </v>
      </c>
      <c r="D341" s="7" t="str" cm="1">
        <f t="array" aca="1" ref="D341" ca="1">IFERROR(C341 + SUM(Dashboard!J361:J1343)*Query17[Conversion Rate] * SUMPRODUCT((Entries[[Investor Name ]]=Calculations!B341) * (Entries[Deposit Amount]) *(Entries[Time in Fund(Days)]))/SUMPRODUCT(Entries[Deposit Amount],Entries[Time in Fund(Days)])," ")</f>
        <v xml:space="preserve"> </v>
      </c>
    </row>
    <row r="342" spans="2:4" x14ac:dyDescent="0.25">
      <c r="B342" s="6"/>
      <c r="C342" s="2" t="str">
        <f>IF(ISBLANK(Table3[[#This Row],[Investor]])," ",SUMIF(Entries[[Investor Name ]],Calculations!B342,Entries[Deposit Amount]))</f>
        <v xml:space="preserve"> </v>
      </c>
      <c r="D342" s="7" t="str" cm="1">
        <f t="array" aca="1" ref="D342" ca="1">IFERROR(C342 + SUM(Dashboard!J362:J1344)*Query17[Conversion Rate] * SUMPRODUCT((Entries[[Investor Name ]]=Calculations!B342) * (Entries[Deposit Amount]) *(Entries[Time in Fund(Days)]))/SUMPRODUCT(Entries[Deposit Amount],Entries[Time in Fund(Days)])," ")</f>
        <v xml:space="preserve"> </v>
      </c>
    </row>
    <row r="343" spans="2:4" x14ac:dyDescent="0.25">
      <c r="B343" s="6"/>
      <c r="C343" s="2" t="str">
        <f>IF(ISBLANK(Table3[[#This Row],[Investor]])," ",SUMIF(Entries[[Investor Name ]],Calculations!B343,Entries[Deposit Amount]))</f>
        <v xml:space="preserve"> </v>
      </c>
      <c r="D343" s="7" t="str" cm="1">
        <f t="array" aca="1" ref="D343" ca="1">IFERROR(C343 + SUM(Dashboard!J363:J1345)*Query17[Conversion Rate] * SUMPRODUCT((Entries[[Investor Name ]]=Calculations!B343) * (Entries[Deposit Amount]) *(Entries[Time in Fund(Days)]))/SUMPRODUCT(Entries[Deposit Amount],Entries[Time in Fund(Days)])," ")</f>
        <v xml:space="preserve"> </v>
      </c>
    </row>
    <row r="344" spans="2:4" x14ac:dyDescent="0.25">
      <c r="B344" s="6"/>
      <c r="C344" s="2" t="str">
        <f>IF(ISBLANK(Table3[[#This Row],[Investor]])," ",SUMIF(Entries[[Investor Name ]],Calculations!B344,Entries[Deposit Amount]))</f>
        <v xml:space="preserve"> </v>
      </c>
      <c r="D344" s="7" t="str" cm="1">
        <f t="array" aca="1" ref="D344" ca="1">IFERROR(C344 + SUM(Dashboard!J364:J1346)*Query17[Conversion Rate] * SUMPRODUCT((Entries[[Investor Name ]]=Calculations!B344) * (Entries[Deposit Amount]) *(Entries[Time in Fund(Days)]))/SUMPRODUCT(Entries[Deposit Amount],Entries[Time in Fund(Days)])," ")</f>
        <v xml:space="preserve"> </v>
      </c>
    </row>
    <row r="345" spans="2:4" x14ac:dyDescent="0.25">
      <c r="B345" s="6"/>
      <c r="C345" s="2" t="str">
        <f>IF(ISBLANK(Table3[[#This Row],[Investor]])," ",SUMIF(Entries[[Investor Name ]],Calculations!B345,Entries[Deposit Amount]))</f>
        <v xml:space="preserve"> </v>
      </c>
      <c r="D345" s="7" t="str" cm="1">
        <f t="array" aca="1" ref="D345" ca="1">IFERROR(C345 + SUM(Dashboard!J365:J1347)*Query17[Conversion Rate] * SUMPRODUCT((Entries[[Investor Name ]]=Calculations!B345) * (Entries[Deposit Amount]) *(Entries[Time in Fund(Days)]))/SUMPRODUCT(Entries[Deposit Amount],Entries[Time in Fund(Days)])," ")</f>
        <v xml:space="preserve"> </v>
      </c>
    </row>
    <row r="346" spans="2:4" x14ac:dyDescent="0.25">
      <c r="B346" s="6"/>
      <c r="C346" s="2" t="str">
        <f>IF(ISBLANK(Table3[[#This Row],[Investor]])," ",SUMIF(Entries[[Investor Name ]],Calculations!B346,Entries[Deposit Amount]))</f>
        <v xml:space="preserve"> </v>
      </c>
      <c r="D346" s="7" t="str" cm="1">
        <f t="array" aca="1" ref="D346" ca="1">IFERROR(C346 + SUM(Dashboard!J366:J1348)*Query17[Conversion Rate] * SUMPRODUCT((Entries[[Investor Name ]]=Calculations!B346) * (Entries[Deposit Amount]) *(Entries[Time in Fund(Days)]))/SUMPRODUCT(Entries[Deposit Amount],Entries[Time in Fund(Days)])," ")</f>
        <v xml:space="preserve"> </v>
      </c>
    </row>
    <row r="347" spans="2:4" x14ac:dyDescent="0.25">
      <c r="B347" s="6"/>
      <c r="C347" s="2" t="str">
        <f>IF(ISBLANK(Table3[[#This Row],[Investor]])," ",SUMIF(Entries[[Investor Name ]],Calculations!B347,Entries[Deposit Amount]))</f>
        <v xml:space="preserve"> </v>
      </c>
      <c r="D347" s="7" t="str" cm="1">
        <f t="array" aca="1" ref="D347" ca="1">IFERROR(C347 + SUM(Dashboard!J367:J1349)*Query17[Conversion Rate] * SUMPRODUCT((Entries[[Investor Name ]]=Calculations!B347) * (Entries[Deposit Amount]) *(Entries[Time in Fund(Days)]))/SUMPRODUCT(Entries[Deposit Amount],Entries[Time in Fund(Days)])," ")</f>
        <v xml:space="preserve"> </v>
      </c>
    </row>
    <row r="348" spans="2:4" x14ac:dyDescent="0.25">
      <c r="B348" s="6"/>
      <c r="C348" s="2" t="str">
        <f>IF(ISBLANK(Table3[[#This Row],[Investor]])," ",SUMIF(Entries[[Investor Name ]],Calculations!B348,Entries[Deposit Amount]))</f>
        <v xml:space="preserve"> </v>
      </c>
      <c r="D348" s="7" t="str" cm="1">
        <f t="array" aca="1" ref="D348" ca="1">IFERROR(C348 + SUM(Dashboard!J368:J1350)*Query17[Conversion Rate] * SUMPRODUCT((Entries[[Investor Name ]]=Calculations!B348) * (Entries[Deposit Amount]) *(Entries[Time in Fund(Days)]))/SUMPRODUCT(Entries[Deposit Amount],Entries[Time in Fund(Days)])," ")</f>
        <v xml:space="preserve"> </v>
      </c>
    </row>
    <row r="349" spans="2:4" x14ac:dyDescent="0.25">
      <c r="B349" s="6"/>
      <c r="C349" s="2" t="str">
        <f>IF(ISBLANK(Table3[[#This Row],[Investor]])," ",SUMIF(Entries[[Investor Name ]],Calculations!B349,Entries[Deposit Amount]))</f>
        <v xml:space="preserve"> </v>
      </c>
      <c r="D349" s="7" t="str" cm="1">
        <f t="array" aca="1" ref="D349" ca="1">IFERROR(C349 + SUM(Dashboard!J369:J1351)*Query17[Conversion Rate] * SUMPRODUCT((Entries[[Investor Name ]]=Calculations!B349) * (Entries[Deposit Amount]) *(Entries[Time in Fund(Days)]))/SUMPRODUCT(Entries[Deposit Amount],Entries[Time in Fund(Days)])," ")</f>
        <v xml:space="preserve"> </v>
      </c>
    </row>
    <row r="350" spans="2:4" x14ac:dyDescent="0.25">
      <c r="B350" s="6"/>
      <c r="C350" s="2" t="str">
        <f>IF(ISBLANK(Table3[[#This Row],[Investor]])," ",SUMIF(Entries[[Investor Name ]],Calculations!B350,Entries[Deposit Amount]))</f>
        <v xml:space="preserve"> </v>
      </c>
      <c r="D350" s="7" t="str" cm="1">
        <f t="array" aca="1" ref="D350" ca="1">IFERROR(C350 + SUM(Dashboard!J370:J1352)*Query17[Conversion Rate] * SUMPRODUCT((Entries[[Investor Name ]]=Calculations!B350) * (Entries[Deposit Amount]) *(Entries[Time in Fund(Days)]))/SUMPRODUCT(Entries[Deposit Amount],Entries[Time in Fund(Days)])," ")</f>
        <v xml:space="preserve"> </v>
      </c>
    </row>
    <row r="351" spans="2:4" x14ac:dyDescent="0.25">
      <c r="B351" s="6"/>
      <c r="C351" s="2" t="str">
        <f>IF(ISBLANK(Table3[[#This Row],[Investor]])," ",SUMIF(Entries[[Investor Name ]],Calculations!B351,Entries[Deposit Amount]))</f>
        <v xml:space="preserve"> </v>
      </c>
      <c r="D351" s="7" t="str" cm="1">
        <f t="array" aca="1" ref="D351" ca="1">IFERROR(C351 + SUM(Dashboard!J371:J1353)*Query17[Conversion Rate] * SUMPRODUCT((Entries[[Investor Name ]]=Calculations!B351) * (Entries[Deposit Amount]) *(Entries[Time in Fund(Days)]))/SUMPRODUCT(Entries[Deposit Amount],Entries[Time in Fund(Days)])," ")</f>
        <v xml:space="preserve"> </v>
      </c>
    </row>
    <row r="352" spans="2:4" x14ac:dyDescent="0.25">
      <c r="B352" s="6"/>
      <c r="C352" s="2" t="str">
        <f>IF(ISBLANK(Table3[[#This Row],[Investor]])," ",SUMIF(Entries[[Investor Name ]],Calculations!B352,Entries[Deposit Amount]))</f>
        <v xml:space="preserve"> </v>
      </c>
      <c r="D352" s="7" t="str" cm="1">
        <f t="array" aca="1" ref="D352" ca="1">IFERROR(C352 + SUM(Dashboard!J372:J1354)*Query17[Conversion Rate] * SUMPRODUCT((Entries[[Investor Name ]]=Calculations!B352) * (Entries[Deposit Amount]) *(Entries[Time in Fund(Days)]))/SUMPRODUCT(Entries[Deposit Amount],Entries[Time in Fund(Days)])," ")</f>
        <v xml:space="preserve"> </v>
      </c>
    </row>
    <row r="353" spans="2:4" x14ac:dyDescent="0.25">
      <c r="B353" s="6"/>
      <c r="C353" s="2" t="str">
        <f>IF(ISBLANK(Table3[[#This Row],[Investor]])," ",SUMIF(Entries[[Investor Name ]],Calculations!B353,Entries[Deposit Amount]))</f>
        <v xml:space="preserve"> </v>
      </c>
      <c r="D353" s="7" t="str" cm="1">
        <f t="array" aca="1" ref="D353" ca="1">IFERROR(C353 + SUM(Dashboard!J373:J1355)*Query17[Conversion Rate] * SUMPRODUCT((Entries[[Investor Name ]]=Calculations!B353) * (Entries[Deposit Amount]) *(Entries[Time in Fund(Days)]))/SUMPRODUCT(Entries[Deposit Amount],Entries[Time in Fund(Days)])," ")</f>
        <v xml:space="preserve"> </v>
      </c>
    </row>
    <row r="354" spans="2:4" x14ac:dyDescent="0.25">
      <c r="B354" s="6"/>
      <c r="C354" s="2" t="str">
        <f>IF(ISBLANK(Table3[[#This Row],[Investor]])," ",SUMIF(Entries[[Investor Name ]],Calculations!B354,Entries[Deposit Amount]))</f>
        <v xml:space="preserve"> </v>
      </c>
      <c r="D354" s="7" t="str" cm="1">
        <f t="array" aca="1" ref="D354" ca="1">IFERROR(C354 + SUM(Dashboard!J374:J1356)*Query17[Conversion Rate] * SUMPRODUCT((Entries[[Investor Name ]]=Calculations!B354) * (Entries[Deposit Amount]) *(Entries[Time in Fund(Days)]))/SUMPRODUCT(Entries[Deposit Amount],Entries[Time in Fund(Days)])," ")</f>
        <v xml:space="preserve"> </v>
      </c>
    </row>
    <row r="355" spans="2:4" x14ac:dyDescent="0.25">
      <c r="B355" s="6"/>
      <c r="C355" s="2" t="str">
        <f>IF(ISBLANK(Table3[[#This Row],[Investor]])," ",SUMIF(Entries[[Investor Name ]],Calculations!B355,Entries[Deposit Amount]))</f>
        <v xml:space="preserve"> </v>
      </c>
      <c r="D355" s="7" t="str" cm="1">
        <f t="array" aca="1" ref="D355" ca="1">IFERROR(C355 + SUM(Dashboard!J375:J1357)*Query17[Conversion Rate] * SUMPRODUCT((Entries[[Investor Name ]]=Calculations!B355) * (Entries[Deposit Amount]) *(Entries[Time in Fund(Days)]))/SUMPRODUCT(Entries[Deposit Amount],Entries[Time in Fund(Days)])," ")</f>
        <v xml:space="preserve"> </v>
      </c>
    </row>
    <row r="356" spans="2:4" x14ac:dyDescent="0.25">
      <c r="B356" s="6"/>
      <c r="C356" s="2" t="str">
        <f>IF(ISBLANK(Table3[[#This Row],[Investor]])," ",SUMIF(Entries[[Investor Name ]],Calculations!B356,Entries[Deposit Amount]))</f>
        <v xml:space="preserve"> </v>
      </c>
      <c r="D356" s="7" t="str" cm="1">
        <f t="array" aca="1" ref="D356" ca="1">IFERROR(C356 + SUM(Dashboard!J376:J1358)*Query17[Conversion Rate] * SUMPRODUCT((Entries[[Investor Name ]]=Calculations!B356) * (Entries[Deposit Amount]) *(Entries[Time in Fund(Days)]))/SUMPRODUCT(Entries[Deposit Amount],Entries[Time in Fund(Days)])," ")</f>
        <v xml:space="preserve"> </v>
      </c>
    </row>
    <row r="357" spans="2:4" x14ac:dyDescent="0.25">
      <c r="B357" s="6"/>
      <c r="C357" s="2" t="str">
        <f>IF(ISBLANK(Table3[[#This Row],[Investor]])," ",SUMIF(Entries[[Investor Name ]],Calculations!B357,Entries[Deposit Amount]))</f>
        <v xml:space="preserve"> </v>
      </c>
      <c r="D357" s="7" t="str" cm="1">
        <f t="array" aca="1" ref="D357" ca="1">IFERROR(C357 + SUM(Dashboard!J377:J1359)*Query17[Conversion Rate] * SUMPRODUCT((Entries[[Investor Name ]]=Calculations!B357) * (Entries[Deposit Amount]) *(Entries[Time in Fund(Days)]))/SUMPRODUCT(Entries[Deposit Amount],Entries[Time in Fund(Days)])," ")</f>
        <v xml:space="preserve"> </v>
      </c>
    </row>
    <row r="358" spans="2:4" x14ac:dyDescent="0.25">
      <c r="B358" s="6"/>
      <c r="C358" s="2" t="str">
        <f>IF(ISBLANK(Table3[[#This Row],[Investor]])," ",SUMIF(Entries[[Investor Name ]],Calculations!B358,Entries[Deposit Amount]))</f>
        <v xml:space="preserve"> </v>
      </c>
      <c r="D358" s="7" t="str" cm="1">
        <f t="array" aca="1" ref="D358" ca="1">IFERROR(C358 + SUM(Dashboard!J378:J1360)*Query17[Conversion Rate] * SUMPRODUCT((Entries[[Investor Name ]]=Calculations!B358) * (Entries[Deposit Amount]) *(Entries[Time in Fund(Days)]))/SUMPRODUCT(Entries[Deposit Amount],Entries[Time in Fund(Days)])," ")</f>
        <v xml:space="preserve"> </v>
      </c>
    </row>
    <row r="359" spans="2:4" x14ac:dyDescent="0.25">
      <c r="B359" s="6"/>
      <c r="C359" s="2" t="str">
        <f>IF(ISBLANK(Table3[[#This Row],[Investor]])," ",SUMIF(Entries[[Investor Name ]],Calculations!B359,Entries[Deposit Amount]))</f>
        <v xml:space="preserve"> </v>
      </c>
      <c r="D359" s="7" t="str" cm="1">
        <f t="array" aca="1" ref="D359" ca="1">IFERROR(C359 + SUM(Dashboard!J379:J1361)*Query17[Conversion Rate] * SUMPRODUCT((Entries[[Investor Name ]]=Calculations!B359) * (Entries[Deposit Amount]) *(Entries[Time in Fund(Days)]))/SUMPRODUCT(Entries[Deposit Amount],Entries[Time in Fund(Days)])," ")</f>
        <v xml:space="preserve"> </v>
      </c>
    </row>
    <row r="360" spans="2:4" x14ac:dyDescent="0.25">
      <c r="B360" s="6"/>
      <c r="C360" s="2" t="str">
        <f>IF(ISBLANK(Table3[[#This Row],[Investor]])," ",SUMIF(Entries[[Investor Name ]],Calculations!B360,Entries[Deposit Amount]))</f>
        <v xml:space="preserve"> </v>
      </c>
      <c r="D360" s="7" t="str" cm="1">
        <f t="array" aca="1" ref="D360" ca="1">IFERROR(C360 + SUM(Dashboard!J380:J1362)*Query17[Conversion Rate] * SUMPRODUCT((Entries[[Investor Name ]]=Calculations!B360) * (Entries[Deposit Amount]) *(Entries[Time in Fund(Days)]))/SUMPRODUCT(Entries[Deposit Amount],Entries[Time in Fund(Days)])," ")</f>
        <v xml:space="preserve"> </v>
      </c>
    </row>
    <row r="361" spans="2:4" x14ac:dyDescent="0.25">
      <c r="B361" s="6"/>
      <c r="C361" s="2" t="str">
        <f>IF(ISBLANK(Table3[[#This Row],[Investor]])," ",SUMIF(Entries[[Investor Name ]],Calculations!B361,Entries[Deposit Amount]))</f>
        <v xml:space="preserve"> </v>
      </c>
      <c r="D361" s="7" t="str" cm="1">
        <f t="array" aca="1" ref="D361" ca="1">IFERROR(C361 + SUM(Dashboard!J381:J1363)*Query17[Conversion Rate] * SUMPRODUCT((Entries[[Investor Name ]]=Calculations!B361) * (Entries[Deposit Amount]) *(Entries[Time in Fund(Days)]))/SUMPRODUCT(Entries[Deposit Amount],Entries[Time in Fund(Days)])," ")</f>
        <v xml:space="preserve"> </v>
      </c>
    </row>
    <row r="362" spans="2:4" x14ac:dyDescent="0.25">
      <c r="B362" s="6"/>
      <c r="C362" s="2" t="str">
        <f>IF(ISBLANK(Table3[[#This Row],[Investor]])," ",SUMIF(Entries[[Investor Name ]],Calculations!B362,Entries[Deposit Amount]))</f>
        <v xml:space="preserve"> </v>
      </c>
      <c r="D362" s="7" t="str" cm="1">
        <f t="array" aca="1" ref="D362" ca="1">IFERROR(C362 + SUM(Dashboard!J382:J1364)*Query17[Conversion Rate] * SUMPRODUCT((Entries[[Investor Name ]]=Calculations!B362) * (Entries[Deposit Amount]) *(Entries[Time in Fund(Days)]))/SUMPRODUCT(Entries[Deposit Amount],Entries[Time in Fund(Days)])," ")</f>
        <v xml:space="preserve"> </v>
      </c>
    </row>
    <row r="363" spans="2:4" x14ac:dyDescent="0.25">
      <c r="B363" s="6"/>
      <c r="C363" s="2" t="str">
        <f>IF(ISBLANK(Table3[[#This Row],[Investor]])," ",SUMIF(Entries[[Investor Name ]],Calculations!B363,Entries[Deposit Amount]))</f>
        <v xml:space="preserve"> </v>
      </c>
      <c r="D363" s="7" t="str" cm="1">
        <f t="array" aca="1" ref="D363" ca="1">IFERROR(C363 + SUM(Dashboard!J383:J1365)*Query17[Conversion Rate] * SUMPRODUCT((Entries[[Investor Name ]]=Calculations!B363) * (Entries[Deposit Amount]) *(Entries[Time in Fund(Days)]))/SUMPRODUCT(Entries[Deposit Amount],Entries[Time in Fund(Days)])," ")</f>
        <v xml:space="preserve"> </v>
      </c>
    </row>
    <row r="364" spans="2:4" x14ac:dyDescent="0.25">
      <c r="B364" s="6"/>
      <c r="C364" s="2" t="str">
        <f>IF(ISBLANK(Table3[[#This Row],[Investor]])," ",SUMIF(Entries[[Investor Name ]],Calculations!B364,Entries[Deposit Amount]))</f>
        <v xml:space="preserve"> </v>
      </c>
      <c r="D364" s="7" t="str" cm="1">
        <f t="array" aca="1" ref="D364" ca="1">IFERROR(C364 + SUM(Dashboard!J384:J1366)*Query17[Conversion Rate] * SUMPRODUCT((Entries[[Investor Name ]]=Calculations!B364) * (Entries[Deposit Amount]) *(Entries[Time in Fund(Days)]))/SUMPRODUCT(Entries[Deposit Amount],Entries[Time in Fund(Days)])," ")</f>
        <v xml:space="preserve"> </v>
      </c>
    </row>
    <row r="365" spans="2:4" x14ac:dyDescent="0.25">
      <c r="B365" s="6"/>
      <c r="C365" s="2" t="str">
        <f>IF(ISBLANK(Table3[[#This Row],[Investor]])," ",SUMIF(Entries[[Investor Name ]],Calculations!B365,Entries[Deposit Amount]))</f>
        <v xml:space="preserve"> </v>
      </c>
      <c r="D365" s="7" t="str" cm="1">
        <f t="array" aca="1" ref="D365" ca="1">IFERROR(C365 + SUM(Dashboard!J385:J1367)*Query17[Conversion Rate] * SUMPRODUCT((Entries[[Investor Name ]]=Calculations!B365) * (Entries[Deposit Amount]) *(Entries[Time in Fund(Days)]))/SUMPRODUCT(Entries[Deposit Amount],Entries[Time in Fund(Days)])," ")</f>
        <v xml:space="preserve"> </v>
      </c>
    </row>
    <row r="366" spans="2:4" x14ac:dyDescent="0.25">
      <c r="B366" s="6"/>
      <c r="C366" s="2" t="str">
        <f>IF(ISBLANK(Table3[[#This Row],[Investor]])," ",SUMIF(Entries[[Investor Name ]],Calculations!B366,Entries[Deposit Amount]))</f>
        <v xml:space="preserve"> </v>
      </c>
      <c r="D366" s="7" t="str" cm="1">
        <f t="array" aca="1" ref="D366" ca="1">IFERROR(C366 + SUM(Dashboard!J386:J1368)*Query17[Conversion Rate] * SUMPRODUCT((Entries[[Investor Name ]]=Calculations!B366) * (Entries[Deposit Amount]) *(Entries[Time in Fund(Days)]))/SUMPRODUCT(Entries[Deposit Amount],Entries[Time in Fund(Days)])," ")</f>
        <v xml:space="preserve"> </v>
      </c>
    </row>
    <row r="367" spans="2:4" x14ac:dyDescent="0.25">
      <c r="B367" s="6"/>
      <c r="C367" s="2" t="str">
        <f>IF(ISBLANK(Table3[[#This Row],[Investor]])," ",SUMIF(Entries[[Investor Name ]],Calculations!B367,Entries[Deposit Amount]))</f>
        <v xml:space="preserve"> </v>
      </c>
      <c r="D367" s="7" t="str" cm="1">
        <f t="array" aca="1" ref="D367" ca="1">IFERROR(C367 + SUM(Dashboard!J387:J1369)*Query17[Conversion Rate] * SUMPRODUCT((Entries[[Investor Name ]]=Calculations!B367) * (Entries[Deposit Amount]) *(Entries[Time in Fund(Days)]))/SUMPRODUCT(Entries[Deposit Amount],Entries[Time in Fund(Days)])," ")</f>
        <v xml:space="preserve"> </v>
      </c>
    </row>
    <row r="368" spans="2:4" x14ac:dyDescent="0.25">
      <c r="B368" s="6"/>
      <c r="C368" s="2" t="str">
        <f>IF(ISBLANK(Table3[[#This Row],[Investor]])," ",SUMIF(Entries[[Investor Name ]],Calculations!B368,Entries[Deposit Amount]))</f>
        <v xml:space="preserve"> </v>
      </c>
      <c r="D368" s="7" t="str" cm="1">
        <f t="array" aca="1" ref="D368" ca="1">IFERROR(C368 + SUM(Dashboard!J388:J1370)*Query17[Conversion Rate] * SUMPRODUCT((Entries[[Investor Name ]]=Calculations!B368) * (Entries[Deposit Amount]) *(Entries[Time in Fund(Days)]))/SUMPRODUCT(Entries[Deposit Amount],Entries[Time in Fund(Days)])," ")</f>
        <v xml:space="preserve"> </v>
      </c>
    </row>
    <row r="369" spans="2:4" x14ac:dyDescent="0.25">
      <c r="B369" s="6"/>
      <c r="C369" s="2" t="str">
        <f>IF(ISBLANK(Table3[[#This Row],[Investor]])," ",SUMIF(Entries[[Investor Name ]],Calculations!B369,Entries[Deposit Amount]))</f>
        <v xml:space="preserve"> </v>
      </c>
      <c r="D369" s="7" t="str" cm="1">
        <f t="array" aca="1" ref="D369" ca="1">IFERROR(C369 + SUM(Dashboard!J389:J1371)*Query17[Conversion Rate] * SUMPRODUCT((Entries[[Investor Name ]]=Calculations!B369) * (Entries[Deposit Amount]) *(Entries[Time in Fund(Days)]))/SUMPRODUCT(Entries[Deposit Amount],Entries[Time in Fund(Days)])," ")</f>
        <v xml:space="preserve"> </v>
      </c>
    </row>
    <row r="370" spans="2:4" x14ac:dyDescent="0.25">
      <c r="B370" s="6"/>
      <c r="C370" s="2" t="str">
        <f>IF(ISBLANK(Table3[[#This Row],[Investor]])," ",SUMIF(Entries[[Investor Name ]],Calculations!B370,Entries[Deposit Amount]))</f>
        <v xml:space="preserve"> </v>
      </c>
      <c r="D370" s="7" t="str" cm="1">
        <f t="array" aca="1" ref="D370" ca="1">IFERROR(C370 + SUM(Dashboard!J390:J1372)*Query17[Conversion Rate] * SUMPRODUCT((Entries[[Investor Name ]]=Calculations!B370) * (Entries[Deposit Amount]) *(Entries[Time in Fund(Days)]))/SUMPRODUCT(Entries[Deposit Amount],Entries[Time in Fund(Days)])," ")</f>
        <v xml:space="preserve"> </v>
      </c>
    </row>
    <row r="371" spans="2:4" x14ac:dyDescent="0.25">
      <c r="B371" s="6"/>
      <c r="C371" s="2" t="str">
        <f>IF(ISBLANK(Table3[[#This Row],[Investor]])," ",SUMIF(Entries[[Investor Name ]],Calculations!B371,Entries[Deposit Amount]))</f>
        <v xml:space="preserve"> </v>
      </c>
      <c r="D371" s="7" t="str" cm="1">
        <f t="array" aca="1" ref="D371" ca="1">IFERROR(C371 + SUM(Dashboard!J391:J1373)*Query17[Conversion Rate] * SUMPRODUCT((Entries[[Investor Name ]]=Calculations!B371) * (Entries[Deposit Amount]) *(Entries[Time in Fund(Days)]))/SUMPRODUCT(Entries[Deposit Amount],Entries[Time in Fund(Days)])," ")</f>
        <v xml:space="preserve"> </v>
      </c>
    </row>
    <row r="372" spans="2:4" x14ac:dyDescent="0.25">
      <c r="B372" s="6"/>
      <c r="C372" s="2" t="str">
        <f>IF(ISBLANK(Table3[[#This Row],[Investor]])," ",SUMIF(Entries[[Investor Name ]],Calculations!B372,Entries[Deposit Amount]))</f>
        <v xml:space="preserve"> </v>
      </c>
      <c r="D372" s="7" t="str" cm="1">
        <f t="array" aca="1" ref="D372" ca="1">IFERROR(C372 + SUM(Dashboard!J392:J1374)*Query17[Conversion Rate] * SUMPRODUCT((Entries[[Investor Name ]]=Calculations!B372) * (Entries[Deposit Amount]) *(Entries[Time in Fund(Days)]))/SUMPRODUCT(Entries[Deposit Amount],Entries[Time in Fund(Days)])," ")</f>
        <v xml:space="preserve"> </v>
      </c>
    </row>
    <row r="373" spans="2:4" x14ac:dyDescent="0.25">
      <c r="B373" s="6"/>
      <c r="C373" s="2" t="str">
        <f>IF(ISBLANK(Table3[[#This Row],[Investor]])," ",SUMIF(Entries[[Investor Name ]],Calculations!B373,Entries[Deposit Amount]))</f>
        <v xml:space="preserve"> </v>
      </c>
      <c r="D373" s="7" t="str" cm="1">
        <f t="array" aca="1" ref="D373" ca="1">IFERROR(C373 + SUM(Dashboard!J393:J1375)*Query17[Conversion Rate] * SUMPRODUCT((Entries[[Investor Name ]]=Calculations!B373) * (Entries[Deposit Amount]) *(Entries[Time in Fund(Days)]))/SUMPRODUCT(Entries[Deposit Amount],Entries[Time in Fund(Days)])," ")</f>
        <v xml:space="preserve"> </v>
      </c>
    </row>
    <row r="374" spans="2:4" x14ac:dyDescent="0.25">
      <c r="B374" s="6"/>
      <c r="C374" s="2" t="str">
        <f>IF(ISBLANK(Table3[[#This Row],[Investor]])," ",SUMIF(Entries[[Investor Name ]],Calculations!B374,Entries[Deposit Amount]))</f>
        <v xml:space="preserve"> </v>
      </c>
      <c r="D374" s="7" t="str" cm="1">
        <f t="array" aca="1" ref="D374" ca="1">IFERROR(C374 + SUM(Dashboard!J394:J1376)*Query17[Conversion Rate] * SUMPRODUCT((Entries[[Investor Name ]]=Calculations!B374) * (Entries[Deposit Amount]) *(Entries[Time in Fund(Days)]))/SUMPRODUCT(Entries[Deposit Amount],Entries[Time in Fund(Days)])," ")</f>
        <v xml:space="preserve"> </v>
      </c>
    </row>
    <row r="375" spans="2:4" x14ac:dyDescent="0.25">
      <c r="B375" s="6"/>
      <c r="C375" s="2" t="str">
        <f>IF(ISBLANK(Table3[[#This Row],[Investor]])," ",SUMIF(Entries[[Investor Name ]],Calculations!B375,Entries[Deposit Amount]))</f>
        <v xml:space="preserve"> </v>
      </c>
      <c r="D375" s="7" t="str" cm="1">
        <f t="array" aca="1" ref="D375" ca="1">IFERROR(C375 + SUM(Dashboard!J395:J1377)*Query17[Conversion Rate] * SUMPRODUCT((Entries[[Investor Name ]]=Calculations!B375) * (Entries[Deposit Amount]) *(Entries[Time in Fund(Days)]))/SUMPRODUCT(Entries[Deposit Amount],Entries[Time in Fund(Days)])," ")</f>
        <v xml:space="preserve"> </v>
      </c>
    </row>
    <row r="376" spans="2:4" x14ac:dyDescent="0.25">
      <c r="B376" s="6"/>
      <c r="C376" s="2" t="str">
        <f>IF(ISBLANK(Table3[[#This Row],[Investor]])," ",SUMIF(Entries[[Investor Name ]],Calculations!B376,Entries[Deposit Amount]))</f>
        <v xml:space="preserve"> </v>
      </c>
      <c r="D376" s="7" t="str" cm="1">
        <f t="array" aca="1" ref="D376" ca="1">IFERROR(C376 + SUM(Dashboard!J396:J1378)*Query17[Conversion Rate] * SUMPRODUCT((Entries[[Investor Name ]]=Calculations!B376) * (Entries[Deposit Amount]) *(Entries[Time in Fund(Days)]))/SUMPRODUCT(Entries[Deposit Amount],Entries[Time in Fund(Days)])," ")</f>
        <v xml:space="preserve"> </v>
      </c>
    </row>
    <row r="377" spans="2:4" x14ac:dyDescent="0.25">
      <c r="B377" s="6"/>
      <c r="C377" s="2" t="str">
        <f>IF(ISBLANK(Table3[[#This Row],[Investor]])," ",SUMIF(Entries[[Investor Name ]],Calculations!B377,Entries[Deposit Amount]))</f>
        <v xml:space="preserve"> </v>
      </c>
      <c r="D377" s="7" t="str" cm="1">
        <f t="array" aca="1" ref="D377" ca="1">IFERROR(C377 + SUM(Dashboard!J397:J1379)*Query17[Conversion Rate] * SUMPRODUCT((Entries[[Investor Name ]]=Calculations!B377) * (Entries[Deposit Amount]) *(Entries[Time in Fund(Days)]))/SUMPRODUCT(Entries[Deposit Amount],Entries[Time in Fund(Days)])," ")</f>
        <v xml:space="preserve"> </v>
      </c>
    </row>
    <row r="378" spans="2:4" x14ac:dyDescent="0.25">
      <c r="B378" s="6"/>
      <c r="C378" s="2" t="str">
        <f>IF(ISBLANK(Table3[[#This Row],[Investor]])," ",SUMIF(Entries[[Investor Name ]],Calculations!B378,Entries[Deposit Amount]))</f>
        <v xml:space="preserve"> </v>
      </c>
      <c r="D378" s="7" t="str" cm="1">
        <f t="array" aca="1" ref="D378" ca="1">IFERROR(C378 + SUM(Dashboard!J398:J1380)*Query17[Conversion Rate] * SUMPRODUCT((Entries[[Investor Name ]]=Calculations!B378) * (Entries[Deposit Amount]) *(Entries[Time in Fund(Days)]))/SUMPRODUCT(Entries[Deposit Amount],Entries[Time in Fund(Days)])," ")</f>
        <v xml:space="preserve"> </v>
      </c>
    </row>
    <row r="379" spans="2:4" x14ac:dyDescent="0.25">
      <c r="B379" s="6"/>
      <c r="C379" s="2" t="str">
        <f>IF(ISBLANK(Table3[[#This Row],[Investor]])," ",SUMIF(Entries[[Investor Name ]],Calculations!B379,Entries[Deposit Amount]))</f>
        <v xml:space="preserve"> </v>
      </c>
      <c r="D379" s="7" t="str" cm="1">
        <f t="array" aca="1" ref="D379" ca="1">IFERROR(C379 + SUM(Dashboard!J399:J1381)*Query17[Conversion Rate] * SUMPRODUCT((Entries[[Investor Name ]]=Calculations!B379) * (Entries[Deposit Amount]) *(Entries[Time in Fund(Days)]))/SUMPRODUCT(Entries[Deposit Amount],Entries[Time in Fund(Days)])," ")</f>
        <v xml:space="preserve"> </v>
      </c>
    </row>
    <row r="380" spans="2:4" x14ac:dyDescent="0.25">
      <c r="B380" s="6"/>
      <c r="C380" s="2" t="str">
        <f>IF(ISBLANK(Table3[[#This Row],[Investor]])," ",SUMIF(Entries[[Investor Name ]],Calculations!B380,Entries[Deposit Amount]))</f>
        <v xml:space="preserve"> </v>
      </c>
      <c r="D380" s="7" t="str" cm="1">
        <f t="array" aca="1" ref="D380" ca="1">IFERROR(C380 + SUM(Dashboard!J400:J1382)*Query17[Conversion Rate] * SUMPRODUCT((Entries[[Investor Name ]]=Calculations!B380) * (Entries[Deposit Amount]) *(Entries[Time in Fund(Days)]))/SUMPRODUCT(Entries[Deposit Amount],Entries[Time in Fund(Days)])," ")</f>
        <v xml:space="preserve"> </v>
      </c>
    </row>
    <row r="381" spans="2:4" x14ac:dyDescent="0.25">
      <c r="B381" s="6"/>
      <c r="C381" s="2" t="str">
        <f>IF(ISBLANK(Table3[[#This Row],[Investor]])," ",SUMIF(Entries[[Investor Name ]],Calculations!B381,Entries[Deposit Amount]))</f>
        <v xml:space="preserve"> </v>
      </c>
      <c r="D381" s="7" t="str" cm="1">
        <f t="array" aca="1" ref="D381" ca="1">IFERROR(C381 + SUM(Dashboard!J401:J1383)*Query17[Conversion Rate] * SUMPRODUCT((Entries[[Investor Name ]]=Calculations!B381) * (Entries[Deposit Amount]) *(Entries[Time in Fund(Days)]))/SUMPRODUCT(Entries[Deposit Amount],Entries[Time in Fund(Days)])," ")</f>
        <v xml:space="preserve"> </v>
      </c>
    </row>
    <row r="382" spans="2:4" x14ac:dyDescent="0.25">
      <c r="B382" s="6"/>
      <c r="C382" s="2" t="str">
        <f>IF(ISBLANK(Table3[[#This Row],[Investor]])," ",SUMIF(Entries[[Investor Name ]],Calculations!B382,Entries[Deposit Amount]))</f>
        <v xml:space="preserve"> </v>
      </c>
      <c r="D382" s="7" t="str" cm="1">
        <f t="array" aca="1" ref="D382" ca="1">IFERROR(C382 + SUM(Dashboard!J402:J1384)*Query17[Conversion Rate] * SUMPRODUCT((Entries[[Investor Name ]]=Calculations!B382) * (Entries[Deposit Amount]) *(Entries[Time in Fund(Days)]))/SUMPRODUCT(Entries[Deposit Amount],Entries[Time in Fund(Days)])," ")</f>
        <v xml:space="preserve"> </v>
      </c>
    </row>
    <row r="383" spans="2:4" x14ac:dyDescent="0.25">
      <c r="B383" s="6"/>
      <c r="C383" s="2" t="str">
        <f>IF(ISBLANK(Table3[[#This Row],[Investor]])," ",SUMIF(Entries[[Investor Name ]],Calculations!B383,Entries[Deposit Amount]))</f>
        <v xml:space="preserve"> </v>
      </c>
      <c r="D383" s="7" t="str" cm="1">
        <f t="array" aca="1" ref="D383" ca="1">IFERROR(C383 + SUM(Dashboard!J403:J1385)*Query17[Conversion Rate] * SUMPRODUCT((Entries[[Investor Name ]]=Calculations!B383) * (Entries[Deposit Amount]) *(Entries[Time in Fund(Days)]))/SUMPRODUCT(Entries[Deposit Amount],Entries[Time in Fund(Days)])," ")</f>
        <v xml:space="preserve"> </v>
      </c>
    </row>
    <row r="384" spans="2:4" x14ac:dyDescent="0.25">
      <c r="B384" s="6"/>
      <c r="C384" s="2" t="str">
        <f>IF(ISBLANK(Table3[[#This Row],[Investor]])," ",SUMIF(Entries[[Investor Name ]],Calculations!B384,Entries[Deposit Amount]))</f>
        <v xml:space="preserve"> </v>
      </c>
      <c r="D384" s="7" t="str" cm="1">
        <f t="array" aca="1" ref="D384" ca="1">IFERROR(C384 + SUM(Dashboard!J404:J1386)*Query17[Conversion Rate] * SUMPRODUCT((Entries[[Investor Name ]]=Calculations!B384) * (Entries[Deposit Amount]) *(Entries[Time in Fund(Days)]))/SUMPRODUCT(Entries[Deposit Amount],Entries[Time in Fund(Days)])," ")</f>
        <v xml:space="preserve"> </v>
      </c>
    </row>
    <row r="385" spans="2:4" x14ac:dyDescent="0.25">
      <c r="B385" s="6"/>
      <c r="C385" s="2" t="str">
        <f>IF(ISBLANK(Table3[[#This Row],[Investor]])," ",SUMIF(Entries[[Investor Name ]],Calculations!B385,Entries[Deposit Amount]))</f>
        <v xml:space="preserve"> </v>
      </c>
      <c r="D385" s="7" t="str" cm="1">
        <f t="array" aca="1" ref="D385" ca="1">IFERROR(C385 + SUM(Dashboard!J405:J1387)*Query17[Conversion Rate] * SUMPRODUCT((Entries[[Investor Name ]]=Calculations!B385) * (Entries[Deposit Amount]) *(Entries[Time in Fund(Days)]))/SUMPRODUCT(Entries[Deposit Amount],Entries[Time in Fund(Days)])," ")</f>
        <v xml:space="preserve"> </v>
      </c>
    </row>
    <row r="386" spans="2:4" x14ac:dyDescent="0.25">
      <c r="B386" s="6"/>
      <c r="C386" s="2" t="str">
        <f>IF(ISBLANK(Table3[[#This Row],[Investor]])," ",SUMIF(Entries[[Investor Name ]],Calculations!B386,Entries[Deposit Amount]))</f>
        <v xml:space="preserve"> </v>
      </c>
      <c r="D386" s="7" t="str" cm="1">
        <f t="array" aca="1" ref="D386" ca="1">IFERROR(C386 + SUM(Dashboard!J406:J1388)*Query17[Conversion Rate] * SUMPRODUCT((Entries[[Investor Name ]]=Calculations!B386) * (Entries[Deposit Amount]) *(Entries[Time in Fund(Days)]))/SUMPRODUCT(Entries[Deposit Amount],Entries[Time in Fund(Days)])," ")</f>
        <v xml:space="preserve"> </v>
      </c>
    </row>
    <row r="387" spans="2:4" x14ac:dyDescent="0.25">
      <c r="B387" s="6"/>
      <c r="C387" s="2" t="str">
        <f>IF(ISBLANK(Table3[[#This Row],[Investor]])," ",SUMIF(Entries[[Investor Name ]],Calculations!B387,Entries[Deposit Amount]))</f>
        <v xml:space="preserve"> </v>
      </c>
      <c r="D387" s="7" t="str" cm="1">
        <f t="array" aca="1" ref="D387" ca="1">IFERROR(C387 + SUM(Dashboard!J407:J1389)*Query17[Conversion Rate] * SUMPRODUCT((Entries[[Investor Name ]]=Calculations!B387) * (Entries[Deposit Amount]) *(Entries[Time in Fund(Days)]))/SUMPRODUCT(Entries[Deposit Amount],Entries[Time in Fund(Days)])," ")</f>
        <v xml:space="preserve"> </v>
      </c>
    </row>
    <row r="388" spans="2:4" x14ac:dyDescent="0.25">
      <c r="B388" s="6"/>
      <c r="C388" s="2" t="str">
        <f>IF(ISBLANK(Table3[[#This Row],[Investor]])," ",SUMIF(Entries[[Investor Name ]],Calculations!B388,Entries[Deposit Amount]))</f>
        <v xml:space="preserve"> </v>
      </c>
      <c r="D388" s="7" t="str" cm="1">
        <f t="array" aca="1" ref="D388" ca="1">IFERROR(C388 + SUM(Dashboard!J408:J1390)*Query17[Conversion Rate] * SUMPRODUCT((Entries[[Investor Name ]]=Calculations!B388) * (Entries[Deposit Amount]) *(Entries[Time in Fund(Days)]))/SUMPRODUCT(Entries[Deposit Amount],Entries[Time in Fund(Days)])," ")</f>
        <v xml:space="preserve"> </v>
      </c>
    </row>
    <row r="389" spans="2:4" x14ac:dyDescent="0.25">
      <c r="B389" s="6"/>
      <c r="C389" s="2" t="str">
        <f>IF(ISBLANK(Table3[[#This Row],[Investor]])," ",SUMIF(Entries[[Investor Name ]],Calculations!B389,Entries[Deposit Amount]))</f>
        <v xml:space="preserve"> </v>
      </c>
      <c r="D389" s="7" t="str" cm="1">
        <f t="array" aca="1" ref="D389" ca="1">IFERROR(C389 + SUM(Dashboard!J409:J1391)*Query17[Conversion Rate] * SUMPRODUCT((Entries[[Investor Name ]]=Calculations!B389) * (Entries[Deposit Amount]) *(Entries[Time in Fund(Days)]))/SUMPRODUCT(Entries[Deposit Amount],Entries[Time in Fund(Days)])," ")</f>
        <v xml:space="preserve"> </v>
      </c>
    </row>
    <row r="390" spans="2:4" x14ac:dyDescent="0.25">
      <c r="B390" s="6"/>
      <c r="C390" s="2" t="str">
        <f>IF(ISBLANK(Table3[[#This Row],[Investor]])," ",SUMIF(Entries[[Investor Name ]],Calculations!B390,Entries[Deposit Amount]))</f>
        <v xml:space="preserve"> </v>
      </c>
      <c r="D390" s="7" t="str" cm="1">
        <f t="array" aca="1" ref="D390" ca="1">IFERROR(C390 + SUM(Dashboard!J410:J1392)*Query17[Conversion Rate] * SUMPRODUCT((Entries[[Investor Name ]]=Calculations!B390) * (Entries[Deposit Amount]) *(Entries[Time in Fund(Days)]))/SUMPRODUCT(Entries[Deposit Amount],Entries[Time in Fund(Days)])," ")</f>
        <v xml:space="preserve"> </v>
      </c>
    </row>
    <row r="391" spans="2:4" x14ac:dyDescent="0.25">
      <c r="B391" s="6"/>
      <c r="C391" s="2" t="str">
        <f>IF(ISBLANK(Table3[[#This Row],[Investor]])," ",SUMIF(Entries[[Investor Name ]],Calculations!B391,Entries[Deposit Amount]))</f>
        <v xml:space="preserve"> </v>
      </c>
      <c r="D391" s="7" t="str" cm="1">
        <f t="array" aca="1" ref="D391" ca="1">IFERROR(C391 + SUM(Dashboard!J411:J1393)*Query17[Conversion Rate] * SUMPRODUCT((Entries[[Investor Name ]]=Calculations!B391) * (Entries[Deposit Amount]) *(Entries[Time in Fund(Days)]))/SUMPRODUCT(Entries[Deposit Amount],Entries[Time in Fund(Days)])," ")</f>
        <v xml:space="preserve"> </v>
      </c>
    </row>
    <row r="392" spans="2:4" x14ac:dyDescent="0.25">
      <c r="B392" s="6"/>
      <c r="C392" s="2" t="str">
        <f>IF(ISBLANK(Table3[[#This Row],[Investor]])," ",SUMIF(Entries[[Investor Name ]],Calculations!B392,Entries[Deposit Amount]))</f>
        <v xml:space="preserve"> </v>
      </c>
      <c r="D392" s="7" t="str" cm="1">
        <f t="array" aca="1" ref="D392" ca="1">IFERROR(C392 + SUM(Dashboard!J412:J1394)*Query17[Conversion Rate] * SUMPRODUCT((Entries[[Investor Name ]]=Calculations!B392) * (Entries[Deposit Amount]) *(Entries[Time in Fund(Days)]))/SUMPRODUCT(Entries[Deposit Amount],Entries[Time in Fund(Days)])," ")</f>
        <v xml:space="preserve"> </v>
      </c>
    </row>
    <row r="393" spans="2:4" x14ac:dyDescent="0.25">
      <c r="B393" s="6"/>
      <c r="C393" s="2" t="str">
        <f>IF(ISBLANK(Table3[[#This Row],[Investor]])," ",SUMIF(Entries[[Investor Name ]],Calculations!B393,Entries[Deposit Amount]))</f>
        <v xml:space="preserve"> </v>
      </c>
      <c r="D393" s="7" t="str" cm="1">
        <f t="array" aca="1" ref="D393" ca="1">IFERROR(C393 + SUM(Dashboard!J413:J1395)*Query17[Conversion Rate] * SUMPRODUCT((Entries[[Investor Name ]]=Calculations!B393) * (Entries[Deposit Amount]) *(Entries[Time in Fund(Days)]))/SUMPRODUCT(Entries[Deposit Amount],Entries[Time in Fund(Days)])," ")</f>
        <v xml:space="preserve"> </v>
      </c>
    </row>
    <row r="394" spans="2:4" x14ac:dyDescent="0.25">
      <c r="B394" s="6"/>
      <c r="C394" s="2" t="str">
        <f>IF(ISBLANK(Table3[[#This Row],[Investor]])," ",SUMIF(Entries[[Investor Name ]],Calculations!B394,Entries[Deposit Amount]))</f>
        <v xml:space="preserve"> </v>
      </c>
      <c r="D394" s="7" t="str" cm="1">
        <f t="array" aca="1" ref="D394" ca="1">IFERROR(C394 + SUM(Dashboard!J414:J1396)*Query17[Conversion Rate] * SUMPRODUCT((Entries[[Investor Name ]]=Calculations!B394) * (Entries[Deposit Amount]) *(Entries[Time in Fund(Days)]))/SUMPRODUCT(Entries[Deposit Amount],Entries[Time in Fund(Days)])," ")</f>
        <v xml:space="preserve"> </v>
      </c>
    </row>
    <row r="395" spans="2:4" x14ac:dyDescent="0.25">
      <c r="B395" s="6"/>
      <c r="C395" s="2" t="str">
        <f>IF(ISBLANK(Table3[[#This Row],[Investor]])," ",SUMIF(Entries[[Investor Name ]],Calculations!B395,Entries[Deposit Amount]))</f>
        <v xml:space="preserve"> </v>
      </c>
      <c r="D395" s="7" t="str" cm="1">
        <f t="array" aca="1" ref="D395" ca="1">IFERROR(C395 + SUM(Dashboard!J415:J1397)*Query17[Conversion Rate] * SUMPRODUCT((Entries[[Investor Name ]]=Calculations!B395) * (Entries[Deposit Amount]) *(Entries[Time in Fund(Days)]))/SUMPRODUCT(Entries[Deposit Amount],Entries[Time in Fund(Days)])," ")</f>
        <v xml:space="preserve"> </v>
      </c>
    </row>
    <row r="396" spans="2:4" x14ac:dyDescent="0.25">
      <c r="B396" s="6"/>
      <c r="C396" s="2" t="str">
        <f>IF(ISBLANK(Table3[[#This Row],[Investor]])," ",SUMIF(Entries[[Investor Name ]],Calculations!B396,Entries[Deposit Amount]))</f>
        <v xml:space="preserve"> </v>
      </c>
      <c r="D396" s="7" t="str" cm="1">
        <f t="array" aca="1" ref="D396" ca="1">IFERROR(C396 + SUM(Dashboard!J416:J1398)*Query17[Conversion Rate] * SUMPRODUCT((Entries[[Investor Name ]]=Calculations!B396) * (Entries[Deposit Amount]) *(Entries[Time in Fund(Days)]))/SUMPRODUCT(Entries[Deposit Amount],Entries[Time in Fund(Days)])," ")</f>
        <v xml:space="preserve"> </v>
      </c>
    </row>
    <row r="397" spans="2:4" x14ac:dyDescent="0.25">
      <c r="B397" s="6"/>
      <c r="C397" s="2" t="str">
        <f>IF(ISBLANK(Table3[[#This Row],[Investor]])," ",SUMIF(Entries[[Investor Name ]],Calculations!B397,Entries[Deposit Amount]))</f>
        <v xml:space="preserve"> </v>
      </c>
      <c r="D397" s="7" t="str" cm="1">
        <f t="array" aca="1" ref="D397" ca="1">IFERROR(C397 + SUM(Dashboard!J417:J1399)*Query17[Conversion Rate] * SUMPRODUCT((Entries[[Investor Name ]]=Calculations!B397) * (Entries[Deposit Amount]) *(Entries[Time in Fund(Days)]))/SUMPRODUCT(Entries[Deposit Amount],Entries[Time in Fund(Days)])," ")</f>
        <v xml:space="preserve"> </v>
      </c>
    </row>
    <row r="398" spans="2:4" x14ac:dyDescent="0.25">
      <c r="B398" s="6"/>
      <c r="C398" s="2" t="str">
        <f>IF(ISBLANK(Table3[[#This Row],[Investor]])," ",SUMIF(Entries[[Investor Name ]],Calculations!B398,Entries[Deposit Amount]))</f>
        <v xml:space="preserve"> </v>
      </c>
      <c r="D398" s="7" t="str" cm="1">
        <f t="array" aca="1" ref="D398" ca="1">IFERROR(C398 + SUM(Dashboard!J418:J1400)*Query17[Conversion Rate] * SUMPRODUCT((Entries[[Investor Name ]]=Calculations!B398) * (Entries[Deposit Amount]) *(Entries[Time in Fund(Days)]))/SUMPRODUCT(Entries[Deposit Amount],Entries[Time in Fund(Days)])," ")</f>
        <v xml:space="preserve"> </v>
      </c>
    </row>
    <row r="399" spans="2:4" x14ac:dyDescent="0.25">
      <c r="B399" s="6"/>
      <c r="C399" s="2" t="str">
        <f>IF(ISBLANK(Table3[[#This Row],[Investor]])," ",SUMIF(Entries[[Investor Name ]],Calculations!B399,Entries[Deposit Amount]))</f>
        <v xml:space="preserve"> </v>
      </c>
      <c r="D399" s="7" t="str" cm="1">
        <f t="array" aca="1" ref="D399" ca="1">IFERROR(C399 + SUM(Dashboard!J419:J1401)*Query17[Conversion Rate] * SUMPRODUCT((Entries[[Investor Name ]]=Calculations!B399) * (Entries[Deposit Amount]) *(Entries[Time in Fund(Days)]))/SUMPRODUCT(Entries[Deposit Amount],Entries[Time in Fund(Days)])," ")</f>
        <v xml:space="preserve"> </v>
      </c>
    </row>
    <row r="400" spans="2:4" x14ac:dyDescent="0.25">
      <c r="B400" s="6"/>
      <c r="C400" s="2" t="str">
        <f>IF(ISBLANK(Table3[[#This Row],[Investor]])," ",SUMIF(Entries[[Investor Name ]],Calculations!B400,Entries[Deposit Amount]))</f>
        <v xml:space="preserve"> </v>
      </c>
      <c r="D400" s="7" t="str" cm="1">
        <f t="array" aca="1" ref="D400" ca="1">IFERROR(C400 + SUM(Dashboard!J420:J1402)*Query17[Conversion Rate] * SUMPRODUCT((Entries[[Investor Name ]]=Calculations!B400) * (Entries[Deposit Amount]) *(Entries[Time in Fund(Days)]))/SUMPRODUCT(Entries[Deposit Amount],Entries[Time in Fund(Days)])," ")</f>
        <v xml:space="preserve"> </v>
      </c>
    </row>
    <row r="401" spans="2:4" x14ac:dyDescent="0.25">
      <c r="B401" s="6"/>
      <c r="C401" s="2" t="str">
        <f>IF(ISBLANK(Table3[[#This Row],[Investor]])," ",SUMIF(Entries[[Investor Name ]],Calculations!B401,Entries[Deposit Amount]))</f>
        <v xml:space="preserve"> </v>
      </c>
      <c r="D401" s="7" t="str" cm="1">
        <f t="array" aca="1" ref="D401" ca="1">IFERROR(C401 + SUM(Dashboard!J421:J1403)*Query17[Conversion Rate] * SUMPRODUCT((Entries[[Investor Name ]]=Calculations!B401) * (Entries[Deposit Amount]) *(Entries[Time in Fund(Days)]))/SUMPRODUCT(Entries[Deposit Amount],Entries[Time in Fund(Days)])," ")</f>
        <v xml:space="preserve"> </v>
      </c>
    </row>
    <row r="402" spans="2:4" x14ac:dyDescent="0.25">
      <c r="B402" s="6"/>
      <c r="C402" s="2" t="str">
        <f>IF(ISBLANK(Table3[[#This Row],[Investor]])," ",SUMIF(Entries[[Investor Name ]],Calculations!B402,Entries[Deposit Amount]))</f>
        <v xml:space="preserve"> </v>
      </c>
      <c r="D402" s="7" t="str" cm="1">
        <f t="array" aca="1" ref="D402" ca="1">IFERROR(C402 + SUM(Dashboard!J422:J1404)*Query17[Conversion Rate] * SUMPRODUCT((Entries[[Investor Name ]]=Calculations!B402) * (Entries[Deposit Amount]) *(Entries[Time in Fund(Days)]))/SUMPRODUCT(Entries[Deposit Amount],Entries[Time in Fund(Days)])," ")</f>
        <v xml:space="preserve"> </v>
      </c>
    </row>
    <row r="403" spans="2:4" x14ac:dyDescent="0.25">
      <c r="B403" s="6"/>
      <c r="C403" s="2" t="str">
        <f>IF(ISBLANK(Table3[[#This Row],[Investor]])," ",SUMIF(Entries[[Investor Name ]],Calculations!B403,Entries[Deposit Amount]))</f>
        <v xml:space="preserve"> </v>
      </c>
      <c r="D403" s="7" t="str" cm="1">
        <f t="array" aca="1" ref="D403" ca="1">IFERROR(C403 + SUM(Dashboard!J423:J1405)*Query17[Conversion Rate] * SUMPRODUCT((Entries[[Investor Name ]]=Calculations!B403) * (Entries[Deposit Amount]) *(Entries[Time in Fund(Days)]))/SUMPRODUCT(Entries[Deposit Amount],Entries[Time in Fund(Days)])," ")</f>
        <v xml:space="preserve"> </v>
      </c>
    </row>
    <row r="404" spans="2:4" x14ac:dyDescent="0.25">
      <c r="B404" s="6"/>
      <c r="C404" s="2" t="str">
        <f>IF(ISBLANK(Table3[[#This Row],[Investor]])," ",SUMIF(Entries[[Investor Name ]],Calculations!B404,Entries[Deposit Amount]))</f>
        <v xml:space="preserve"> </v>
      </c>
      <c r="D404" s="7" t="str" cm="1">
        <f t="array" aca="1" ref="D404" ca="1">IFERROR(C404 + SUM(Dashboard!J424:J1406)*Query17[Conversion Rate] * SUMPRODUCT((Entries[[Investor Name ]]=Calculations!B404) * (Entries[Deposit Amount]) *(Entries[Time in Fund(Days)]))/SUMPRODUCT(Entries[Deposit Amount],Entries[Time in Fund(Days)])," ")</f>
        <v xml:space="preserve"> </v>
      </c>
    </row>
    <row r="405" spans="2:4" x14ac:dyDescent="0.25">
      <c r="B405" s="6"/>
      <c r="C405" s="2" t="str">
        <f>IF(ISBLANK(Table3[[#This Row],[Investor]])," ",SUMIF(Entries[[Investor Name ]],Calculations!B405,Entries[Deposit Amount]))</f>
        <v xml:space="preserve"> </v>
      </c>
      <c r="D405" s="7" t="str" cm="1">
        <f t="array" aca="1" ref="D405" ca="1">IFERROR(C405 + SUM(Dashboard!J425:J1407)*Query17[Conversion Rate] * SUMPRODUCT((Entries[[Investor Name ]]=Calculations!B405) * (Entries[Deposit Amount]) *(Entries[Time in Fund(Days)]))/SUMPRODUCT(Entries[Deposit Amount],Entries[Time in Fund(Days)])," ")</f>
        <v xml:space="preserve"> </v>
      </c>
    </row>
    <row r="406" spans="2:4" x14ac:dyDescent="0.25">
      <c r="B406" s="6"/>
      <c r="C406" s="2" t="str">
        <f>IF(ISBLANK(Table3[[#This Row],[Investor]])," ",SUMIF(Entries[[Investor Name ]],Calculations!B406,Entries[Deposit Amount]))</f>
        <v xml:space="preserve"> </v>
      </c>
      <c r="D406" s="7" t="str" cm="1">
        <f t="array" aca="1" ref="D406" ca="1">IFERROR(C406 + SUM(Dashboard!J426:J1408)*Query17[Conversion Rate] * SUMPRODUCT((Entries[[Investor Name ]]=Calculations!B406) * (Entries[Deposit Amount]) *(Entries[Time in Fund(Days)]))/SUMPRODUCT(Entries[Deposit Amount],Entries[Time in Fund(Days)])," ")</f>
        <v xml:space="preserve"> </v>
      </c>
    </row>
    <row r="407" spans="2:4" x14ac:dyDescent="0.25">
      <c r="B407" s="6"/>
      <c r="C407" s="2" t="str">
        <f>IF(ISBLANK(Table3[[#This Row],[Investor]])," ",SUMIF(Entries[[Investor Name ]],Calculations!B407,Entries[Deposit Amount]))</f>
        <v xml:space="preserve"> </v>
      </c>
      <c r="D407" s="7" t="str" cm="1">
        <f t="array" aca="1" ref="D407" ca="1">IFERROR(C407 + SUM(Dashboard!J427:J1409)*Query17[Conversion Rate] * SUMPRODUCT((Entries[[Investor Name ]]=Calculations!B407) * (Entries[Deposit Amount]) *(Entries[Time in Fund(Days)]))/SUMPRODUCT(Entries[Deposit Amount],Entries[Time in Fund(Days)])," ")</f>
        <v xml:space="preserve"> </v>
      </c>
    </row>
    <row r="408" spans="2:4" x14ac:dyDescent="0.25">
      <c r="B408" s="6"/>
      <c r="C408" s="2" t="str">
        <f>IF(ISBLANK(Table3[[#This Row],[Investor]])," ",SUMIF(Entries[[Investor Name ]],Calculations!B408,Entries[Deposit Amount]))</f>
        <v xml:space="preserve"> </v>
      </c>
      <c r="D408" s="7" t="str" cm="1">
        <f t="array" aca="1" ref="D408" ca="1">IFERROR(C408 + SUM(Dashboard!J428:J1410)*Query17[Conversion Rate] * SUMPRODUCT((Entries[[Investor Name ]]=Calculations!B408) * (Entries[Deposit Amount]) *(Entries[Time in Fund(Days)]))/SUMPRODUCT(Entries[Deposit Amount],Entries[Time in Fund(Days)])," ")</f>
        <v xml:space="preserve"> </v>
      </c>
    </row>
    <row r="409" spans="2:4" x14ac:dyDescent="0.25">
      <c r="B409" s="6"/>
      <c r="C409" s="2" t="str">
        <f>IF(ISBLANK(Table3[[#This Row],[Investor]])," ",SUMIF(Entries[[Investor Name ]],Calculations!B409,Entries[Deposit Amount]))</f>
        <v xml:space="preserve"> </v>
      </c>
      <c r="D409" s="7" t="str" cm="1">
        <f t="array" aca="1" ref="D409" ca="1">IFERROR(C409 + SUM(Dashboard!J429:J1411)*Query17[Conversion Rate] * SUMPRODUCT((Entries[[Investor Name ]]=Calculations!B409) * (Entries[Deposit Amount]) *(Entries[Time in Fund(Days)]))/SUMPRODUCT(Entries[Deposit Amount],Entries[Time in Fund(Days)])," ")</f>
        <v xml:space="preserve"> </v>
      </c>
    </row>
    <row r="410" spans="2:4" x14ac:dyDescent="0.25">
      <c r="B410" s="6"/>
      <c r="C410" s="2" t="str">
        <f>IF(ISBLANK(Table3[[#This Row],[Investor]])," ",SUMIF(Entries[[Investor Name ]],Calculations!B410,Entries[Deposit Amount]))</f>
        <v xml:space="preserve"> </v>
      </c>
      <c r="D410" s="7" t="str" cm="1">
        <f t="array" aca="1" ref="D410" ca="1">IFERROR(C410 + SUM(Dashboard!J430:J1412)*Query17[Conversion Rate] * SUMPRODUCT((Entries[[Investor Name ]]=Calculations!B410) * (Entries[Deposit Amount]) *(Entries[Time in Fund(Days)]))/SUMPRODUCT(Entries[Deposit Amount],Entries[Time in Fund(Days)])," ")</f>
        <v xml:space="preserve"> </v>
      </c>
    </row>
    <row r="411" spans="2:4" x14ac:dyDescent="0.25">
      <c r="B411" s="6"/>
      <c r="C411" s="2" t="str">
        <f>IF(ISBLANK(Table3[[#This Row],[Investor]])," ",SUMIF(Entries[[Investor Name ]],Calculations!B411,Entries[Deposit Amount]))</f>
        <v xml:space="preserve"> </v>
      </c>
      <c r="D411" s="7" t="str" cm="1">
        <f t="array" aca="1" ref="D411" ca="1">IFERROR(C411 + SUM(Dashboard!J431:J1413)*Query17[Conversion Rate] * SUMPRODUCT((Entries[[Investor Name ]]=Calculations!B411) * (Entries[Deposit Amount]) *(Entries[Time in Fund(Days)]))/SUMPRODUCT(Entries[Deposit Amount],Entries[Time in Fund(Days)])," ")</f>
        <v xml:space="preserve"> </v>
      </c>
    </row>
    <row r="412" spans="2:4" x14ac:dyDescent="0.25">
      <c r="B412" s="6"/>
      <c r="C412" s="2" t="str">
        <f>IF(ISBLANK(Table3[[#This Row],[Investor]])," ",SUMIF(Entries[[Investor Name ]],Calculations!B412,Entries[Deposit Amount]))</f>
        <v xml:space="preserve"> </v>
      </c>
      <c r="D412" s="7" t="str" cm="1">
        <f t="array" aca="1" ref="D412" ca="1">IFERROR(C412 + SUM(Dashboard!J432:J1414)*Query17[Conversion Rate] * SUMPRODUCT((Entries[[Investor Name ]]=Calculations!B412) * (Entries[Deposit Amount]) *(Entries[Time in Fund(Days)]))/SUMPRODUCT(Entries[Deposit Amount],Entries[Time in Fund(Days)])," ")</f>
        <v xml:space="preserve"> </v>
      </c>
    </row>
    <row r="413" spans="2:4" x14ac:dyDescent="0.25">
      <c r="B413" s="6"/>
      <c r="C413" s="2" t="str">
        <f>IF(ISBLANK(Table3[[#This Row],[Investor]])," ",SUMIF(Entries[[Investor Name ]],Calculations!B413,Entries[Deposit Amount]))</f>
        <v xml:space="preserve"> </v>
      </c>
      <c r="D413" s="7" t="str" cm="1">
        <f t="array" aca="1" ref="D413" ca="1">IFERROR(C413 + SUM(Dashboard!J433:J1415)*Query17[Conversion Rate] * SUMPRODUCT((Entries[[Investor Name ]]=Calculations!B413) * (Entries[Deposit Amount]) *(Entries[Time in Fund(Days)]))/SUMPRODUCT(Entries[Deposit Amount],Entries[Time in Fund(Days)])," ")</f>
        <v xml:space="preserve"> </v>
      </c>
    </row>
    <row r="414" spans="2:4" x14ac:dyDescent="0.25">
      <c r="B414" s="6"/>
      <c r="C414" s="2" t="str">
        <f>IF(ISBLANK(Table3[[#This Row],[Investor]])," ",SUMIF(Entries[[Investor Name ]],Calculations!B414,Entries[Deposit Amount]))</f>
        <v xml:space="preserve"> </v>
      </c>
      <c r="D414" s="7" t="str" cm="1">
        <f t="array" aca="1" ref="D414" ca="1">IFERROR(C414 + SUM(Dashboard!J434:J1416)*Query17[Conversion Rate] * SUMPRODUCT((Entries[[Investor Name ]]=Calculations!B414) * (Entries[Deposit Amount]) *(Entries[Time in Fund(Days)]))/SUMPRODUCT(Entries[Deposit Amount],Entries[Time in Fund(Days)])," ")</f>
        <v xml:space="preserve"> </v>
      </c>
    </row>
    <row r="415" spans="2:4" x14ac:dyDescent="0.25">
      <c r="B415" s="6"/>
      <c r="C415" s="2" t="str">
        <f>IF(ISBLANK(Table3[[#This Row],[Investor]])," ",SUMIF(Entries[[Investor Name ]],Calculations!B415,Entries[Deposit Amount]))</f>
        <v xml:space="preserve"> </v>
      </c>
      <c r="D415" s="7" t="str" cm="1">
        <f t="array" aca="1" ref="D415" ca="1">IFERROR(C415 + SUM(Dashboard!J435:J1417)*Query17[Conversion Rate] * SUMPRODUCT((Entries[[Investor Name ]]=Calculations!B415) * (Entries[Deposit Amount]) *(Entries[Time in Fund(Days)]))/SUMPRODUCT(Entries[Deposit Amount],Entries[Time in Fund(Days)])," ")</f>
        <v xml:space="preserve"> </v>
      </c>
    </row>
    <row r="416" spans="2:4" x14ac:dyDescent="0.25">
      <c r="B416" s="6"/>
      <c r="C416" s="2" t="str">
        <f>IF(ISBLANK(Table3[[#This Row],[Investor]])," ",SUMIF(Entries[[Investor Name ]],Calculations!B416,Entries[Deposit Amount]))</f>
        <v xml:space="preserve"> </v>
      </c>
      <c r="D416" s="7" t="str" cm="1">
        <f t="array" aca="1" ref="D416" ca="1">IFERROR(C416 + SUM(Dashboard!J436:J1418)*Query17[Conversion Rate] * SUMPRODUCT((Entries[[Investor Name ]]=Calculations!B416) * (Entries[Deposit Amount]) *(Entries[Time in Fund(Days)]))/SUMPRODUCT(Entries[Deposit Amount],Entries[Time in Fund(Days)])," ")</f>
        <v xml:space="preserve"> </v>
      </c>
    </row>
    <row r="417" spans="2:4" x14ac:dyDescent="0.25">
      <c r="B417" s="6"/>
      <c r="C417" s="2" t="str">
        <f>IF(ISBLANK(Table3[[#This Row],[Investor]])," ",SUMIF(Entries[[Investor Name ]],Calculations!B417,Entries[Deposit Amount]))</f>
        <v xml:space="preserve"> </v>
      </c>
      <c r="D417" s="7" t="str" cm="1">
        <f t="array" aca="1" ref="D417" ca="1">IFERROR(C417 + SUM(Dashboard!J437:J1419)*Query17[Conversion Rate] * SUMPRODUCT((Entries[[Investor Name ]]=Calculations!B417) * (Entries[Deposit Amount]) *(Entries[Time in Fund(Days)]))/SUMPRODUCT(Entries[Deposit Amount],Entries[Time in Fund(Days)])," ")</f>
        <v xml:space="preserve"> </v>
      </c>
    </row>
    <row r="418" spans="2:4" x14ac:dyDescent="0.25">
      <c r="B418" s="6"/>
      <c r="C418" s="2" t="str">
        <f>IF(ISBLANK(Table3[[#This Row],[Investor]])," ",SUMIF(Entries[[Investor Name ]],Calculations!B418,Entries[Deposit Amount]))</f>
        <v xml:space="preserve"> </v>
      </c>
      <c r="D418" s="7" t="str" cm="1">
        <f t="array" aca="1" ref="D418" ca="1">IFERROR(C418 + SUM(Dashboard!J438:J1420)*Query17[Conversion Rate] * SUMPRODUCT((Entries[[Investor Name ]]=Calculations!B418) * (Entries[Deposit Amount]) *(Entries[Time in Fund(Days)]))/SUMPRODUCT(Entries[Deposit Amount],Entries[Time in Fund(Days)])," ")</f>
        <v xml:space="preserve"> </v>
      </c>
    </row>
    <row r="419" spans="2:4" x14ac:dyDescent="0.25">
      <c r="B419" s="6"/>
      <c r="C419" s="2" t="str">
        <f>IF(ISBLANK(Table3[[#This Row],[Investor]])," ",SUMIF(Entries[[Investor Name ]],Calculations!B419,Entries[Deposit Amount]))</f>
        <v xml:space="preserve"> </v>
      </c>
      <c r="D419" s="7" t="str" cm="1">
        <f t="array" aca="1" ref="D419" ca="1">IFERROR(C419 + SUM(Dashboard!J439:J1421)*Query17[Conversion Rate] * SUMPRODUCT((Entries[[Investor Name ]]=Calculations!B419) * (Entries[Deposit Amount]) *(Entries[Time in Fund(Days)]))/SUMPRODUCT(Entries[Deposit Amount],Entries[Time in Fund(Days)])," ")</f>
        <v xml:space="preserve"> </v>
      </c>
    </row>
    <row r="420" spans="2:4" x14ac:dyDescent="0.25">
      <c r="B420" s="6"/>
      <c r="C420" s="2" t="str">
        <f>IF(ISBLANK(Table3[[#This Row],[Investor]])," ",SUMIF(Entries[[Investor Name ]],Calculations!B420,Entries[Deposit Amount]))</f>
        <v xml:space="preserve"> </v>
      </c>
      <c r="D420" s="7" t="str" cm="1">
        <f t="array" aca="1" ref="D420" ca="1">IFERROR(C420 + SUM(Dashboard!J440:J1422)*Query17[Conversion Rate] * SUMPRODUCT((Entries[[Investor Name ]]=Calculations!B420) * (Entries[Deposit Amount]) *(Entries[Time in Fund(Days)]))/SUMPRODUCT(Entries[Deposit Amount],Entries[Time in Fund(Days)])," ")</f>
        <v xml:space="preserve"> </v>
      </c>
    </row>
    <row r="421" spans="2:4" x14ac:dyDescent="0.25">
      <c r="B421" s="6"/>
      <c r="C421" s="2" t="str">
        <f>IF(ISBLANK(Table3[[#This Row],[Investor]])," ",SUMIF(Entries[[Investor Name ]],Calculations!B421,Entries[Deposit Amount]))</f>
        <v xml:space="preserve"> </v>
      </c>
      <c r="D421" s="7" t="str" cm="1">
        <f t="array" aca="1" ref="D421" ca="1">IFERROR(C421 + SUM(Dashboard!J441:J1423)*Query17[Conversion Rate] * SUMPRODUCT((Entries[[Investor Name ]]=Calculations!B421) * (Entries[Deposit Amount]) *(Entries[Time in Fund(Days)]))/SUMPRODUCT(Entries[Deposit Amount],Entries[Time in Fund(Days)])," ")</f>
        <v xml:space="preserve"> </v>
      </c>
    </row>
    <row r="422" spans="2:4" x14ac:dyDescent="0.25">
      <c r="B422" s="6"/>
      <c r="C422" s="2" t="str">
        <f>IF(ISBLANK(Table3[[#This Row],[Investor]])," ",SUMIF(Entries[[Investor Name ]],Calculations!B422,Entries[Deposit Amount]))</f>
        <v xml:space="preserve"> </v>
      </c>
      <c r="D422" s="7" t="str" cm="1">
        <f t="array" aca="1" ref="D422" ca="1">IFERROR(C422 + SUM(Dashboard!J442:J1424)*Query17[Conversion Rate] * SUMPRODUCT((Entries[[Investor Name ]]=Calculations!B422) * (Entries[Deposit Amount]) *(Entries[Time in Fund(Days)]))/SUMPRODUCT(Entries[Deposit Amount],Entries[Time in Fund(Days)])," ")</f>
        <v xml:space="preserve"> </v>
      </c>
    </row>
    <row r="423" spans="2:4" x14ac:dyDescent="0.25">
      <c r="B423" s="6"/>
      <c r="C423" s="2" t="str">
        <f>IF(ISBLANK(Table3[[#This Row],[Investor]])," ",SUMIF(Entries[[Investor Name ]],Calculations!B423,Entries[Deposit Amount]))</f>
        <v xml:space="preserve"> </v>
      </c>
      <c r="D423" s="7" t="str" cm="1">
        <f t="array" aca="1" ref="D423" ca="1">IFERROR(C423 + SUM(Dashboard!J443:J1425)*Query17[Conversion Rate] * SUMPRODUCT((Entries[[Investor Name ]]=Calculations!B423) * (Entries[Deposit Amount]) *(Entries[Time in Fund(Days)]))/SUMPRODUCT(Entries[Deposit Amount],Entries[Time in Fund(Days)])," ")</f>
        <v xml:space="preserve"> </v>
      </c>
    </row>
    <row r="424" spans="2:4" x14ac:dyDescent="0.25">
      <c r="B424" s="6"/>
      <c r="C424" s="2" t="str">
        <f>IF(ISBLANK(Table3[[#This Row],[Investor]])," ",SUMIF(Entries[[Investor Name ]],Calculations!B424,Entries[Deposit Amount]))</f>
        <v xml:space="preserve"> </v>
      </c>
      <c r="D424" s="7" t="str" cm="1">
        <f t="array" aca="1" ref="D424" ca="1">IFERROR(C424 + SUM(Dashboard!J444:J1426)*Query17[Conversion Rate] * SUMPRODUCT((Entries[[Investor Name ]]=Calculations!B424) * (Entries[Deposit Amount]) *(Entries[Time in Fund(Days)]))/SUMPRODUCT(Entries[Deposit Amount],Entries[Time in Fund(Days)])," ")</f>
        <v xml:space="preserve"> </v>
      </c>
    </row>
    <row r="425" spans="2:4" x14ac:dyDescent="0.25">
      <c r="B425" s="6"/>
      <c r="C425" s="2" t="str">
        <f>IF(ISBLANK(Table3[[#This Row],[Investor]])," ",SUMIF(Entries[[Investor Name ]],Calculations!B425,Entries[Deposit Amount]))</f>
        <v xml:space="preserve"> </v>
      </c>
      <c r="D425" s="7" t="str" cm="1">
        <f t="array" aca="1" ref="D425" ca="1">IFERROR(C425 + SUM(Dashboard!J445:J1427)*Query17[Conversion Rate] * SUMPRODUCT((Entries[[Investor Name ]]=Calculations!B425) * (Entries[Deposit Amount]) *(Entries[Time in Fund(Days)]))/SUMPRODUCT(Entries[Deposit Amount],Entries[Time in Fund(Days)])," ")</f>
        <v xml:space="preserve"> </v>
      </c>
    </row>
    <row r="426" spans="2:4" x14ac:dyDescent="0.25">
      <c r="B426" s="6"/>
      <c r="C426" s="2" t="str">
        <f>IF(ISBLANK(Table3[[#This Row],[Investor]])," ",SUMIF(Entries[[Investor Name ]],Calculations!B426,Entries[Deposit Amount]))</f>
        <v xml:space="preserve"> </v>
      </c>
      <c r="D426" s="7" t="str" cm="1">
        <f t="array" aca="1" ref="D426" ca="1">IFERROR(C426 + SUM(Dashboard!J446:J1428)*Query17[Conversion Rate] * SUMPRODUCT((Entries[[Investor Name ]]=Calculations!B426) * (Entries[Deposit Amount]) *(Entries[Time in Fund(Days)]))/SUMPRODUCT(Entries[Deposit Amount],Entries[Time in Fund(Days)])," ")</f>
        <v xml:space="preserve"> </v>
      </c>
    </row>
    <row r="427" spans="2:4" x14ac:dyDescent="0.25">
      <c r="B427" s="6"/>
      <c r="C427" s="2" t="str">
        <f>IF(ISBLANK(Table3[[#This Row],[Investor]])," ",SUMIF(Entries[[Investor Name ]],Calculations!B427,Entries[Deposit Amount]))</f>
        <v xml:space="preserve"> </v>
      </c>
      <c r="D427" s="7" t="str" cm="1">
        <f t="array" aca="1" ref="D427" ca="1">IFERROR(C427 + SUM(Dashboard!J447:J1429)*Query17[Conversion Rate] * SUMPRODUCT((Entries[[Investor Name ]]=Calculations!B427) * (Entries[Deposit Amount]) *(Entries[Time in Fund(Days)]))/SUMPRODUCT(Entries[Deposit Amount],Entries[Time in Fund(Days)])," ")</f>
        <v xml:space="preserve"> </v>
      </c>
    </row>
    <row r="428" spans="2:4" x14ac:dyDescent="0.25">
      <c r="B428" s="6"/>
      <c r="C428" s="2" t="str">
        <f>IF(ISBLANK(Table3[[#This Row],[Investor]])," ",SUMIF(Entries[[Investor Name ]],Calculations!B428,Entries[Deposit Amount]))</f>
        <v xml:space="preserve"> </v>
      </c>
      <c r="D428" s="7" t="str" cm="1">
        <f t="array" aca="1" ref="D428" ca="1">IFERROR(C428 + SUM(Dashboard!J448:J1430)*Query17[Conversion Rate] * SUMPRODUCT((Entries[[Investor Name ]]=Calculations!B428) * (Entries[Deposit Amount]) *(Entries[Time in Fund(Days)]))/SUMPRODUCT(Entries[Deposit Amount],Entries[Time in Fund(Days)])," ")</f>
        <v xml:space="preserve"> </v>
      </c>
    </row>
    <row r="429" spans="2:4" x14ac:dyDescent="0.25">
      <c r="B429" s="6"/>
      <c r="C429" s="2" t="str">
        <f>IF(ISBLANK(Table3[[#This Row],[Investor]])," ",SUMIF(Entries[[Investor Name ]],Calculations!B429,Entries[Deposit Amount]))</f>
        <v xml:space="preserve"> </v>
      </c>
      <c r="D429" s="7" t="str" cm="1">
        <f t="array" aca="1" ref="D429" ca="1">IFERROR(C429 + SUM(Dashboard!J449:J1431)*Query17[Conversion Rate] * SUMPRODUCT((Entries[[Investor Name ]]=Calculations!B429) * (Entries[Deposit Amount]) *(Entries[Time in Fund(Days)]))/SUMPRODUCT(Entries[Deposit Amount],Entries[Time in Fund(Days)])," ")</f>
        <v xml:space="preserve"> </v>
      </c>
    </row>
    <row r="430" spans="2:4" x14ac:dyDescent="0.25">
      <c r="B430" s="6"/>
      <c r="C430" s="2" t="str">
        <f>IF(ISBLANK(Table3[[#This Row],[Investor]])," ",SUMIF(Entries[[Investor Name ]],Calculations!B430,Entries[Deposit Amount]))</f>
        <v xml:space="preserve"> </v>
      </c>
      <c r="D430" s="7" t="str" cm="1">
        <f t="array" aca="1" ref="D430" ca="1">IFERROR(C430 + SUM(Dashboard!J450:J1432)*Query17[Conversion Rate] * SUMPRODUCT((Entries[[Investor Name ]]=Calculations!B430) * (Entries[Deposit Amount]) *(Entries[Time in Fund(Days)]))/SUMPRODUCT(Entries[Deposit Amount],Entries[Time in Fund(Days)])," ")</f>
        <v xml:space="preserve"> </v>
      </c>
    </row>
    <row r="431" spans="2:4" x14ac:dyDescent="0.25">
      <c r="B431" s="6"/>
      <c r="C431" s="2" t="str">
        <f>IF(ISBLANK(Table3[[#This Row],[Investor]])," ",SUMIF(Entries[[Investor Name ]],Calculations!B431,Entries[Deposit Amount]))</f>
        <v xml:space="preserve"> </v>
      </c>
      <c r="D431" s="7" t="str" cm="1">
        <f t="array" aca="1" ref="D431" ca="1">IFERROR(C431 + SUM(Dashboard!J451:J1433)*Query17[Conversion Rate] * SUMPRODUCT((Entries[[Investor Name ]]=Calculations!B431) * (Entries[Deposit Amount]) *(Entries[Time in Fund(Days)]))/SUMPRODUCT(Entries[Deposit Amount],Entries[Time in Fund(Days)])," ")</f>
        <v xml:space="preserve"> </v>
      </c>
    </row>
    <row r="432" spans="2:4" x14ac:dyDescent="0.25">
      <c r="B432" s="6"/>
      <c r="C432" s="2" t="str">
        <f>IF(ISBLANK(Table3[[#This Row],[Investor]])," ",SUMIF(Entries[[Investor Name ]],Calculations!B432,Entries[Deposit Amount]))</f>
        <v xml:space="preserve"> </v>
      </c>
      <c r="D432" s="7" t="str" cm="1">
        <f t="array" aca="1" ref="D432" ca="1">IFERROR(C432 + SUM(Dashboard!J452:J1434)*Query17[Conversion Rate] * SUMPRODUCT((Entries[[Investor Name ]]=Calculations!B432) * (Entries[Deposit Amount]) *(Entries[Time in Fund(Days)]))/SUMPRODUCT(Entries[Deposit Amount],Entries[Time in Fund(Days)])," ")</f>
        <v xml:space="preserve"> </v>
      </c>
    </row>
    <row r="433" spans="2:4" x14ac:dyDescent="0.25">
      <c r="B433" s="6"/>
      <c r="C433" s="2" t="str">
        <f>IF(ISBLANK(Table3[[#This Row],[Investor]])," ",SUMIF(Entries[[Investor Name ]],Calculations!B433,Entries[Deposit Amount]))</f>
        <v xml:space="preserve"> </v>
      </c>
      <c r="D433" s="7" t="str" cm="1">
        <f t="array" aca="1" ref="D433" ca="1">IFERROR(C433 + SUM(Dashboard!J453:J1435)*Query17[Conversion Rate] * SUMPRODUCT((Entries[[Investor Name ]]=Calculations!B433) * (Entries[Deposit Amount]) *(Entries[Time in Fund(Days)]))/SUMPRODUCT(Entries[Deposit Amount],Entries[Time in Fund(Days)])," ")</f>
        <v xml:space="preserve"> </v>
      </c>
    </row>
    <row r="434" spans="2:4" x14ac:dyDescent="0.25">
      <c r="B434" s="6"/>
      <c r="C434" s="2" t="str">
        <f>IF(ISBLANK(Table3[[#This Row],[Investor]])," ",SUMIF(Entries[[Investor Name ]],Calculations!B434,Entries[Deposit Amount]))</f>
        <v xml:space="preserve"> </v>
      </c>
      <c r="D434" s="7" t="str" cm="1">
        <f t="array" aca="1" ref="D434" ca="1">IFERROR(C434 + SUM(Dashboard!J454:J1436)*Query17[Conversion Rate] * SUMPRODUCT((Entries[[Investor Name ]]=Calculations!B434) * (Entries[Deposit Amount]) *(Entries[Time in Fund(Days)]))/SUMPRODUCT(Entries[Deposit Amount],Entries[Time in Fund(Days)])," ")</f>
        <v xml:space="preserve"> </v>
      </c>
    </row>
    <row r="435" spans="2:4" x14ac:dyDescent="0.25">
      <c r="B435" s="6"/>
      <c r="C435" s="2" t="str">
        <f>IF(ISBLANK(Table3[[#This Row],[Investor]])," ",SUMIF(Entries[[Investor Name ]],Calculations!B435,Entries[Deposit Amount]))</f>
        <v xml:space="preserve"> </v>
      </c>
      <c r="D435" s="7" t="str" cm="1">
        <f t="array" aca="1" ref="D435" ca="1">IFERROR(C435 + SUM(Dashboard!J455:J1437)*Query17[Conversion Rate] * SUMPRODUCT((Entries[[Investor Name ]]=Calculations!B435) * (Entries[Deposit Amount]) *(Entries[Time in Fund(Days)]))/SUMPRODUCT(Entries[Deposit Amount],Entries[Time in Fund(Days)])," ")</f>
        <v xml:space="preserve"> </v>
      </c>
    </row>
    <row r="436" spans="2:4" x14ac:dyDescent="0.25">
      <c r="B436" s="6"/>
      <c r="C436" s="2" t="str">
        <f>IF(ISBLANK(Table3[[#This Row],[Investor]])," ",SUMIF(Entries[[Investor Name ]],Calculations!B436,Entries[Deposit Amount]))</f>
        <v xml:space="preserve"> </v>
      </c>
      <c r="D436" s="7" t="str" cm="1">
        <f t="array" aca="1" ref="D436" ca="1">IFERROR(C436 + SUM(Dashboard!J456:J1438)*Query17[Conversion Rate] * SUMPRODUCT((Entries[[Investor Name ]]=Calculations!B436) * (Entries[Deposit Amount]) *(Entries[Time in Fund(Days)]))/SUMPRODUCT(Entries[Deposit Amount],Entries[Time in Fund(Days)])," ")</f>
        <v xml:space="preserve"> </v>
      </c>
    </row>
    <row r="437" spans="2:4" x14ac:dyDescent="0.25">
      <c r="B437" s="6"/>
      <c r="C437" s="2" t="str">
        <f>IF(ISBLANK(Table3[[#This Row],[Investor]])," ",SUMIF(Entries[[Investor Name ]],Calculations!B437,Entries[Deposit Amount]))</f>
        <v xml:space="preserve"> </v>
      </c>
      <c r="D437" s="7" t="str" cm="1">
        <f t="array" aca="1" ref="D437" ca="1">IFERROR(C437 + SUM(Dashboard!J457:J1439)*Query17[Conversion Rate] * SUMPRODUCT((Entries[[Investor Name ]]=Calculations!B437) * (Entries[Deposit Amount]) *(Entries[Time in Fund(Days)]))/SUMPRODUCT(Entries[Deposit Amount],Entries[Time in Fund(Days)])," ")</f>
        <v xml:space="preserve"> </v>
      </c>
    </row>
    <row r="438" spans="2:4" x14ac:dyDescent="0.25">
      <c r="B438" s="6"/>
      <c r="C438" s="2" t="str">
        <f>IF(ISBLANK(Table3[[#This Row],[Investor]])," ",SUMIF(Entries[[Investor Name ]],Calculations!B438,Entries[Deposit Amount]))</f>
        <v xml:space="preserve"> </v>
      </c>
      <c r="D438" s="7" t="str" cm="1">
        <f t="array" aca="1" ref="D438" ca="1">IFERROR(C438 + SUM(Dashboard!J458:J1440)*Query17[Conversion Rate] * SUMPRODUCT((Entries[[Investor Name ]]=Calculations!B438) * (Entries[Deposit Amount]) *(Entries[Time in Fund(Days)]))/SUMPRODUCT(Entries[Deposit Amount],Entries[Time in Fund(Days)])," ")</f>
        <v xml:space="preserve"> </v>
      </c>
    </row>
    <row r="439" spans="2:4" x14ac:dyDescent="0.25">
      <c r="B439" s="6"/>
      <c r="C439" s="2" t="str">
        <f>IF(ISBLANK(Table3[[#This Row],[Investor]])," ",SUMIF(Entries[[Investor Name ]],Calculations!B439,Entries[Deposit Amount]))</f>
        <v xml:space="preserve"> </v>
      </c>
      <c r="D439" s="7" t="str" cm="1">
        <f t="array" aca="1" ref="D439" ca="1">IFERROR(C439 + SUM(Dashboard!J459:J1441)*Query17[Conversion Rate] * SUMPRODUCT((Entries[[Investor Name ]]=Calculations!B439) * (Entries[Deposit Amount]) *(Entries[Time in Fund(Days)]))/SUMPRODUCT(Entries[Deposit Amount],Entries[Time in Fund(Days)])," ")</f>
        <v xml:space="preserve"> </v>
      </c>
    </row>
    <row r="440" spans="2:4" x14ac:dyDescent="0.25">
      <c r="B440" s="6"/>
      <c r="C440" s="2" t="str">
        <f>IF(ISBLANK(Table3[[#This Row],[Investor]])," ",SUMIF(Entries[[Investor Name ]],Calculations!B440,Entries[Deposit Amount]))</f>
        <v xml:space="preserve"> </v>
      </c>
      <c r="D440" s="7" t="str" cm="1">
        <f t="array" aca="1" ref="D440" ca="1">IFERROR(C440 + SUM(Dashboard!J460:J1442)*Query17[Conversion Rate] * SUMPRODUCT((Entries[[Investor Name ]]=Calculations!B440) * (Entries[Deposit Amount]) *(Entries[Time in Fund(Days)]))/SUMPRODUCT(Entries[Deposit Amount],Entries[Time in Fund(Days)])," ")</f>
        <v xml:space="preserve"> </v>
      </c>
    </row>
    <row r="441" spans="2:4" x14ac:dyDescent="0.25">
      <c r="B441" s="6"/>
      <c r="C441" s="2" t="str">
        <f>IF(ISBLANK(Table3[[#This Row],[Investor]])," ",SUMIF(Entries[[Investor Name ]],Calculations!B441,Entries[Deposit Amount]))</f>
        <v xml:space="preserve"> </v>
      </c>
      <c r="D441" s="7" t="str" cm="1">
        <f t="array" aca="1" ref="D441" ca="1">IFERROR(C441 + SUM(Dashboard!J461:J1443)*Query17[Conversion Rate] * SUMPRODUCT((Entries[[Investor Name ]]=Calculations!B441) * (Entries[Deposit Amount]) *(Entries[Time in Fund(Days)]))/SUMPRODUCT(Entries[Deposit Amount],Entries[Time in Fund(Days)])," ")</f>
        <v xml:space="preserve"> </v>
      </c>
    </row>
    <row r="442" spans="2:4" x14ac:dyDescent="0.25">
      <c r="B442" s="6"/>
      <c r="C442" s="2" t="str">
        <f>IF(ISBLANK(Table3[[#This Row],[Investor]])," ",SUMIF(Entries[[Investor Name ]],Calculations!B442,Entries[Deposit Amount]))</f>
        <v xml:space="preserve"> </v>
      </c>
      <c r="D442" s="7" t="str" cm="1">
        <f t="array" aca="1" ref="D442" ca="1">IFERROR(C442 + SUM(Dashboard!J462:J1444)*Query17[Conversion Rate] * SUMPRODUCT((Entries[[Investor Name ]]=Calculations!B442) * (Entries[Deposit Amount]) *(Entries[Time in Fund(Days)]))/SUMPRODUCT(Entries[Deposit Amount],Entries[Time in Fund(Days)])," ")</f>
        <v xml:space="preserve"> </v>
      </c>
    </row>
    <row r="443" spans="2:4" x14ac:dyDescent="0.25">
      <c r="B443" s="6"/>
      <c r="C443" s="2" t="str">
        <f>IF(ISBLANK(Table3[[#This Row],[Investor]])," ",SUMIF(Entries[[Investor Name ]],Calculations!B443,Entries[Deposit Amount]))</f>
        <v xml:space="preserve"> </v>
      </c>
      <c r="D443" s="7" t="str" cm="1">
        <f t="array" aca="1" ref="D443" ca="1">IFERROR(C443 + SUM(Dashboard!J463:J1445)*Query17[Conversion Rate] * SUMPRODUCT((Entries[[Investor Name ]]=Calculations!B443) * (Entries[Deposit Amount]) *(Entries[Time in Fund(Days)]))/SUMPRODUCT(Entries[Deposit Amount],Entries[Time in Fund(Days)])," ")</f>
        <v xml:space="preserve"> </v>
      </c>
    </row>
    <row r="444" spans="2:4" x14ac:dyDescent="0.25">
      <c r="B444" s="6"/>
      <c r="C444" s="2" t="str">
        <f>IF(ISBLANK(Table3[[#This Row],[Investor]])," ",SUMIF(Entries[[Investor Name ]],Calculations!B444,Entries[Deposit Amount]))</f>
        <v xml:space="preserve"> </v>
      </c>
      <c r="D444" s="7" t="str" cm="1">
        <f t="array" aca="1" ref="D444" ca="1">IFERROR(C444 + SUM(Dashboard!J464:J1446)*Query17[Conversion Rate] * SUMPRODUCT((Entries[[Investor Name ]]=Calculations!B444) * (Entries[Deposit Amount]) *(Entries[Time in Fund(Days)]))/SUMPRODUCT(Entries[Deposit Amount],Entries[Time in Fund(Days)])," ")</f>
        <v xml:space="preserve"> </v>
      </c>
    </row>
    <row r="445" spans="2:4" x14ac:dyDescent="0.25">
      <c r="B445" s="6"/>
      <c r="C445" s="2" t="str">
        <f>IF(ISBLANK(Table3[[#This Row],[Investor]])," ",SUMIF(Entries[[Investor Name ]],Calculations!B445,Entries[Deposit Amount]))</f>
        <v xml:space="preserve"> </v>
      </c>
      <c r="D445" s="7" t="str" cm="1">
        <f t="array" aca="1" ref="D445" ca="1">IFERROR(C445 + SUM(Dashboard!J465:J1447)*Query17[Conversion Rate] * SUMPRODUCT((Entries[[Investor Name ]]=Calculations!B445) * (Entries[Deposit Amount]) *(Entries[Time in Fund(Days)]))/SUMPRODUCT(Entries[Deposit Amount],Entries[Time in Fund(Days)])," ")</f>
        <v xml:space="preserve"> </v>
      </c>
    </row>
    <row r="446" spans="2:4" x14ac:dyDescent="0.25">
      <c r="B446" s="6"/>
      <c r="C446" s="2" t="str">
        <f>IF(ISBLANK(Table3[[#This Row],[Investor]])," ",SUMIF(Entries[[Investor Name ]],Calculations!B446,Entries[Deposit Amount]))</f>
        <v xml:space="preserve"> </v>
      </c>
      <c r="D446" s="7" t="str" cm="1">
        <f t="array" aca="1" ref="D446" ca="1">IFERROR(C446 + SUM(Dashboard!J466:J1448)*Query17[Conversion Rate] * SUMPRODUCT((Entries[[Investor Name ]]=Calculations!B446) * (Entries[Deposit Amount]) *(Entries[Time in Fund(Days)]))/SUMPRODUCT(Entries[Deposit Amount],Entries[Time in Fund(Days)])," ")</f>
        <v xml:space="preserve"> </v>
      </c>
    </row>
    <row r="447" spans="2:4" x14ac:dyDescent="0.25">
      <c r="B447" s="6"/>
      <c r="C447" s="2" t="str">
        <f>IF(ISBLANK(Table3[[#This Row],[Investor]])," ",SUMIF(Entries[[Investor Name ]],Calculations!B447,Entries[Deposit Amount]))</f>
        <v xml:space="preserve"> </v>
      </c>
      <c r="D447" s="7" t="str" cm="1">
        <f t="array" aca="1" ref="D447" ca="1">IFERROR(C447 + SUM(Dashboard!J467:J1449)*Query17[Conversion Rate] * SUMPRODUCT((Entries[[Investor Name ]]=Calculations!B447) * (Entries[Deposit Amount]) *(Entries[Time in Fund(Days)]))/SUMPRODUCT(Entries[Deposit Amount],Entries[Time in Fund(Days)])," ")</f>
        <v xml:space="preserve"> </v>
      </c>
    </row>
    <row r="448" spans="2:4" x14ac:dyDescent="0.25">
      <c r="B448" s="6"/>
      <c r="C448" s="2" t="str">
        <f>IF(ISBLANK(Table3[[#This Row],[Investor]])," ",SUMIF(Entries[[Investor Name ]],Calculations!B448,Entries[Deposit Amount]))</f>
        <v xml:space="preserve"> </v>
      </c>
      <c r="D448" s="7" t="str" cm="1">
        <f t="array" aca="1" ref="D448" ca="1">IFERROR(C448 + SUM(Dashboard!J468:J1450)*Query17[Conversion Rate] * SUMPRODUCT((Entries[[Investor Name ]]=Calculations!B448) * (Entries[Deposit Amount]) *(Entries[Time in Fund(Days)]))/SUMPRODUCT(Entries[Deposit Amount],Entries[Time in Fund(Days)])," ")</f>
        <v xml:space="preserve"> </v>
      </c>
    </row>
    <row r="449" spans="2:4" x14ac:dyDescent="0.25">
      <c r="B449" s="6"/>
      <c r="C449" s="2" t="str">
        <f>IF(ISBLANK(Table3[[#This Row],[Investor]])," ",SUMIF(Entries[[Investor Name ]],Calculations!B449,Entries[Deposit Amount]))</f>
        <v xml:space="preserve"> </v>
      </c>
      <c r="D449" s="7" t="str" cm="1">
        <f t="array" aca="1" ref="D449" ca="1">IFERROR(C449 + SUM(Dashboard!J469:J1451)*Query17[Conversion Rate] * SUMPRODUCT((Entries[[Investor Name ]]=Calculations!B449) * (Entries[Deposit Amount]) *(Entries[Time in Fund(Days)]))/SUMPRODUCT(Entries[Deposit Amount],Entries[Time in Fund(Days)])," ")</f>
        <v xml:space="preserve"> </v>
      </c>
    </row>
    <row r="450" spans="2:4" x14ac:dyDescent="0.25">
      <c r="B450" s="6"/>
      <c r="C450" s="2" t="str">
        <f>IF(ISBLANK(Table3[[#This Row],[Investor]])," ",SUMIF(Entries[[Investor Name ]],Calculations!B450,Entries[Deposit Amount]))</f>
        <v xml:space="preserve"> </v>
      </c>
      <c r="D450" s="7" t="str" cm="1">
        <f t="array" aca="1" ref="D450" ca="1">IFERROR(C450 + SUM(Dashboard!J470:J1452)*Query17[Conversion Rate] * SUMPRODUCT((Entries[[Investor Name ]]=Calculations!B450) * (Entries[Deposit Amount]) *(Entries[Time in Fund(Days)]))/SUMPRODUCT(Entries[Deposit Amount],Entries[Time in Fund(Days)])," ")</f>
        <v xml:space="preserve"> </v>
      </c>
    </row>
    <row r="451" spans="2:4" x14ac:dyDescent="0.25">
      <c r="B451" s="6"/>
      <c r="C451" s="2" t="str">
        <f>IF(ISBLANK(Table3[[#This Row],[Investor]])," ",SUMIF(Entries[[Investor Name ]],Calculations!B451,Entries[Deposit Amount]))</f>
        <v xml:space="preserve"> </v>
      </c>
      <c r="D451" s="7" t="str" cm="1">
        <f t="array" aca="1" ref="D451" ca="1">IFERROR(C451 + SUM(Dashboard!J471:J1453)*Query17[Conversion Rate] * SUMPRODUCT((Entries[[Investor Name ]]=Calculations!B451) * (Entries[Deposit Amount]) *(Entries[Time in Fund(Days)]))/SUMPRODUCT(Entries[Deposit Amount],Entries[Time in Fund(Days)])," ")</f>
        <v xml:space="preserve"> </v>
      </c>
    </row>
    <row r="452" spans="2:4" x14ac:dyDescent="0.25">
      <c r="B452" s="6"/>
      <c r="C452" s="2" t="str">
        <f>IF(ISBLANK(Table3[[#This Row],[Investor]])," ",SUMIF(Entries[[Investor Name ]],Calculations!B452,Entries[Deposit Amount]))</f>
        <v xml:space="preserve"> </v>
      </c>
      <c r="D452" s="7" t="str" cm="1">
        <f t="array" aca="1" ref="D452" ca="1">IFERROR(C452 + SUM(Dashboard!J472:J1454)*Query17[Conversion Rate] * SUMPRODUCT((Entries[[Investor Name ]]=Calculations!B452) * (Entries[Deposit Amount]) *(Entries[Time in Fund(Days)]))/SUMPRODUCT(Entries[Deposit Amount],Entries[Time in Fund(Days)])," ")</f>
        <v xml:space="preserve"> </v>
      </c>
    </row>
    <row r="453" spans="2:4" x14ac:dyDescent="0.25">
      <c r="B453" s="6"/>
      <c r="C453" s="2" t="str">
        <f>IF(ISBLANK(Table3[[#This Row],[Investor]])," ",SUMIF(Entries[[Investor Name ]],Calculations!B453,Entries[Deposit Amount]))</f>
        <v xml:space="preserve"> </v>
      </c>
      <c r="D453" s="7" t="str" cm="1">
        <f t="array" aca="1" ref="D453" ca="1">IFERROR(C453 + SUM(Dashboard!J473:J1455)*Query17[Conversion Rate] * SUMPRODUCT((Entries[[Investor Name ]]=Calculations!B453) * (Entries[Deposit Amount]) *(Entries[Time in Fund(Days)]))/SUMPRODUCT(Entries[Deposit Amount],Entries[Time in Fund(Days)])," ")</f>
        <v xml:space="preserve"> </v>
      </c>
    </row>
    <row r="454" spans="2:4" x14ac:dyDescent="0.25">
      <c r="B454" s="6"/>
      <c r="C454" s="2" t="str">
        <f>IF(ISBLANK(Table3[[#This Row],[Investor]])," ",SUMIF(Entries[[Investor Name ]],Calculations!B454,Entries[Deposit Amount]))</f>
        <v xml:space="preserve"> </v>
      </c>
      <c r="D454" s="7" t="str" cm="1">
        <f t="array" aca="1" ref="D454" ca="1">IFERROR(C454 + SUM(Dashboard!J474:J1456)*Query17[Conversion Rate] * SUMPRODUCT((Entries[[Investor Name ]]=Calculations!B454) * (Entries[Deposit Amount]) *(Entries[Time in Fund(Days)]))/SUMPRODUCT(Entries[Deposit Amount],Entries[Time in Fund(Days)])," ")</f>
        <v xml:space="preserve"> </v>
      </c>
    </row>
    <row r="455" spans="2:4" x14ac:dyDescent="0.25">
      <c r="B455" s="6"/>
      <c r="C455" s="2" t="str">
        <f>IF(ISBLANK(Table3[[#This Row],[Investor]])," ",SUMIF(Entries[[Investor Name ]],Calculations!B455,Entries[Deposit Amount]))</f>
        <v xml:space="preserve"> </v>
      </c>
      <c r="D455" s="7" t="str" cm="1">
        <f t="array" aca="1" ref="D455" ca="1">IFERROR(C455 + SUM(Dashboard!J475:J1457)*Query17[Conversion Rate] * SUMPRODUCT((Entries[[Investor Name ]]=Calculations!B455) * (Entries[Deposit Amount]) *(Entries[Time in Fund(Days)]))/SUMPRODUCT(Entries[Deposit Amount],Entries[Time in Fund(Days)])," ")</f>
        <v xml:space="preserve"> </v>
      </c>
    </row>
    <row r="456" spans="2:4" x14ac:dyDescent="0.25">
      <c r="B456" s="6"/>
      <c r="C456" s="2" t="str">
        <f>IF(ISBLANK(Table3[[#This Row],[Investor]])," ",SUMIF(Entries[[Investor Name ]],Calculations!B456,Entries[Deposit Amount]))</f>
        <v xml:space="preserve"> </v>
      </c>
      <c r="D456" s="7" t="str" cm="1">
        <f t="array" aca="1" ref="D456" ca="1">IFERROR(C456 + SUM(Dashboard!J476:J1458)*Query17[Conversion Rate] * SUMPRODUCT((Entries[[Investor Name ]]=Calculations!B456) * (Entries[Deposit Amount]) *(Entries[Time in Fund(Days)]))/SUMPRODUCT(Entries[Deposit Amount],Entries[Time in Fund(Days)])," ")</f>
        <v xml:space="preserve"> </v>
      </c>
    </row>
    <row r="457" spans="2:4" x14ac:dyDescent="0.25">
      <c r="B457" s="6"/>
      <c r="C457" s="2" t="str">
        <f>IF(ISBLANK(Table3[[#This Row],[Investor]])," ",SUMIF(Entries[[Investor Name ]],Calculations!B457,Entries[Deposit Amount]))</f>
        <v xml:space="preserve"> </v>
      </c>
      <c r="D457" s="7" t="str" cm="1">
        <f t="array" aca="1" ref="D457" ca="1">IFERROR(C457 + SUM(Dashboard!J477:J1459)*Query17[Conversion Rate] * SUMPRODUCT((Entries[[Investor Name ]]=Calculations!B457) * (Entries[Deposit Amount]) *(Entries[Time in Fund(Days)]))/SUMPRODUCT(Entries[Deposit Amount],Entries[Time in Fund(Days)])," ")</f>
        <v xml:space="preserve"> </v>
      </c>
    </row>
    <row r="458" spans="2:4" x14ac:dyDescent="0.25">
      <c r="B458" s="6"/>
      <c r="C458" s="2" t="str">
        <f>IF(ISBLANK(Table3[[#This Row],[Investor]])," ",SUMIF(Entries[[Investor Name ]],Calculations!B458,Entries[Deposit Amount]))</f>
        <v xml:space="preserve"> </v>
      </c>
      <c r="D458" s="7" t="str" cm="1">
        <f t="array" aca="1" ref="D458" ca="1">IFERROR(C458 + SUM(Dashboard!J478:J1460)*Query17[Conversion Rate] * SUMPRODUCT((Entries[[Investor Name ]]=Calculations!B458) * (Entries[Deposit Amount]) *(Entries[Time in Fund(Days)]))/SUMPRODUCT(Entries[Deposit Amount],Entries[Time in Fund(Days)])," ")</f>
        <v xml:space="preserve"> </v>
      </c>
    </row>
    <row r="459" spans="2:4" x14ac:dyDescent="0.25">
      <c r="B459" s="6"/>
      <c r="C459" s="2" t="str">
        <f>IF(ISBLANK(Table3[[#This Row],[Investor]])," ",SUMIF(Entries[[Investor Name ]],Calculations!B459,Entries[Deposit Amount]))</f>
        <v xml:space="preserve"> </v>
      </c>
      <c r="D459" s="7" t="str" cm="1">
        <f t="array" aca="1" ref="D459" ca="1">IFERROR(C459 + SUM(Dashboard!J479:J1461)*Query17[Conversion Rate] * SUMPRODUCT((Entries[[Investor Name ]]=Calculations!B459) * (Entries[Deposit Amount]) *(Entries[Time in Fund(Days)]))/SUMPRODUCT(Entries[Deposit Amount],Entries[Time in Fund(Days)])," ")</f>
        <v xml:space="preserve"> </v>
      </c>
    </row>
    <row r="460" spans="2:4" x14ac:dyDescent="0.25">
      <c r="B460" s="6"/>
      <c r="C460" s="2" t="str">
        <f>IF(ISBLANK(Table3[[#This Row],[Investor]])," ",SUMIF(Entries[[Investor Name ]],Calculations!B460,Entries[Deposit Amount]))</f>
        <v xml:space="preserve"> </v>
      </c>
      <c r="D460" s="7" t="str" cm="1">
        <f t="array" aca="1" ref="D460" ca="1">IFERROR(C460 + SUM(Dashboard!J480:J1462)*Query17[Conversion Rate] * SUMPRODUCT((Entries[[Investor Name ]]=Calculations!B460) * (Entries[Deposit Amount]) *(Entries[Time in Fund(Days)]))/SUMPRODUCT(Entries[Deposit Amount],Entries[Time in Fund(Days)])," ")</f>
        <v xml:space="preserve"> </v>
      </c>
    </row>
    <row r="461" spans="2:4" x14ac:dyDescent="0.25">
      <c r="B461" s="6"/>
      <c r="C461" s="2" t="str">
        <f>IF(ISBLANK(Table3[[#This Row],[Investor]])," ",SUMIF(Entries[[Investor Name ]],Calculations!B461,Entries[Deposit Amount]))</f>
        <v xml:space="preserve"> </v>
      </c>
      <c r="D461" s="7" t="str" cm="1">
        <f t="array" aca="1" ref="D461" ca="1">IFERROR(C461 + SUM(Dashboard!J481:J1463)*Query17[Conversion Rate] * SUMPRODUCT((Entries[[Investor Name ]]=Calculations!B461) * (Entries[Deposit Amount]) *(Entries[Time in Fund(Days)]))/SUMPRODUCT(Entries[Deposit Amount],Entries[Time in Fund(Days)])," ")</f>
        <v xml:space="preserve"> </v>
      </c>
    </row>
    <row r="462" spans="2:4" x14ac:dyDescent="0.25">
      <c r="B462" s="6"/>
      <c r="C462" s="2" t="str">
        <f>IF(ISBLANK(Table3[[#This Row],[Investor]])," ",SUMIF(Entries[[Investor Name ]],Calculations!B462,Entries[Deposit Amount]))</f>
        <v xml:space="preserve"> </v>
      </c>
      <c r="D462" s="7" t="str" cm="1">
        <f t="array" aca="1" ref="D462" ca="1">IFERROR(C462 + SUM(Dashboard!J482:J1464)*Query17[Conversion Rate] * SUMPRODUCT((Entries[[Investor Name ]]=Calculations!B462) * (Entries[Deposit Amount]) *(Entries[Time in Fund(Days)]))/SUMPRODUCT(Entries[Deposit Amount],Entries[Time in Fund(Days)])," ")</f>
        <v xml:space="preserve"> </v>
      </c>
    </row>
    <row r="463" spans="2:4" x14ac:dyDescent="0.25">
      <c r="B463" s="6"/>
      <c r="C463" s="2" t="str">
        <f>IF(ISBLANK(Table3[[#This Row],[Investor]])," ",SUMIF(Entries[[Investor Name ]],Calculations!B463,Entries[Deposit Amount]))</f>
        <v xml:space="preserve"> </v>
      </c>
      <c r="D463" s="7" t="str" cm="1">
        <f t="array" aca="1" ref="D463" ca="1">IFERROR(C463 + SUM(Dashboard!J483:J1465)*Query17[Conversion Rate] * SUMPRODUCT((Entries[[Investor Name ]]=Calculations!B463) * (Entries[Deposit Amount]) *(Entries[Time in Fund(Days)]))/SUMPRODUCT(Entries[Deposit Amount],Entries[Time in Fund(Days)])," ")</f>
        <v xml:space="preserve"> </v>
      </c>
    </row>
    <row r="464" spans="2:4" x14ac:dyDescent="0.25">
      <c r="B464" s="6"/>
      <c r="C464" s="2" t="str">
        <f>IF(ISBLANK(Table3[[#This Row],[Investor]])," ",SUMIF(Entries[[Investor Name ]],Calculations!B464,Entries[Deposit Amount]))</f>
        <v xml:space="preserve"> </v>
      </c>
      <c r="D464" s="7" t="str" cm="1">
        <f t="array" aca="1" ref="D464" ca="1">IFERROR(C464 + SUM(Dashboard!J484:J1466)*Query17[Conversion Rate] * SUMPRODUCT((Entries[[Investor Name ]]=Calculations!B464) * (Entries[Deposit Amount]) *(Entries[Time in Fund(Days)]))/SUMPRODUCT(Entries[Deposit Amount],Entries[Time in Fund(Days)])," ")</f>
        <v xml:space="preserve"> </v>
      </c>
    </row>
    <row r="465" spans="2:4" x14ac:dyDescent="0.25">
      <c r="B465" s="6"/>
      <c r="C465" s="2" t="str">
        <f>IF(ISBLANK(Table3[[#This Row],[Investor]])," ",SUMIF(Entries[[Investor Name ]],Calculations!B465,Entries[Deposit Amount]))</f>
        <v xml:space="preserve"> </v>
      </c>
      <c r="D465" s="7" t="str" cm="1">
        <f t="array" aca="1" ref="D465" ca="1">IFERROR(C465 + SUM(Dashboard!J485:J1467)*Query17[Conversion Rate] * SUMPRODUCT((Entries[[Investor Name ]]=Calculations!B465) * (Entries[Deposit Amount]) *(Entries[Time in Fund(Days)]))/SUMPRODUCT(Entries[Deposit Amount],Entries[Time in Fund(Days)])," ")</f>
        <v xml:space="preserve"> </v>
      </c>
    </row>
    <row r="466" spans="2:4" x14ac:dyDescent="0.25">
      <c r="B466" s="6"/>
      <c r="C466" s="2" t="str">
        <f>IF(ISBLANK(Table3[[#This Row],[Investor]])," ",SUMIF(Entries[[Investor Name ]],Calculations!B466,Entries[Deposit Amount]))</f>
        <v xml:space="preserve"> </v>
      </c>
      <c r="D466" s="7" t="str" cm="1">
        <f t="array" aca="1" ref="D466" ca="1">IFERROR(C466 + SUM(Dashboard!J486:J1468)*Query17[Conversion Rate] * SUMPRODUCT((Entries[[Investor Name ]]=Calculations!B466) * (Entries[Deposit Amount]) *(Entries[Time in Fund(Days)]))/SUMPRODUCT(Entries[Deposit Amount],Entries[Time in Fund(Days)])," ")</f>
        <v xml:space="preserve"> </v>
      </c>
    </row>
    <row r="467" spans="2:4" x14ac:dyDescent="0.25">
      <c r="B467" s="6"/>
      <c r="C467" s="2" t="str">
        <f>IF(ISBLANK(Table3[[#This Row],[Investor]])," ",SUMIF(Entries[[Investor Name ]],Calculations!B467,Entries[Deposit Amount]))</f>
        <v xml:space="preserve"> </v>
      </c>
      <c r="D467" s="7" t="str" cm="1">
        <f t="array" aca="1" ref="D467" ca="1">IFERROR(C467 + SUM(Dashboard!J487:J1469)*Query17[Conversion Rate] * SUMPRODUCT((Entries[[Investor Name ]]=Calculations!B467) * (Entries[Deposit Amount]) *(Entries[Time in Fund(Days)]))/SUMPRODUCT(Entries[Deposit Amount],Entries[Time in Fund(Days)])," ")</f>
        <v xml:space="preserve"> </v>
      </c>
    </row>
    <row r="468" spans="2:4" x14ac:dyDescent="0.25">
      <c r="B468" s="6"/>
      <c r="C468" s="2" t="str">
        <f>IF(ISBLANK(Table3[[#This Row],[Investor]])," ",SUMIF(Entries[[Investor Name ]],Calculations!B468,Entries[Deposit Amount]))</f>
        <v xml:space="preserve"> </v>
      </c>
      <c r="D468" s="7" t="str" cm="1">
        <f t="array" aca="1" ref="D468" ca="1">IFERROR(C468 + SUM(Dashboard!J488:J1470)*Query17[Conversion Rate] * SUMPRODUCT((Entries[[Investor Name ]]=Calculations!B468) * (Entries[Deposit Amount]) *(Entries[Time in Fund(Days)]))/SUMPRODUCT(Entries[Deposit Amount],Entries[Time in Fund(Days)])," ")</f>
        <v xml:space="preserve"> </v>
      </c>
    </row>
    <row r="469" spans="2:4" x14ac:dyDescent="0.25">
      <c r="B469" s="6"/>
      <c r="C469" s="2" t="str">
        <f>IF(ISBLANK(Table3[[#This Row],[Investor]])," ",SUMIF(Entries[[Investor Name ]],Calculations!B469,Entries[Deposit Amount]))</f>
        <v xml:space="preserve"> </v>
      </c>
      <c r="D469" s="7" t="str" cm="1">
        <f t="array" aca="1" ref="D469" ca="1">IFERROR(C469 + SUM(Dashboard!J489:J1471)*Query17[Conversion Rate] * SUMPRODUCT((Entries[[Investor Name ]]=Calculations!B469) * (Entries[Deposit Amount]) *(Entries[Time in Fund(Days)]))/SUMPRODUCT(Entries[Deposit Amount],Entries[Time in Fund(Days)])," ")</f>
        <v xml:space="preserve"> </v>
      </c>
    </row>
    <row r="470" spans="2:4" x14ac:dyDescent="0.25">
      <c r="B470" s="6"/>
      <c r="C470" s="2" t="str">
        <f>IF(ISBLANK(Table3[[#This Row],[Investor]])," ",SUMIF(Entries[[Investor Name ]],Calculations!B470,Entries[Deposit Amount]))</f>
        <v xml:space="preserve"> </v>
      </c>
      <c r="D470" s="7" t="str" cm="1">
        <f t="array" aca="1" ref="D470" ca="1">IFERROR(C470 + SUM(Dashboard!J490:J1472)*Query17[Conversion Rate] * SUMPRODUCT((Entries[[Investor Name ]]=Calculations!B470) * (Entries[Deposit Amount]) *(Entries[Time in Fund(Days)]))/SUMPRODUCT(Entries[Deposit Amount],Entries[Time in Fund(Days)])," ")</f>
        <v xml:space="preserve"> </v>
      </c>
    </row>
    <row r="471" spans="2:4" x14ac:dyDescent="0.25">
      <c r="B471" s="6"/>
      <c r="C471" s="2" t="str">
        <f>IF(ISBLANK(Table3[[#This Row],[Investor]])," ",SUMIF(Entries[[Investor Name ]],Calculations!B471,Entries[Deposit Amount]))</f>
        <v xml:space="preserve"> </v>
      </c>
      <c r="D471" s="7" t="str" cm="1">
        <f t="array" aca="1" ref="D471" ca="1">IFERROR(C471 + SUM(Dashboard!J491:J1473)*Query17[Conversion Rate] * SUMPRODUCT((Entries[[Investor Name ]]=Calculations!B471) * (Entries[Deposit Amount]) *(Entries[Time in Fund(Days)]))/SUMPRODUCT(Entries[Deposit Amount],Entries[Time in Fund(Days)])," ")</f>
        <v xml:space="preserve"> </v>
      </c>
    </row>
    <row r="472" spans="2:4" x14ac:dyDescent="0.25">
      <c r="B472" s="6"/>
      <c r="C472" s="2" t="str">
        <f>IF(ISBLANK(Table3[[#This Row],[Investor]])," ",SUMIF(Entries[[Investor Name ]],Calculations!B472,Entries[Deposit Amount]))</f>
        <v xml:space="preserve"> </v>
      </c>
      <c r="D472" s="7" t="str" cm="1">
        <f t="array" aca="1" ref="D472" ca="1">IFERROR(C472 + SUM(Dashboard!J492:J1474)*Query17[Conversion Rate] * SUMPRODUCT((Entries[[Investor Name ]]=Calculations!B472) * (Entries[Deposit Amount]) *(Entries[Time in Fund(Days)]))/SUMPRODUCT(Entries[Deposit Amount],Entries[Time in Fund(Days)])," ")</f>
        <v xml:space="preserve"> </v>
      </c>
    </row>
    <row r="473" spans="2:4" x14ac:dyDescent="0.25">
      <c r="B473" s="6"/>
      <c r="C473" s="2" t="str">
        <f>IF(ISBLANK(Table3[[#This Row],[Investor]])," ",SUMIF(Entries[[Investor Name ]],Calculations!B473,Entries[Deposit Amount]))</f>
        <v xml:space="preserve"> </v>
      </c>
      <c r="D473" s="7" t="str" cm="1">
        <f t="array" aca="1" ref="D473" ca="1">IFERROR(C473 + SUM(Dashboard!J493:J1475)*Query17[Conversion Rate] * SUMPRODUCT((Entries[[Investor Name ]]=Calculations!B473) * (Entries[Deposit Amount]) *(Entries[Time in Fund(Days)]))/SUMPRODUCT(Entries[Deposit Amount],Entries[Time in Fund(Days)])," ")</f>
        <v xml:space="preserve"> </v>
      </c>
    </row>
    <row r="474" spans="2:4" x14ac:dyDescent="0.25">
      <c r="B474" s="6"/>
      <c r="C474" s="2" t="str">
        <f>IF(ISBLANK(Table3[[#This Row],[Investor]])," ",SUMIF(Entries[[Investor Name ]],Calculations!B474,Entries[Deposit Amount]))</f>
        <v xml:space="preserve"> </v>
      </c>
      <c r="D474" s="7" t="str" cm="1">
        <f t="array" aca="1" ref="D474" ca="1">IFERROR(C474 + SUM(Dashboard!J494:J1476)*Query17[Conversion Rate] * SUMPRODUCT((Entries[[Investor Name ]]=Calculations!B474) * (Entries[Deposit Amount]) *(Entries[Time in Fund(Days)]))/SUMPRODUCT(Entries[Deposit Amount],Entries[Time in Fund(Days)])," ")</f>
        <v xml:space="preserve"> </v>
      </c>
    </row>
    <row r="475" spans="2:4" x14ac:dyDescent="0.25">
      <c r="B475" s="6"/>
      <c r="C475" s="2" t="str">
        <f>IF(ISBLANK(Table3[[#This Row],[Investor]])," ",SUMIF(Entries[[Investor Name ]],Calculations!B475,Entries[Deposit Amount]))</f>
        <v xml:space="preserve"> </v>
      </c>
      <c r="D475" s="7" t="str" cm="1">
        <f t="array" aca="1" ref="D475" ca="1">IFERROR(C475 + SUM(Dashboard!J495:J1477)*Query17[Conversion Rate] * SUMPRODUCT((Entries[[Investor Name ]]=Calculations!B475) * (Entries[Deposit Amount]) *(Entries[Time in Fund(Days)]))/SUMPRODUCT(Entries[Deposit Amount],Entries[Time in Fund(Days)])," ")</f>
        <v xml:space="preserve"> </v>
      </c>
    </row>
    <row r="476" spans="2:4" x14ac:dyDescent="0.25">
      <c r="B476" s="6"/>
      <c r="C476" s="2" t="str">
        <f>IF(ISBLANK(Table3[[#This Row],[Investor]])," ",SUMIF(Entries[[Investor Name ]],Calculations!B476,Entries[Deposit Amount]))</f>
        <v xml:space="preserve"> </v>
      </c>
      <c r="D476" s="7" t="str" cm="1">
        <f t="array" aca="1" ref="D476" ca="1">IFERROR(C476 + SUM(Dashboard!J496:J1478)*Query17[Conversion Rate] * SUMPRODUCT((Entries[[Investor Name ]]=Calculations!B476) * (Entries[Deposit Amount]) *(Entries[Time in Fund(Days)]))/SUMPRODUCT(Entries[Deposit Amount],Entries[Time in Fund(Days)])," ")</f>
        <v xml:space="preserve"> </v>
      </c>
    </row>
    <row r="477" spans="2:4" x14ac:dyDescent="0.25">
      <c r="B477" s="6"/>
      <c r="C477" s="2" t="str">
        <f>IF(ISBLANK(Table3[[#This Row],[Investor]])," ",SUMIF(Entries[[Investor Name ]],Calculations!B477,Entries[Deposit Amount]))</f>
        <v xml:space="preserve"> </v>
      </c>
      <c r="D477" s="7" t="str" cm="1">
        <f t="array" aca="1" ref="D477" ca="1">IFERROR(C477 + SUM(Dashboard!J497:J1479)*Query17[Conversion Rate] * SUMPRODUCT((Entries[[Investor Name ]]=Calculations!B477) * (Entries[Deposit Amount]) *(Entries[Time in Fund(Days)]))/SUMPRODUCT(Entries[Deposit Amount],Entries[Time in Fund(Days)])," ")</f>
        <v xml:space="preserve"> </v>
      </c>
    </row>
    <row r="478" spans="2:4" x14ac:dyDescent="0.25">
      <c r="B478" s="6"/>
      <c r="C478" s="2" t="str">
        <f>IF(ISBLANK(Table3[[#This Row],[Investor]])," ",SUMIF(Entries[[Investor Name ]],Calculations!B478,Entries[Deposit Amount]))</f>
        <v xml:space="preserve"> </v>
      </c>
      <c r="D478" s="7" t="str" cm="1">
        <f t="array" aca="1" ref="D478" ca="1">IFERROR(C478 + SUM(Dashboard!J498:J1480)*Query17[Conversion Rate] * SUMPRODUCT((Entries[[Investor Name ]]=Calculations!B478) * (Entries[Deposit Amount]) *(Entries[Time in Fund(Days)]))/SUMPRODUCT(Entries[Deposit Amount],Entries[Time in Fund(Days)])," ")</f>
        <v xml:space="preserve"> </v>
      </c>
    </row>
    <row r="479" spans="2:4" x14ac:dyDescent="0.25">
      <c r="B479" s="6"/>
      <c r="C479" s="2" t="str">
        <f>IF(ISBLANK(Table3[[#This Row],[Investor]])," ",SUMIF(Entries[[Investor Name ]],Calculations!B479,Entries[Deposit Amount]))</f>
        <v xml:space="preserve"> </v>
      </c>
      <c r="D479" s="7" t="str" cm="1">
        <f t="array" aca="1" ref="D479" ca="1">IFERROR(C479 + SUM(Dashboard!J499:J1481)*Query17[Conversion Rate] * SUMPRODUCT((Entries[[Investor Name ]]=Calculations!B479) * (Entries[Deposit Amount]) *(Entries[Time in Fund(Days)]))/SUMPRODUCT(Entries[Deposit Amount],Entries[Time in Fund(Days)])," ")</f>
        <v xml:space="preserve"> </v>
      </c>
    </row>
    <row r="480" spans="2:4" x14ac:dyDescent="0.25">
      <c r="B480" s="6"/>
      <c r="C480" s="2" t="str">
        <f>IF(ISBLANK(Table3[[#This Row],[Investor]])," ",SUMIF(Entries[[Investor Name ]],Calculations!B480,Entries[Deposit Amount]))</f>
        <v xml:space="preserve"> </v>
      </c>
      <c r="D480" s="7" t="str" cm="1">
        <f t="array" aca="1" ref="D480" ca="1">IFERROR(C480 + SUM(Dashboard!J500:J1482)*Query17[Conversion Rate] * SUMPRODUCT((Entries[[Investor Name ]]=Calculations!B480) * (Entries[Deposit Amount]) *(Entries[Time in Fund(Days)]))/SUMPRODUCT(Entries[Deposit Amount],Entries[Time in Fund(Days)])," ")</f>
        <v xml:space="preserve"> </v>
      </c>
    </row>
    <row r="481" spans="2:4" x14ac:dyDescent="0.25">
      <c r="B481" s="6"/>
      <c r="C481" s="2" t="str">
        <f>IF(ISBLANK(Table3[[#This Row],[Investor]])," ",SUMIF(Entries[[Investor Name ]],Calculations!B481,Entries[Deposit Amount]))</f>
        <v xml:space="preserve"> </v>
      </c>
      <c r="D481" s="7" t="str" cm="1">
        <f t="array" aca="1" ref="D481" ca="1">IFERROR(C481 + SUM(Dashboard!J501:J1483)*Query17[Conversion Rate] * SUMPRODUCT((Entries[[Investor Name ]]=Calculations!B481) * (Entries[Deposit Amount]) *(Entries[Time in Fund(Days)]))/SUMPRODUCT(Entries[Deposit Amount],Entries[Time in Fund(Days)])," ")</f>
        <v xml:space="preserve"> </v>
      </c>
    </row>
    <row r="482" spans="2:4" x14ac:dyDescent="0.25">
      <c r="B482" s="6"/>
      <c r="C482" s="2" t="str">
        <f>IF(ISBLANK(Table3[[#This Row],[Investor]])," ",SUMIF(Entries[[Investor Name ]],Calculations!B482,Entries[Deposit Amount]))</f>
        <v xml:space="preserve"> </v>
      </c>
      <c r="D482" s="7" t="str" cm="1">
        <f t="array" aca="1" ref="D482" ca="1">IFERROR(C482 + SUM(Dashboard!J502:J1484)*Query17[Conversion Rate] * SUMPRODUCT((Entries[[Investor Name ]]=Calculations!B482) * (Entries[Deposit Amount]) *(Entries[Time in Fund(Days)]))/SUMPRODUCT(Entries[Deposit Amount],Entries[Time in Fund(Days)])," ")</f>
        <v xml:space="preserve"> </v>
      </c>
    </row>
    <row r="483" spans="2:4" x14ac:dyDescent="0.25">
      <c r="B483" s="6"/>
      <c r="C483" s="2" t="str">
        <f>IF(ISBLANK(Table3[[#This Row],[Investor]])," ",SUMIF(Entries[[Investor Name ]],Calculations!B483,Entries[Deposit Amount]))</f>
        <v xml:space="preserve"> </v>
      </c>
      <c r="D483" s="7" t="str" cm="1">
        <f t="array" aca="1" ref="D483" ca="1">IFERROR(C483 + SUM(Dashboard!J503:J1485)*Query17[Conversion Rate] * SUMPRODUCT((Entries[[Investor Name ]]=Calculations!B483) * (Entries[Deposit Amount]) *(Entries[Time in Fund(Days)]))/SUMPRODUCT(Entries[Deposit Amount],Entries[Time in Fund(Days)])," ")</f>
        <v xml:space="preserve"> </v>
      </c>
    </row>
    <row r="484" spans="2:4" x14ac:dyDescent="0.25">
      <c r="B484" s="6"/>
      <c r="C484" s="2" t="str">
        <f>IF(ISBLANK(Table3[[#This Row],[Investor]])," ",SUMIF(Entries[[Investor Name ]],Calculations!B484,Entries[Deposit Amount]))</f>
        <v xml:space="preserve"> </v>
      </c>
      <c r="D484" s="7" t="str" cm="1">
        <f t="array" aca="1" ref="D484" ca="1">IFERROR(C484 + SUM(Dashboard!J504:J1486)*Query17[Conversion Rate] * SUMPRODUCT((Entries[[Investor Name ]]=Calculations!B484) * (Entries[Deposit Amount]) *(Entries[Time in Fund(Days)]))/SUMPRODUCT(Entries[Deposit Amount],Entries[Time in Fund(Days)])," ")</f>
        <v xml:space="preserve"> </v>
      </c>
    </row>
    <row r="485" spans="2:4" x14ac:dyDescent="0.25">
      <c r="B485" s="6"/>
      <c r="C485" s="2" t="str">
        <f>IF(ISBLANK(Table3[[#This Row],[Investor]])," ",SUMIF(Entries[[Investor Name ]],Calculations!B485,Entries[Deposit Amount]))</f>
        <v xml:space="preserve"> </v>
      </c>
      <c r="D485" s="7" t="str" cm="1">
        <f t="array" aca="1" ref="D485" ca="1">IFERROR(C485 + SUM(Dashboard!J505:J1487)*Query17[Conversion Rate] * SUMPRODUCT((Entries[[Investor Name ]]=Calculations!B485) * (Entries[Deposit Amount]) *(Entries[Time in Fund(Days)]))/SUMPRODUCT(Entries[Deposit Amount],Entries[Time in Fund(Days)])," ")</f>
        <v xml:space="preserve"> </v>
      </c>
    </row>
    <row r="486" spans="2:4" x14ac:dyDescent="0.25">
      <c r="B486" s="6"/>
      <c r="C486" s="2" t="str">
        <f>IF(ISBLANK(Table3[[#This Row],[Investor]])," ",SUMIF(Entries[[Investor Name ]],Calculations!B486,Entries[Deposit Amount]))</f>
        <v xml:space="preserve"> </v>
      </c>
      <c r="D486" s="7" t="str" cm="1">
        <f t="array" aca="1" ref="D486" ca="1">IFERROR(C486 + SUM(Dashboard!J506:J1488)*Query17[Conversion Rate] * SUMPRODUCT((Entries[[Investor Name ]]=Calculations!B486) * (Entries[Deposit Amount]) *(Entries[Time in Fund(Days)]))/SUMPRODUCT(Entries[Deposit Amount],Entries[Time in Fund(Days)])," ")</f>
        <v xml:space="preserve"> </v>
      </c>
    </row>
    <row r="487" spans="2:4" x14ac:dyDescent="0.25">
      <c r="B487" s="6"/>
      <c r="C487" s="2" t="str">
        <f>IF(ISBLANK(Table3[[#This Row],[Investor]])," ",SUMIF(Entries[[Investor Name ]],Calculations!B487,Entries[Deposit Amount]))</f>
        <v xml:space="preserve"> </v>
      </c>
      <c r="D487" s="7" t="str" cm="1">
        <f t="array" aca="1" ref="D487" ca="1">IFERROR(C487 + SUM(Dashboard!J507:J1489)*Query17[Conversion Rate] * SUMPRODUCT((Entries[[Investor Name ]]=Calculations!B487) * (Entries[Deposit Amount]) *(Entries[Time in Fund(Days)]))/SUMPRODUCT(Entries[Deposit Amount],Entries[Time in Fund(Days)])," ")</f>
        <v xml:space="preserve"> </v>
      </c>
    </row>
    <row r="488" spans="2:4" x14ac:dyDescent="0.25">
      <c r="B488" s="6"/>
      <c r="C488" s="2" t="str">
        <f>IF(ISBLANK(Table3[[#This Row],[Investor]])," ",SUMIF(Entries[[Investor Name ]],Calculations!B488,Entries[Deposit Amount]))</f>
        <v xml:space="preserve"> </v>
      </c>
      <c r="D488" s="7" t="str" cm="1">
        <f t="array" aca="1" ref="D488" ca="1">IFERROR(C488 + SUM(Dashboard!J508:J1490)*Query17[Conversion Rate] * SUMPRODUCT((Entries[[Investor Name ]]=Calculations!B488) * (Entries[Deposit Amount]) *(Entries[Time in Fund(Days)]))/SUMPRODUCT(Entries[Deposit Amount],Entries[Time in Fund(Days)])," ")</f>
        <v xml:space="preserve"> </v>
      </c>
    </row>
    <row r="489" spans="2:4" x14ac:dyDescent="0.25">
      <c r="B489" s="6"/>
      <c r="C489" s="2" t="str">
        <f>IF(ISBLANK(Table3[[#This Row],[Investor]])," ",SUMIF(Entries[[Investor Name ]],Calculations!B489,Entries[Deposit Amount]))</f>
        <v xml:space="preserve"> </v>
      </c>
      <c r="D489" s="7" t="str" cm="1">
        <f t="array" aca="1" ref="D489" ca="1">IFERROR(C489 + SUM(Dashboard!J509:J1491)*Query17[Conversion Rate] * SUMPRODUCT((Entries[[Investor Name ]]=Calculations!B489) * (Entries[Deposit Amount]) *(Entries[Time in Fund(Days)]))/SUMPRODUCT(Entries[Deposit Amount],Entries[Time in Fund(Days)])," ")</f>
        <v xml:space="preserve"> </v>
      </c>
    </row>
    <row r="490" spans="2:4" x14ac:dyDescent="0.25">
      <c r="B490" s="6"/>
      <c r="C490" s="2" t="str">
        <f>IF(ISBLANK(Table3[[#This Row],[Investor]])," ",SUMIF(Entries[[Investor Name ]],Calculations!B490,Entries[Deposit Amount]))</f>
        <v xml:space="preserve"> </v>
      </c>
      <c r="D490" s="7" t="str" cm="1">
        <f t="array" aca="1" ref="D490" ca="1">IFERROR(C490 + SUM(Dashboard!J510:J1492)*Query17[Conversion Rate] * SUMPRODUCT((Entries[[Investor Name ]]=Calculations!B490) * (Entries[Deposit Amount]) *(Entries[Time in Fund(Days)]))/SUMPRODUCT(Entries[Deposit Amount],Entries[Time in Fund(Days)])," ")</f>
        <v xml:space="preserve"> </v>
      </c>
    </row>
    <row r="491" spans="2:4" x14ac:dyDescent="0.25">
      <c r="B491" s="6"/>
      <c r="C491" s="2" t="str">
        <f>IF(ISBLANK(Table3[[#This Row],[Investor]])," ",SUMIF(Entries[[Investor Name ]],Calculations!B491,Entries[Deposit Amount]))</f>
        <v xml:space="preserve"> </v>
      </c>
      <c r="D491" s="7" t="str" cm="1">
        <f t="array" aca="1" ref="D491" ca="1">IFERROR(C491 + SUM(Dashboard!J511:J1493)*Query17[Conversion Rate] * SUMPRODUCT((Entries[[Investor Name ]]=Calculations!B491) * (Entries[Deposit Amount]) *(Entries[Time in Fund(Days)]))/SUMPRODUCT(Entries[Deposit Amount],Entries[Time in Fund(Days)])," ")</f>
        <v xml:space="preserve"> </v>
      </c>
    </row>
    <row r="492" spans="2:4" x14ac:dyDescent="0.25">
      <c r="B492" s="6"/>
      <c r="C492" s="2" t="str">
        <f>IF(ISBLANK(Table3[[#This Row],[Investor]])," ",SUMIF(Entries[[Investor Name ]],Calculations!B492,Entries[Deposit Amount]))</f>
        <v xml:space="preserve"> </v>
      </c>
      <c r="D492" s="7" t="str" cm="1">
        <f t="array" aca="1" ref="D492" ca="1">IFERROR(C492 + SUM(Dashboard!J512:J1494)*Query17[Conversion Rate] * SUMPRODUCT((Entries[[Investor Name ]]=Calculations!B492) * (Entries[Deposit Amount]) *(Entries[Time in Fund(Days)]))/SUMPRODUCT(Entries[Deposit Amount],Entries[Time in Fund(Days)])," ")</f>
        <v xml:space="preserve"> </v>
      </c>
    </row>
    <row r="493" spans="2:4" x14ac:dyDescent="0.25">
      <c r="B493" s="6"/>
      <c r="C493" s="2" t="str">
        <f>IF(ISBLANK(Table3[[#This Row],[Investor]])," ",SUMIF(Entries[[Investor Name ]],Calculations!B493,Entries[Deposit Amount]))</f>
        <v xml:space="preserve"> </v>
      </c>
      <c r="D493" s="7" t="str" cm="1">
        <f t="array" aca="1" ref="D493" ca="1">IFERROR(C493 + SUM(Dashboard!J513:J1495)*Query17[Conversion Rate] * SUMPRODUCT((Entries[[Investor Name ]]=Calculations!B493) * (Entries[Deposit Amount]) *(Entries[Time in Fund(Days)]))/SUMPRODUCT(Entries[Deposit Amount],Entries[Time in Fund(Days)])," ")</f>
        <v xml:space="preserve"> </v>
      </c>
    </row>
    <row r="494" spans="2:4" x14ac:dyDescent="0.25">
      <c r="B494" s="6"/>
      <c r="C494" s="2" t="str">
        <f>IF(ISBLANK(Table3[[#This Row],[Investor]])," ",SUMIF(Entries[[Investor Name ]],Calculations!B494,Entries[Deposit Amount]))</f>
        <v xml:space="preserve"> </v>
      </c>
      <c r="D494" s="7" t="str" cm="1">
        <f t="array" aca="1" ref="D494" ca="1">IFERROR(C494 + SUM(Dashboard!J514:J1496)*Query17[Conversion Rate] * SUMPRODUCT((Entries[[Investor Name ]]=Calculations!B494) * (Entries[Deposit Amount]) *(Entries[Time in Fund(Days)]))/SUMPRODUCT(Entries[Deposit Amount],Entries[Time in Fund(Days)])," ")</f>
        <v xml:space="preserve"> </v>
      </c>
    </row>
    <row r="495" spans="2:4" x14ac:dyDescent="0.25">
      <c r="B495" s="6"/>
      <c r="C495" s="2" t="str">
        <f>IF(ISBLANK(Table3[[#This Row],[Investor]])," ",SUMIF(Entries[[Investor Name ]],Calculations!B495,Entries[Deposit Amount]))</f>
        <v xml:space="preserve"> </v>
      </c>
      <c r="D495" s="7" t="str" cm="1">
        <f t="array" aca="1" ref="D495" ca="1">IFERROR(C495 + SUM(Dashboard!J515:J1497)*Query17[Conversion Rate] * SUMPRODUCT((Entries[[Investor Name ]]=Calculations!B495) * (Entries[Deposit Amount]) *(Entries[Time in Fund(Days)]))/SUMPRODUCT(Entries[Deposit Amount],Entries[Time in Fund(Days)])," ")</f>
        <v xml:space="preserve"> </v>
      </c>
    </row>
    <row r="496" spans="2:4" x14ac:dyDescent="0.25">
      <c r="B496" s="6"/>
      <c r="C496" s="2" t="str">
        <f>IF(ISBLANK(Table3[[#This Row],[Investor]])," ",SUMIF(Entries[[Investor Name ]],Calculations!B496,Entries[Deposit Amount]))</f>
        <v xml:space="preserve"> </v>
      </c>
      <c r="D496" s="7" t="str" cm="1">
        <f t="array" aca="1" ref="D496" ca="1">IFERROR(C496 + SUM(Dashboard!J516:J1498)*Query17[Conversion Rate] * SUMPRODUCT((Entries[[Investor Name ]]=Calculations!B496) * (Entries[Deposit Amount]) *(Entries[Time in Fund(Days)]))/SUMPRODUCT(Entries[Deposit Amount],Entries[Time in Fund(Days)])," ")</f>
        <v xml:space="preserve"> </v>
      </c>
    </row>
    <row r="497" spans="2:4" x14ac:dyDescent="0.25">
      <c r="B497" s="6"/>
      <c r="C497" s="2" t="str">
        <f>IF(ISBLANK(Table3[[#This Row],[Investor]])," ",SUMIF(Entries[[Investor Name ]],Calculations!B497,Entries[Deposit Amount]))</f>
        <v xml:space="preserve"> </v>
      </c>
      <c r="D497" s="7" t="str" cm="1">
        <f t="array" aca="1" ref="D497" ca="1">IFERROR(C497 + SUM(Dashboard!J517:J1499)*Query17[Conversion Rate] * SUMPRODUCT((Entries[[Investor Name ]]=Calculations!B497) * (Entries[Deposit Amount]) *(Entries[Time in Fund(Days)]))/SUMPRODUCT(Entries[Deposit Amount],Entries[Time in Fund(Days)])," ")</f>
        <v xml:space="preserve"> </v>
      </c>
    </row>
    <row r="498" spans="2:4" x14ac:dyDescent="0.25">
      <c r="B498" s="6"/>
      <c r="C498" s="2" t="str">
        <f>IF(ISBLANK(Table3[[#This Row],[Investor]])," ",SUMIF(Entries[[Investor Name ]],Calculations!B498,Entries[Deposit Amount]))</f>
        <v xml:space="preserve"> </v>
      </c>
      <c r="D498" s="7" t="str" cm="1">
        <f t="array" aca="1" ref="D498" ca="1">IFERROR(C498 + SUM(Dashboard!J518:J1500)*Query17[Conversion Rate] * SUMPRODUCT((Entries[[Investor Name ]]=Calculations!B498) * (Entries[Deposit Amount]) *(Entries[Time in Fund(Days)]))/SUMPRODUCT(Entries[Deposit Amount],Entries[Time in Fund(Days)])," ")</f>
        <v xml:space="preserve"> </v>
      </c>
    </row>
    <row r="499" spans="2:4" x14ac:dyDescent="0.25">
      <c r="B499" s="6"/>
      <c r="C499" s="2" t="str">
        <f>IF(ISBLANK(Table3[[#This Row],[Investor]])," ",SUMIF(Entries[[Investor Name ]],Calculations!B499,Entries[Deposit Amount]))</f>
        <v xml:space="preserve"> </v>
      </c>
      <c r="D499" s="7" t="str" cm="1">
        <f t="array" aca="1" ref="D499" ca="1">IFERROR(C499 + SUM(Dashboard!J519:J1501)*Query17[Conversion Rate] * SUMPRODUCT((Entries[[Investor Name ]]=Calculations!B499) * (Entries[Deposit Amount]) *(Entries[Time in Fund(Days)]))/SUMPRODUCT(Entries[Deposit Amount],Entries[Time in Fund(Days)])," ")</f>
        <v xml:space="preserve"> </v>
      </c>
    </row>
    <row r="500" spans="2:4" x14ac:dyDescent="0.25">
      <c r="B500" s="6"/>
      <c r="C500" s="2" t="str">
        <f>IF(ISBLANK(Table3[[#This Row],[Investor]])," ",SUMIF(Entries[[Investor Name ]],Calculations!B500,Entries[Deposit Amount]))</f>
        <v xml:space="preserve"> </v>
      </c>
      <c r="D500" s="7" t="str" cm="1">
        <f t="array" aca="1" ref="D500" ca="1">IFERROR(C500 + SUM(Dashboard!J520:J1502)*Query17[Conversion Rate] * SUMPRODUCT((Entries[[Investor Name ]]=Calculations!B500) * (Entries[Deposit Amount]) *(Entries[Time in Fund(Days)]))/SUMPRODUCT(Entries[Deposit Amount],Entries[Time in Fund(Days)])," ")</f>
        <v xml:space="preserve"> </v>
      </c>
    </row>
    <row r="501" spans="2:4" x14ac:dyDescent="0.25">
      <c r="B501" s="6"/>
      <c r="C501" s="2" t="str">
        <f>IF(ISBLANK(Table3[[#This Row],[Investor]])," ",SUMIF(Entries[[Investor Name ]],Calculations!B501,Entries[Deposit Amount]))</f>
        <v xml:space="preserve"> </v>
      </c>
      <c r="D501" s="7" t="str" cm="1">
        <f t="array" aca="1" ref="D501" ca="1">IFERROR(C501 + SUM(Dashboard!J521:J1503)*Query17[Conversion Rate] * SUMPRODUCT((Entries[[Investor Name ]]=Calculations!B501) * (Entries[Deposit Amount]) *(Entries[Time in Fund(Days)]))/SUMPRODUCT(Entries[Deposit Amount],Entries[Time in Fund(Days)])," ")</f>
        <v xml:space="preserve"> </v>
      </c>
    </row>
    <row r="502" spans="2:4" x14ac:dyDescent="0.25">
      <c r="B502" s="6"/>
      <c r="C502" s="2" t="str">
        <f>IF(ISBLANK(Table3[[#This Row],[Investor]])," ",SUMIF(Entries[[Investor Name ]],Calculations!B502,Entries[Deposit Amount]))</f>
        <v xml:space="preserve"> </v>
      </c>
      <c r="D502" s="7" t="str" cm="1">
        <f t="array" aca="1" ref="D502" ca="1">IFERROR(C502 + SUM(Dashboard!J522:J1504)*Query17[Conversion Rate] * SUMPRODUCT((Entries[[Investor Name ]]=Calculations!B502) * (Entries[Deposit Amount]) *(Entries[Time in Fund(Days)]))/SUMPRODUCT(Entries[Deposit Amount],Entries[Time in Fund(Days)])," ")</f>
        <v xml:space="preserve"> </v>
      </c>
    </row>
    <row r="503" spans="2:4" x14ac:dyDescent="0.25">
      <c r="B503" s="6"/>
      <c r="C503" s="2" t="str">
        <f>IF(ISBLANK(Table3[[#This Row],[Investor]])," ",SUMIF(Entries[[Investor Name ]],Calculations!B503,Entries[Deposit Amount]))</f>
        <v xml:space="preserve"> </v>
      </c>
      <c r="D503" s="7" t="str" cm="1">
        <f t="array" aca="1" ref="D503" ca="1">IFERROR(C503 + SUM(Dashboard!J523:J1505)*Query17[Conversion Rate] * SUMPRODUCT((Entries[[Investor Name ]]=Calculations!B503) * (Entries[Deposit Amount]) *(Entries[Time in Fund(Days)]))/SUMPRODUCT(Entries[Deposit Amount],Entries[Time in Fund(Days)])," ")</f>
        <v xml:space="preserve"> </v>
      </c>
    </row>
    <row r="504" spans="2:4" x14ac:dyDescent="0.25">
      <c r="B504" s="6"/>
      <c r="C504" s="2" t="str">
        <f>IF(ISBLANK(Table3[[#This Row],[Investor]])," ",SUMIF(Entries[[Investor Name ]],Calculations!B504,Entries[Deposit Amount]))</f>
        <v xml:space="preserve"> </v>
      </c>
      <c r="D504" s="7" t="str" cm="1">
        <f t="array" aca="1" ref="D504" ca="1">IFERROR(C504 + SUM(Dashboard!J524:J1506)*Query17[Conversion Rate] * SUMPRODUCT((Entries[[Investor Name ]]=Calculations!B504) * (Entries[Deposit Amount]) *(Entries[Time in Fund(Days)]))/SUMPRODUCT(Entries[Deposit Amount],Entries[Time in Fund(Days)])," ")</f>
        <v xml:space="preserve"> </v>
      </c>
    </row>
    <row r="505" spans="2:4" x14ac:dyDescent="0.25">
      <c r="B505" s="6"/>
      <c r="C505" s="2" t="str">
        <f>IF(ISBLANK(Table3[[#This Row],[Investor]])," ",SUMIF(Entries[[Investor Name ]],Calculations!B505,Entries[Deposit Amount]))</f>
        <v xml:space="preserve"> </v>
      </c>
      <c r="D505" s="7" t="str" cm="1">
        <f t="array" aca="1" ref="D505" ca="1">IFERROR(C505 + SUM(Dashboard!J525:J1507)*Query17[Conversion Rate] * SUMPRODUCT((Entries[[Investor Name ]]=Calculations!B505) * (Entries[Deposit Amount]) *(Entries[Time in Fund(Days)]))/SUMPRODUCT(Entries[Deposit Amount],Entries[Time in Fund(Days)])," ")</f>
        <v xml:space="preserve"> </v>
      </c>
    </row>
    <row r="506" spans="2:4" x14ac:dyDescent="0.25">
      <c r="B506" s="6"/>
      <c r="C506" s="2" t="str">
        <f>IF(ISBLANK(Table3[[#This Row],[Investor]])," ",SUMIF(Entries[[Investor Name ]],Calculations!B506,Entries[Deposit Amount]))</f>
        <v xml:space="preserve"> </v>
      </c>
      <c r="D506" s="7" t="str" cm="1">
        <f t="array" aca="1" ref="D506" ca="1">IFERROR(C506 + SUM(Dashboard!J526:J1508)*Query17[Conversion Rate] * SUMPRODUCT((Entries[[Investor Name ]]=Calculations!B506) * (Entries[Deposit Amount]) *(Entries[Time in Fund(Days)]))/SUMPRODUCT(Entries[Deposit Amount],Entries[Time in Fund(Days)])," ")</f>
        <v xml:space="preserve"> </v>
      </c>
    </row>
    <row r="507" spans="2:4" x14ac:dyDescent="0.25">
      <c r="B507" s="6"/>
      <c r="C507" s="2" t="str">
        <f>IF(ISBLANK(Table3[[#This Row],[Investor]])," ",SUMIF(Entries[[Investor Name ]],Calculations!B507,Entries[Deposit Amount]))</f>
        <v xml:space="preserve"> </v>
      </c>
      <c r="D507" s="7" t="str" cm="1">
        <f t="array" aca="1" ref="D507" ca="1">IFERROR(C507 + SUM(Dashboard!J527:J1509)*Query17[Conversion Rate] * SUMPRODUCT((Entries[[Investor Name ]]=Calculations!B507) * (Entries[Deposit Amount]) *(Entries[Time in Fund(Days)]))/SUMPRODUCT(Entries[Deposit Amount],Entries[Time in Fund(Days)])," ")</f>
        <v xml:space="preserve"> </v>
      </c>
    </row>
    <row r="508" spans="2:4" x14ac:dyDescent="0.25">
      <c r="B508" s="6"/>
      <c r="C508" s="2" t="str">
        <f>IF(ISBLANK(Table3[[#This Row],[Investor]])," ",SUMIF(Entries[[Investor Name ]],Calculations!B508,Entries[Deposit Amount]))</f>
        <v xml:space="preserve"> </v>
      </c>
      <c r="D508" s="7" t="str" cm="1">
        <f t="array" aca="1" ref="D508" ca="1">IFERROR(C508 + SUM(Dashboard!J528:J1510)*Query17[Conversion Rate] * SUMPRODUCT((Entries[[Investor Name ]]=Calculations!B508) * (Entries[Deposit Amount]) *(Entries[Time in Fund(Days)]))/SUMPRODUCT(Entries[Deposit Amount],Entries[Time in Fund(Days)])," ")</f>
        <v xml:space="preserve"> </v>
      </c>
    </row>
    <row r="509" spans="2:4" x14ac:dyDescent="0.25">
      <c r="B509" s="6"/>
      <c r="C509" s="2" t="str">
        <f>IF(ISBLANK(Table3[[#This Row],[Investor]])," ",SUMIF(Entries[[Investor Name ]],Calculations!B509,Entries[Deposit Amount]))</f>
        <v xml:space="preserve"> </v>
      </c>
      <c r="D509" s="7" t="str" cm="1">
        <f t="array" aca="1" ref="D509" ca="1">IFERROR(C509 + SUM(Dashboard!J529:J1511)*Query17[Conversion Rate] * SUMPRODUCT((Entries[[Investor Name ]]=Calculations!B509) * (Entries[Deposit Amount]) *(Entries[Time in Fund(Days)]))/SUMPRODUCT(Entries[Deposit Amount],Entries[Time in Fund(Days)])," ")</f>
        <v xml:space="preserve"> </v>
      </c>
    </row>
    <row r="510" spans="2:4" x14ac:dyDescent="0.25">
      <c r="B510" s="6"/>
      <c r="C510" s="2" t="str">
        <f>IF(ISBLANK(Table3[[#This Row],[Investor]])," ",SUMIF(Entries[[Investor Name ]],Calculations!B510,Entries[Deposit Amount]))</f>
        <v xml:space="preserve"> </v>
      </c>
      <c r="D510" s="7" t="str" cm="1">
        <f t="array" aca="1" ref="D510" ca="1">IFERROR(C510 + SUM(Dashboard!J530:J1512)*Query17[Conversion Rate] * SUMPRODUCT((Entries[[Investor Name ]]=Calculations!B510) * (Entries[Deposit Amount]) *(Entries[Time in Fund(Days)]))/SUMPRODUCT(Entries[Deposit Amount],Entries[Time in Fund(Days)])," ")</f>
        <v xml:space="preserve"> </v>
      </c>
    </row>
    <row r="511" spans="2:4" x14ac:dyDescent="0.25">
      <c r="B511" s="6"/>
      <c r="C511" s="2" t="str">
        <f>IF(ISBLANK(Table3[[#This Row],[Investor]])," ",SUMIF(Entries[[Investor Name ]],Calculations!B511,Entries[Deposit Amount]))</f>
        <v xml:space="preserve"> </v>
      </c>
      <c r="D511" s="7" t="str" cm="1">
        <f t="array" aca="1" ref="D511" ca="1">IFERROR(C511 + SUM(Dashboard!J531:J1513)*Query17[Conversion Rate] * SUMPRODUCT((Entries[[Investor Name ]]=Calculations!B511) * (Entries[Deposit Amount]) *(Entries[Time in Fund(Days)]))/SUMPRODUCT(Entries[Deposit Amount],Entries[Time in Fund(Days)])," ")</f>
        <v xml:space="preserve"> </v>
      </c>
    </row>
    <row r="512" spans="2:4" x14ac:dyDescent="0.25">
      <c r="B512" s="6"/>
      <c r="C512" s="2" t="str">
        <f>IF(ISBLANK(Table3[[#This Row],[Investor]])," ",SUMIF(Entries[[Investor Name ]],Calculations!B512,Entries[Deposit Amount]))</f>
        <v xml:space="preserve"> </v>
      </c>
      <c r="D512" s="7" t="str" cm="1">
        <f t="array" aca="1" ref="D512" ca="1">IFERROR(C512 + SUM(Dashboard!J532:J1514)*Query17[Conversion Rate] * SUMPRODUCT((Entries[[Investor Name ]]=Calculations!B512) * (Entries[Deposit Amount]) *(Entries[Time in Fund(Days)]))/SUMPRODUCT(Entries[Deposit Amount],Entries[Time in Fund(Days)])," ")</f>
        <v xml:space="preserve"> </v>
      </c>
    </row>
    <row r="513" spans="2:4" x14ac:dyDescent="0.25">
      <c r="B513" s="6"/>
      <c r="C513" s="2" t="str">
        <f>IF(ISBLANK(Table3[[#This Row],[Investor]])," ",SUMIF(Entries[[Investor Name ]],Calculations!B513,Entries[Deposit Amount]))</f>
        <v xml:space="preserve"> </v>
      </c>
      <c r="D513" s="7" t="str" cm="1">
        <f t="array" aca="1" ref="D513" ca="1">IFERROR(C513 + SUM(Dashboard!J533:J1515)*Query17[Conversion Rate] * SUMPRODUCT((Entries[[Investor Name ]]=Calculations!B513) * (Entries[Deposit Amount]) *(Entries[Time in Fund(Days)]))/SUMPRODUCT(Entries[Deposit Amount],Entries[Time in Fund(Days)])," ")</f>
        <v xml:space="preserve"> </v>
      </c>
    </row>
    <row r="514" spans="2:4" x14ac:dyDescent="0.25">
      <c r="B514" s="6"/>
      <c r="C514" s="2" t="str">
        <f>IF(ISBLANK(Table3[[#This Row],[Investor]])," ",SUMIF(Entries[[Investor Name ]],Calculations!B514,Entries[Deposit Amount]))</f>
        <v xml:space="preserve"> </v>
      </c>
      <c r="D514" s="7" t="str" cm="1">
        <f t="array" aca="1" ref="D514" ca="1">IFERROR(C514 + SUM(Dashboard!J534:J1516)*Query17[Conversion Rate] * SUMPRODUCT((Entries[[Investor Name ]]=Calculations!B514) * (Entries[Deposit Amount]) *(Entries[Time in Fund(Days)]))/SUMPRODUCT(Entries[Deposit Amount],Entries[Time in Fund(Days)])," ")</f>
        <v xml:space="preserve"> </v>
      </c>
    </row>
    <row r="515" spans="2:4" x14ac:dyDescent="0.25">
      <c r="B515" s="6"/>
      <c r="C515" s="2" t="str">
        <f>IF(ISBLANK(Table3[[#This Row],[Investor]])," ",SUMIF(Entries[[Investor Name ]],Calculations!B515,Entries[Deposit Amount]))</f>
        <v xml:space="preserve"> </v>
      </c>
      <c r="D515" s="7" t="str" cm="1">
        <f t="array" aca="1" ref="D515" ca="1">IFERROR(C515 + SUM(Dashboard!J535:J1517)*Query17[Conversion Rate] * SUMPRODUCT((Entries[[Investor Name ]]=Calculations!B515) * (Entries[Deposit Amount]) *(Entries[Time in Fund(Days)]))/SUMPRODUCT(Entries[Deposit Amount],Entries[Time in Fund(Days)])," ")</f>
        <v xml:space="preserve"> </v>
      </c>
    </row>
    <row r="516" spans="2:4" x14ac:dyDescent="0.25">
      <c r="B516" s="6"/>
      <c r="C516" s="2" t="str">
        <f>IF(ISBLANK(Table3[[#This Row],[Investor]])," ",SUMIF(Entries[[Investor Name ]],Calculations!B516,Entries[Deposit Amount]))</f>
        <v xml:space="preserve"> </v>
      </c>
      <c r="D516" s="7" t="str" cm="1">
        <f t="array" aca="1" ref="D516" ca="1">IFERROR(C516 + SUM(Dashboard!J536:J1518)*Query17[Conversion Rate] * SUMPRODUCT((Entries[[Investor Name ]]=Calculations!B516) * (Entries[Deposit Amount]) *(Entries[Time in Fund(Days)]))/SUMPRODUCT(Entries[Deposit Amount],Entries[Time in Fund(Days)])," ")</f>
        <v xml:space="preserve"> </v>
      </c>
    </row>
    <row r="517" spans="2:4" x14ac:dyDescent="0.25">
      <c r="B517" s="6"/>
      <c r="C517" s="2" t="str">
        <f>IF(ISBLANK(Table3[[#This Row],[Investor]])," ",SUMIF(Entries[[Investor Name ]],Calculations!B517,Entries[Deposit Amount]))</f>
        <v xml:space="preserve"> </v>
      </c>
      <c r="D517" s="7" t="str" cm="1">
        <f t="array" aca="1" ref="D517" ca="1">IFERROR(C517 + SUM(Dashboard!J537:J1519)*Query17[Conversion Rate] * SUMPRODUCT((Entries[[Investor Name ]]=Calculations!B517) * (Entries[Deposit Amount]) *(Entries[Time in Fund(Days)]))/SUMPRODUCT(Entries[Deposit Amount],Entries[Time in Fund(Days)])," ")</f>
        <v xml:space="preserve"> </v>
      </c>
    </row>
    <row r="518" spans="2:4" x14ac:dyDescent="0.25">
      <c r="B518" s="6"/>
      <c r="C518" s="2" t="str">
        <f>IF(ISBLANK(Table3[[#This Row],[Investor]])," ",SUMIF(Entries[[Investor Name ]],Calculations!B518,Entries[Deposit Amount]))</f>
        <v xml:space="preserve"> </v>
      </c>
      <c r="D518" s="7" t="str" cm="1">
        <f t="array" aca="1" ref="D518" ca="1">IFERROR(C518 + SUM(Dashboard!J538:J1520)*Query17[Conversion Rate] * SUMPRODUCT((Entries[[Investor Name ]]=Calculations!B518) * (Entries[Deposit Amount]) *(Entries[Time in Fund(Days)]))/SUMPRODUCT(Entries[Deposit Amount],Entries[Time in Fund(Days)])," ")</f>
        <v xml:space="preserve"> </v>
      </c>
    </row>
    <row r="519" spans="2:4" x14ac:dyDescent="0.25">
      <c r="B519" s="6"/>
      <c r="C519" s="2" t="str">
        <f>IF(ISBLANK(Table3[[#This Row],[Investor]])," ",SUMIF(Entries[[Investor Name ]],Calculations!B519,Entries[Deposit Amount]))</f>
        <v xml:space="preserve"> </v>
      </c>
      <c r="D519" s="7" t="str" cm="1">
        <f t="array" aca="1" ref="D519" ca="1">IFERROR(C519 + SUM(Dashboard!J539:J1521)*Query17[Conversion Rate] * SUMPRODUCT((Entries[[Investor Name ]]=Calculations!B519) * (Entries[Deposit Amount]) *(Entries[Time in Fund(Days)]))/SUMPRODUCT(Entries[Deposit Amount],Entries[Time in Fund(Days)])," ")</f>
        <v xml:space="preserve"> </v>
      </c>
    </row>
    <row r="520" spans="2:4" x14ac:dyDescent="0.25">
      <c r="B520" s="6"/>
      <c r="C520" s="2" t="str">
        <f>IF(ISBLANK(Table3[[#This Row],[Investor]])," ",SUMIF(Entries[[Investor Name ]],Calculations!B520,Entries[Deposit Amount]))</f>
        <v xml:space="preserve"> </v>
      </c>
      <c r="D520" s="7" t="str" cm="1">
        <f t="array" aca="1" ref="D520" ca="1">IFERROR(C520 + SUM(Dashboard!J540:J1522)*Query17[Conversion Rate] * SUMPRODUCT((Entries[[Investor Name ]]=Calculations!B520) * (Entries[Deposit Amount]) *(Entries[Time in Fund(Days)]))/SUMPRODUCT(Entries[Deposit Amount],Entries[Time in Fund(Days)])," ")</f>
        <v xml:space="preserve"> </v>
      </c>
    </row>
    <row r="521" spans="2:4" x14ac:dyDescent="0.25">
      <c r="B521" s="6"/>
      <c r="C521" s="2" t="str">
        <f>IF(ISBLANK(Table3[[#This Row],[Investor]])," ",SUMIF(Entries[[Investor Name ]],Calculations!B521,Entries[Deposit Amount]))</f>
        <v xml:space="preserve"> </v>
      </c>
      <c r="D521" s="7" t="str" cm="1">
        <f t="array" aca="1" ref="D521" ca="1">IFERROR(C521 + SUM(Dashboard!J541:J1523)*Query17[Conversion Rate] * SUMPRODUCT((Entries[[Investor Name ]]=Calculations!B521) * (Entries[Deposit Amount]) *(Entries[Time in Fund(Days)]))/SUMPRODUCT(Entries[Deposit Amount],Entries[Time in Fund(Days)])," ")</f>
        <v xml:space="preserve"> </v>
      </c>
    </row>
    <row r="522" spans="2:4" x14ac:dyDescent="0.25">
      <c r="B522" s="6"/>
      <c r="C522" s="2" t="str">
        <f>IF(ISBLANK(Table3[[#This Row],[Investor]])," ",SUMIF(Entries[[Investor Name ]],Calculations!B522,Entries[Deposit Amount]))</f>
        <v xml:space="preserve"> </v>
      </c>
      <c r="D522" s="7" t="str" cm="1">
        <f t="array" aca="1" ref="D522" ca="1">IFERROR(C522 + SUM(Dashboard!J542:J1524)*Query17[Conversion Rate] * SUMPRODUCT((Entries[[Investor Name ]]=Calculations!B522) * (Entries[Deposit Amount]) *(Entries[Time in Fund(Days)]))/SUMPRODUCT(Entries[Deposit Amount],Entries[Time in Fund(Days)])," ")</f>
        <v xml:space="preserve"> </v>
      </c>
    </row>
    <row r="523" spans="2:4" x14ac:dyDescent="0.25">
      <c r="B523" s="6"/>
      <c r="C523" s="2" t="str">
        <f>IF(ISBLANK(Table3[[#This Row],[Investor]])," ",SUMIF(Entries[[Investor Name ]],Calculations!B523,Entries[Deposit Amount]))</f>
        <v xml:space="preserve"> </v>
      </c>
      <c r="D523" s="7" t="str" cm="1">
        <f t="array" aca="1" ref="D523" ca="1">IFERROR(C523 + SUM(Dashboard!J543:J1525)*Query17[Conversion Rate] * SUMPRODUCT((Entries[[Investor Name ]]=Calculations!B523) * (Entries[Deposit Amount]) *(Entries[Time in Fund(Days)]))/SUMPRODUCT(Entries[Deposit Amount],Entries[Time in Fund(Days)])," ")</f>
        <v xml:space="preserve"> </v>
      </c>
    </row>
    <row r="524" spans="2:4" x14ac:dyDescent="0.25">
      <c r="B524" s="6"/>
      <c r="C524" s="2" t="str">
        <f>IF(ISBLANK(Table3[[#This Row],[Investor]])," ",SUMIF(Entries[[Investor Name ]],Calculations!B524,Entries[Deposit Amount]))</f>
        <v xml:space="preserve"> </v>
      </c>
      <c r="D524" s="7" t="str" cm="1">
        <f t="array" aca="1" ref="D524" ca="1">IFERROR(C524 + SUM(Dashboard!J544:J1526)*Query17[Conversion Rate] * SUMPRODUCT((Entries[[Investor Name ]]=Calculations!B524) * (Entries[Deposit Amount]) *(Entries[Time in Fund(Days)]))/SUMPRODUCT(Entries[Deposit Amount],Entries[Time in Fund(Days)])," ")</f>
        <v xml:space="preserve"> </v>
      </c>
    </row>
    <row r="525" spans="2:4" x14ac:dyDescent="0.25">
      <c r="B525" s="6"/>
      <c r="C525" s="2" t="str">
        <f>IF(ISBLANK(Table3[[#This Row],[Investor]])," ",SUMIF(Entries[[Investor Name ]],Calculations!B525,Entries[Deposit Amount]))</f>
        <v xml:space="preserve"> </v>
      </c>
      <c r="D525" s="7" t="str" cm="1">
        <f t="array" aca="1" ref="D525" ca="1">IFERROR(C525 + SUM(Dashboard!J545:J1527)*Query17[Conversion Rate] * SUMPRODUCT((Entries[[Investor Name ]]=Calculations!B525) * (Entries[Deposit Amount]) *(Entries[Time in Fund(Days)]))/SUMPRODUCT(Entries[Deposit Amount],Entries[Time in Fund(Days)])," ")</f>
        <v xml:space="preserve"> </v>
      </c>
    </row>
    <row r="526" spans="2:4" x14ac:dyDescent="0.25">
      <c r="B526" s="6"/>
      <c r="C526" s="2" t="str">
        <f>IF(ISBLANK(Table3[[#This Row],[Investor]])," ",SUMIF(Entries[[Investor Name ]],Calculations!B526,Entries[Deposit Amount]))</f>
        <v xml:space="preserve"> </v>
      </c>
      <c r="D526" s="7" t="str" cm="1">
        <f t="array" aca="1" ref="D526" ca="1">IFERROR(C526 + SUM(Dashboard!J546:J1528)*Query17[Conversion Rate] * SUMPRODUCT((Entries[[Investor Name ]]=Calculations!B526) * (Entries[Deposit Amount]) *(Entries[Time in Fund(Days)]))/SUMPRODUCT(Entries[Deposit Amount],Entries[Time in Fund(Days)])," ")</f>
        <v xml:space="preserve"> </v>
      </c>
    </row>
    <row r="527" spans="2:4" x14ac:dyDescent="0.25">
      <c r="B527" s="6"/>
      <c r="C527" s="2" t="str">
        <f>IF(ISBLANK(Table3[[#This Row],[Investor]])," ",SUMIF(Entries[[Investor Name ]],Calculations!B527,Entries[Deposit Amount]))</f>
        <v xml:space="preserve"> </v>
      </c>
      <c r="D527" s="7" t="str" cm="1">
        <f t="array" aca="1" ref="D527" ca="1">IFERROR(C527 + SUM(Dashboard!J547:J1529)*Query17[Conversion Rate] * SUMPRODUCT((Entries[[Investor Name ]]=Calculations!B527) * (Entries[Deposit Amount]) *(Entries[Time in Fund(Days)]))/SUMPRODUCT(Entries[Deposit Amount],Entries[Time in Fund(Days)])," ")</f>
        <v xml:space="preserve"> </v>
      </c>
    </row>
    <row r="528" spans="2:4" x14ac:dyDescent="0.25">
      <c r="B528" s="6"/>
      <c r="C528" s="2" t="str">
        <f>IF(ISBLANK(Table3[[#This Row],[Investor]])," ",SUMIF(Entries[[Investor Name ]],Calculations!B528,Entries[Deposit Amount]))</f>
        <v xml:space="preserve"> </v>
      </c>
      <c r="D528" s="7" t="str" cm="1">
        <f t="array" aca="1" ref="D528" ca="1">IFERROR(C528 + SUM(Dashboard!J548:J1530)*Query17[Conversion Rate] * SUMPRODUCT((Entries[[Investor Name ]]=Calculations!B528) * (Entries[Deposit Amount]) *(Entries[Time in Fund(Days)]))/SUMPRODUCT(Entries[Deposit Amount],Entries[Time in Fund(Days)])," ")</f>
        <v xml:space="preserve"> </v>
      </c>
    </row>
    <row r="529" spans="2:4" x14ac:dyDescent="0.25">
      <c r="B529" s="6"/>
      <c r="C529" s="2" t="str">
        <f>IF(ISBLANK(Table3[[#This Row],[Investor]])," ",SUMIF(Entries[[Investor Name ]],Calculations!B529,Entries[Deposit Amount]))</f>
        <v xml:space="preserve"> </v>
      </c>
      <c r="D529" s="7" t="str" cm="1">
        <f t="array" aca="1" ref="D529" ca="1">IFERROR(C529 + SUM(Dashboard!J549:J1531)*Query17[Conversion Rate] * SUMPRODUCT((Entries[[Investor Name ]]=Calculations!B529) * (Entries[Deposit Amount]) *(Entries[Time in Fund(Days)]))/SUMPRODUCT(Entries[Deposit Amount],Entries[Time in Fund(Days)])," ")</f>
        <v xml:space="preserve"> </v>
      </c>
    </row>
    <row r="530" spans="2:4" x14ac:dyDescent="0.25">
      <c r="B530" s="6"/>
      <c r="C530" s="2" t="str">
        <f>IF(ISBLANK(Table3[[#This Row],[Investor]])," ",SUMIF(Entries[[Investor Name ]],Calculations!B530,Entries[Deposit Amount]))</f>
        <v xml:space="preserve"> </v>
      </c>
      <c r="D530" s="7" t="str" cm="1">
        <f t="array" aca="1" ref="D530" ca="1">IFERROR(C530 + SUM(Dashboard!J550:J1532)*Query17[Conversion Rate] * SUMPRODUCT((Entries[[Investor Name ]]=Calculations!B530) * (Entries[Deposit Amount]) *(Entries[Time in Fund(Days)]))/SUMPRODUCT(Entries[Deposit Amount],Entries[Time in Fund(Days)])," ")</f>
        <v xml:space="preserve"> </v>
      </c>
    </row>
    <row r="531" spans="2:4" x14ac:dyDescent="0.25">
      <c r="B531" s="6"/>
      <c r="C531" s="2" t="str">
        <f>IF(ISBLANK(Table3[[#This Row],[Investor]])," ",SUMIF(Entries[[Investor Name ]],Calculations!B531,Entries[Deposit Amount]))</f>
        <v xml:space="preserve"> </v>
      </c>
      <c r="D531" s="7" t="str" cm="1">
        <f t="array" aca="1" ref="D531" ca="1">IFERROR(C531 + SUM(Dashboard!J551:J1533)*Query17[Conversion Rate] * SUMPRODUCT((Entries[[Investor Name ]]=Calculations!B531) * (Entries[Deposit Amount]) *(Entries[Time in Fund(Days)]))/SUMPRODUCT(Entries[Deposit Amount],Entries[Time in Fund(Days)])," ")</f>
        <v xml:space="preserve"> </v>
      </c>
    </row>
    <row r="532" spans="2:4" x14ac:dyDescent="0.25">
      <c r="B532" s="6"/>
      <c r="C532" s="2" t="str">
        <f>IF(ISBLANK(Table3[[#This Row],[Investor]])," ",SUMIF(Entries[[Investor Name ]],Calculations!B532,Entries[Deposit Amount]))</f>
        <v xml:space="preserve"> </v>
      </c>
      <c r="D532" s="7" t="str" cm="1">
        <f t="array" aca="1" ref="D532" ca="1">IFERROR(C532 + SUM(Dashboard!J552:J1534)*Query17[Conversion Rate] * SUMPRODUCT((Entries[[Investor Name ]]=Calculations!B532) * (Entries[Deposit Amount]) *(Entries[Time in Fund(Days)]))/SUMPRODUCT(Entries[Deposit Amount],Entries[Time in Fund(Days)])," ")</f>
        <v xml:space="preserve"> </v>
      </c>
    </row>
    <row r="533" spans="2:4" x14ac:dyDescent="0.25">
      <c r="B533" s="6"/>
      <c r="C533" s="2" t="str">
        <f>IF(ISBLANK(Table3[[#This Row],[Investor]])," ",SUMIF(Entries[[Investor Name ]],Calculations!B533,Entries[Deposit Amount]))</f>
        <v xml:space="preserve"> </v>
      </c>
      <c r="D533" s="7" t="str" cm="1">
        <f t="array" aca="1" ref="D533" ca="1">IFERROR(C533 + SUM(Dashboard!J553:J1535)*Query17[Conversion Rate] * SUMPRODUCT((Entries[[Investor Name ]]=Calculations!B533) * (Entries[Deposit Amount]) *(Entries[Time in Fund(Days)]))/SUMPRODUCT(Entries[Deposit Amount],Entries[Time in Fund(Days)])," ")</f>
        <v xml:space="preserve"> </v>
      </c>
    </row>
    <row r="534" spans="2:4" x14ac:dyDescent="0.25">
      <c r="B534" s="6"/>
      <c r="C534" s="2" t="str">
        <f>IF(ISBLANK(Table3[[#This Row],[Investor]])," ",SUMIF(Entries[[Investor Name ]],Calculations!B534,Entries[Deposit Amount]))</f>
        <v xml:space="preserve"> </v>
      </c>
      <c r="D534" s="7" t="str" cm="1">
        <f t="array" aca="1" ref="D534" ca="1">IFERROR(C534 + SUM(Dashboard!J554:J1536)*Query17[Conversion Rate] * SUMPRODUCT((Entries[[Investor Name ]]=Calculations!B534) * (Entries[Deposit Amount]) *(Entries[Time in Fund(Days)]))/SUMPRODUCT(Entries[Deposit Amount],Entries[Time in Fund(Days)])," ")</f>
        <v xml:space="preserve"> </v>
      </c>
    </row>
    <row r="535" spans="2:4" x14ac:dyDescent="0.25">
      <c r="B535" s="6"/>
      <c r="C535" s="2" t="str">
        <f>IF(ISBLANK(Table3[[#This Row],[Investor]])," ",SUMIF(Entries[[Investor Name ]],Calculations!B535,Entries[Deposit Amount]))</f>
        <v xml:space="preserve"> </v>
      </c>
      <c r="D535" s="7" t="str" cm="1">
        <f t="array" aca="1" ref="D535" ca="1">IFERROR(C535 + SUM(Dashboard!J555:J1537)*Query17[Conversion Rate] * SUMPRODUCT((Entries[[Investor Name ]]=Calculations!B535) * (Entries[Deposit Amount]) *(Entries[Time in Fund(Days)]))/SUMPRODUCT(Entries[Deposit Amount],Entries[Time in Fund(Days)])," ")</f>
        <v xml:space="preserve"> </v>
      </c>
    </row>
    <row r="536" spans="2:4" x14ac:dyDescent="0.25">
      <c r="B536" s="6"/>
      <c r="C536" s="2" t="str">
        <f>IF(ISBLANK(Table3[[#This Row],[Investor]])," ",SUMIF(Entries[[Investor Name ]],Calculations!B536,Entries[Deposit Amount]))</f>
        <v xml:space="preserve"> </v>
      </c>
      <c r="D536" s="7" t="str" cm="1">
        <f t="array" aca="1" ref="D536" ca="1">IFERROR(C536 + SUM(Dashboard!J556:J1538)*Query17[Conversion Rate] * SUMPRODUCT((Entries[[Investor Name ]]=Calculations!B536) * (Entries[Deposit Amount]) *(Entries[Time in Fund(Days)]))/SUMPRODUCT(Entries[Deposit Amount],Entries[Time in Fund(Days)])," ")</f>
        <v xml:space="preserve"> </v>
      </c>
    </row>
    <row r="537" spans="2:4" x14ac:dyDescent="0.25">
      <c r="B537" s="6"/>
      <c r="C537" s="2" t="str">
        <f>IF(ISBLANK(Table3[[#This Row],[Investor]])," ",SUMIF(Entries[[Investor Name ]],Calculations!B537,Entries[Deposit Amount]))</f>
        <v xml:space="preserve"> </v>
      </c>
      <c r="D537" s="7" t="str" cm="1">
        <f t="array" aca="1" ref="D537" ca="1">IFERROR(C537 + SUM(Dashboard!J557:J1539)*Query17[Conversion Rate] * SUMPRODUCT((Entries[[Investor Name ]]=Calculations!B537) * (Entries[Deposit Amount]) *(Entries[Time in Fund(Days)]))/SUMPRODUCT(Entries[Deposit Amount],Entries[Time in Fund(Days)])," ")</f>
        <v xml:space="preserve"> </v>
      </c>
    </row>
    <row r="538" spans="2:4" x14ac:dyDescent="0.25">
      <c r="B538" s="6"/>
      <c r="C538" s="2" t="str">
        <f>IF(ISBLANK(Table3[[#This Row],[Investor]])," ",SUMIF(Entries[[Investor Name ]],Calculations!B538,Entries[Deposit Amount]))</f>
        <v xml:space="preserve"> </v>
      </c>
      <c r="D538" s="7" t="str" cm="1">
        <f t="array" aca="1" ref="D538" ca="1">IFERROR(C538 + SUM(Dashboard!J558:J1540)*Query17[Conversion Rate] * SUMPRODUCT((Entries[[Investor Name ]]=Calculations!B538) * (Entries[Deposit Amount]) *(Entries[Time in Fund(Days)]))/SUMPRODUCT(Entries[Deposit Amount],Entries[Time in Fund(Days)])," ")</f>
        <v xml:space="preserve"> </v>
      </c>
    </row>
    <row r="539" spans="2:4" x14ac:dyDescent="0.25">
      <c r="B539" s="6"/>
      <c r="C539" s="2" t="str">
        <f>IF(ISBLANK(Table3[[#This Row],[Investor]])," ",SUMIF(Entries[[Investor Name ]],Calculations!B539,Entries[Deposit Amount]))</f>
        <v xml:space="preserve"> </v>
      </c>
      <c r="D539" s="7" t="str" cm="1">
        <f t="array" aca="1" ref="D539" ca="1">IFERROR(C539 + SUM(Dashboard!J559:J1541)*Query17[Conversion Rate] * SUMPRODUCT((Entries[[Investor Name ]]=Calculations!B539) * (Entries[Deposit Amount]) *(Entries[Time in Fund(Days)]))/SUMPRODUCT(Entries[Deposit Amount],Entries[Time in Fund(Days)])," ")</f>
        <v xml:space="preserve"> </v>
      </c>
    </row>
    <row r="540" spans="2:4" x14ac:dyDescent="0.25">
      <c r="B540" s="6"/>
      <c r="C540" s="2" t="str">
        <f>IF(ISBLANK(Table3[[#This Row],[Investor]])," ",SUMIF(Entries[[Investor Name ]],Calculations!B540,Entries[Deposit Amount]))</f>
        <v xml:space="preserve"> </v>
      </c>
      <c r="D540" s="7" t="str" cm="1">
        <f t="array" aca="1" ref="D540" ca="1">IFERROR(C540 + SUM(Dashboard!J560:J1542)*Query17[Conversion Rate] * SUMPRODUCT((Entries[[Investor Name ]]=Calculations!B540) * (Entries[Deposit Amount]) *(Entries[Time in Fund(Days)]))/SUMPRODUCT(Entries[Deposit Amount],Entries[Time in Fund(Days)])," ")</f>
        <v xml:space="preserve"> </v>
      </c>
    </row>
    <row r="541" spans="2:4" x14ac:dyDescent="0.25">
      <c r="B541" s="6"/>
      <c r="C541" s="2" t="str">
        <f>IF(ISBLANK(Table3[[#This Row],[Investor]])," ",SUMIF(Entries[[Investor Name ]],Calculations!B541,Entries[Deposit Amount]))</f>
        <v xml:space="preserve"> </v>
      </c>
      <c r="D541" s="7" t="str" cm="1">
        <f t="array" aca="1" ref="D541" ca="1">IFERROR(C541 + SUM(Dashboard!J561:J1543)*Query17[Conversion Rate] * SUMPRODUCT((Entries[[Investor Name ]]=Calculations!B541) * (Entries[Deposit Amount]) *(Entries[Time in Fund(Days)]))/SUMPRODUCT(Entries[Deposit Amount],Entries[Time in Fund(Days)])," ")</f>
        <v xml:space="preserve"> </v>
      </c>
    </row>
    <row r="542" spans="2:4" x14ac:dyDescent="0.25">
      <c r="B542" s="6"/>
      <c r="C542" s="2" t="str">
        <f>IF(ISBLANK(Table3[[#This Row],[Investor]])," ",SUMIF(Entries[[Investor Name ]],Calculations!B542,Entries[Deposit Amount]))</f>
        <v xml:space="preserve"> </v>
      </c>
      <c r="D542" s="7" t="str" cm="1">
        <f t="array" aca="1" ref="D542" ca="1">IFERROR(C542 + SUM(Dashboard!J562:J1544)*Query17[Conversion Rate] * SUMPRODUCT((Entries[[Investor Name ]]=Calculations!B542) * (Entries[Deposit Amount]) *(Entries[Time in Fund(Days)]))/SUMPRODUCT(Entries[Deposit Amount],Entries[Time in Fund(Days)])," ")</f>
        <v xml:space="preserve"> </v>
      </c>
    </row>
    <row r="543" spans="2:4" x14ac:dyDescent="0.25">
      <c r="B543" s="6"/>
      <c r="C543" s="2" t="str">
        <f>IF(ISBLANK(Table3[[#This Row],[Investor]])," ",SUMIF(Entries[[Investor Name ]],Calculations!B543,Entries[Deposit Amount]))</f>
        <v xml:space="preserve"> </v>
      </c>
      <c r="D543" s="7" t="str" cm="1">
        <f t="array" aca="1" ref="D543" ca="1">IFERROR(C543 + SUM(Dashboard!J563:J1545)*Query17[Conversion Rate] * SUMPRODUCT((Entries[[Investor Name ]]=Calculations!B543) * (Entries[Deposit Amount]) *(Entries[Time in Fund(Days)]))/SUMPRODUCT(Entries[Deposit Amount],Entries[Time in Fund(Days)])," ")</f>
        <v xml:space="preserve"> </v>
      </c>
    </row>
    <row r="544" spans="2:4" x14ac:dyDescent="0.25">
      <c r="B544" s="6"/>
      <c r="C544" s="2" t="str">
        <f>IF(ISBLANK(Table3[[#This Row],[Investor]])," ",SUMIF(Entries[[Investor Name ]],Calculations!B544,Entries[Deposit Amount]))</f>
        <v xml:space="preserve"> </v>
      </c>
      <c r="D544" s="7" t="str" cm="1">
        <f t="array" aca="1" ref="D544" ca="1">IFERROR(C544 + SUM(Dashboard!J564:J1546)*Query17[Conversion Rate] * SUMPRODUCT((Entries[[Investor Name ]]=Calculations!B544) * (Entries[Deposit Amount]) *(Entries[Time in Fund(Days)]))/SUMPRODUCT(Entries[Deposit Amount],Entries[Time in Fund(Days)])," ")</f>
        <v xml:space="preserve"> </v>
      </c>
    </row>
    <row r="545" spans="2:4" x14ac:dyDescent="0.25">
      <c r="B545" s="6"/>
      <c r="C545" s="2" t="str">
        <f>IF(ISBLANK(Table3[[#This Row],[Investor]])," ",SUMIF(Entries[[Investor Name ]],Calculations!B545,Entries[Deposit Amount]))</f>
        <v xml:space="preserve"> </v>
      </c>
      <c r="D545" s="7" t="str" cm="1">
        <f t="array" aca="1" ref="D545" ca="1">IFERROR(C545 + SUM(Dashboard!J565:J1547)*Query17[Conversion Rate] * SUMPRODUCT((Entries[[Investor Name ]]=Calculations!B545) * (Entries[Deposit Amount]) *(Entries[Time in Fund(Days)]))/SUMPRODUCT(Entries[Deposit Amount],Entries[Time in Fund(Days)])," ")</f>
        <v xml:space="preserve"> </v>
      </c>
    </row>
    <row r="546" spans="2:4" x14ac:dyDescent="0.25">
      <c r="B546" s="6"/>
      <c r="C546" s="2" t="str">
        <f>IF(ISBLANK(Table3[[#This Row],[Investor]])," ",SUMIF(Entries[[Investor Name ]],Calculations!B546,Entries[Deposit Amount]))</f>
        <v xml:space="preserve"> </v>
      </c>
      <c r="D546" s="7" t="str" cm="1">
        <f t="array" aca="1" ref="D546" ca="1">IFERROR(C546 + SUM(Dashboard!J566:J1548)*Query17[Conversion Rate] * SUMPRODUCT((Entries[[Investor Name ]]=Calculations!B546) * (Entries[Deposit Amount]) *(Entries[Time in Fund(Days)]))/SUMPRODUCT(Entries[Deposit Amount],Entries[Time in Fund(Days)])," ")</f>
        <v xml:space="preserve"> </v>
      </c>
    </row>
    <row r="547" spans="2:4" x14ac:dyDescent="0.25">
      <c r="B547" s="6"/>
      <c r="C547" s="2" t="str">
        <f>IF(ISBLANK(Table3[[#This Row],[Investor]])," ",SUMIF(Entries[[Investor Name ]],Calculations!B547,Entries[Deposit Amount]))</f>
        <v xml:space="preserve"> </v>
      </c>
      <c r="D547" s="7" t="str" cm="1">
        <f t="array" aca="1" ref="D547" ca="1">IFERROR(C547 + SUM(Dashboard!J567:J1549)*Query17[Conversion Rate] * SUMPRODUCT((Entries[[Investor Name ]]=Calculations!B547) * (Entries[Deposit Amount]) *(Entries[Time in Fund(Days)]))/SUMPRODUCT(Entries[Deposit Amount],Entries[Time in Fund(Days)])," ")</f>
        <v xml:space="preserve"> </v>
      </c>
    </row>
    <row r="548" spans="2:4" x14ac:dyDescent="0.25">
      <c r="B548" s="6"/>
      <c r="C548" s="2" t="str">
        <f>IF(ISBLANK(Table3[[#This Row],[Investor]])," ",SUMIF(Entries[[Investor Name ]],Calculations!B548,Entries[Deposit Amount]))</f>
        <v xml:space="preserve"> </v>
      </c>
      <c r="D548" s="7" t="str" cm="1">
        <f t="array" aca="1" ref="D548" ca="1">IFERROR(C548 + SUM(Dashboard!J568:J1550)*Query17[Conversion Rate] * SUMPRODUCT((Entries[[Investor Name ]]=Calculations!B548) * (Entries[Deposit Amount]) *(Entries[Time in Fund(Days)]))/SUMPRODUCT(Entries[Deposit Amount],Entries[Time in Fund(Days)])," ")</f>
        <v xml:space="preserve"> </v>
      </c>
    </row>
    <row r="549" spans="2:4" x14ac:dyDescent="0.25">
      <c r="B549" s="6"/>
      <c r="C549" s="2" t="str">
        <f>IF(ISBLANK(Table3[[#This Row],[Investor]])," ",SUMIF(Entries[[Investor Name ]],Calculations!B549,Entries[Deposit Amount]))</f>
        <v xml:space="preserve"> </v>
      </c>
      <c r="D549" s="7" t="str" cm="1">
        <f t="array" aca="1" ref="D549" ca="1">IFERROR(C549 + SUM(Dashboard!J569:J1551)*Query17[Conversion Rate] * SUMPRODUCT((Entries[[Investor Name ]]=Calculations!B549) * (Entries[Deposit Amount]) *(Entries[Time in Fund(Days)]))/SUMPRODUCT(Entries[Deposit Amount],Entries[Time in Fund(Days)])," ")</f>
        <v xml:space="preserve"> </v>
      </c>
    </row>
    <row r="550" spans="2:4" x14ac:dyDescent="0.25">
      <c r="B550" s="6"/>
      <c r="C550" s="2" t="str">
        <f>IF(ISBLANK(Table3[[#This Row],[Investor]])," ",SUMIF(Entries[[Investor Name ]],Calculations!B550,Entries[Deposit Amount]))</f>
        <v xml:space="preserve"> </v>
      </c>
      <c r="D550" s="7" t="str" cm="1">
        <f t="array" aca="1" ref="D550" ca="1">IFERROR(C550 + SUM(Dashboard!J570:J1552)*Query17[Conversion Rate] * SUMPRODUCT((Entries[[Investor Name ]]=Calculations!B550) * (Entries[Deposit Amount]) *(Entries[Time in Fund(Days)]))/SUMPRODUCT(Entries[Deposit Amount],Entries[Time in Fund(Days)])," ")</f>
        <v xml:space="preserve"> </v>
      </c>
    </row>
    <row r="551" spans="2:4" x14ac:dyDescent="0.25">
      <c r="B551" s="6"/>
      <c r="C551" s="2" t="str">
        <f>IF(ISBLANK(Table3[[#This Row],[Investor]])," ",SUMIF(Entries[[Investor Name ]],Calculations!B551,Entries[Deposit Amount]))</f>
        <v xml:space="preserve"> </v>
      </c>
      <c r="D551" s="7" t="str" cm="1">
        <f t="array" aca="1" ref="D551" ca="1">IFERROR(C551 + SUM(Dashboard!J571:J1553)*Query17[Conversion Rate] * SUMPRODUCT((Entries[[Investor Name ]]=Calculations!B551) * (Entries[Deposit Amount]) *(Entries[Time in Fund(Days)]))/SUMPRODUCT(Entries[Deposit Amount],Entries[Time in Fund(Days)])," ")</f>
        <v xml:space="preserve"> </v>
      </c>
    </row>
    <row r="552" spans="2:4" x14ac:dyDescent="0.25">
      <c r="B552" s="6"/>
      <c r="C552" s="2" t="str">
        <f>IF(ISBLANK(Table3[[#This Row],[Investor]])," ",SUMIF(Entries[[Investor Name ]],Calculations!B552,Entries[Deposit Amount]))</f>
        <v xml:space="preserve"> </v>
      </c>
      <c r="D552" s="7" t="str" cm="1">
        <f t="array" aca="1" ref="D552" ca="1">IFERROR(C552 + SUM(Dashboard!J572:J1554)*Query17[Conversion Rate] * SUMPRODUCT((Entries[[Investor Name ]]=Calculations!B552) * (Entries[Deposit Amount]) *(Entries[Time in Fund(Days)]))/SUMPRODUCT(Entries[Deposit Amount],Entries[Time in Fund(Days)])," ")</f>
        <v xml:space="preserve"> </v>
      </c>
    </row>
    <row r="553" spans="2:4" x14ac:dyDescent="0.25">
      <c r="B553" s="6"/>
      <c r="C553" s="2" t="str">
        <f>IF(ISBLANK(Table3[[#This Row],[Investor]])," ",SUMIF(Entries[[Investor Name ]],Calculations!B553,Entries[Deposit Amount]))</f>
        <v xml:space="preserve"> </v>
      </c>
      <c r="D553" s="7" t="str" cm="1">
        <f t="array" aca="1" ref="D553" ca="1">IFERROR(C553 + SUM(Dashboard!J573:J1555)*Query17[Conversion Rate] * SUMPRODUCT((Entries[[Investor Name ]]=Calculations!B553) * (Entries[Deposit Amount]) *(Entries[Time in Fund(Days)]))/SUMPRODUCT(Entries[Deposit Amount],Entries[Time in Fund(Days)])," ")</f>
        <v xml:space="preserve"> </v>
      </c>
    </row>
    <row r="554" spans="2:4" x14ac:dyDescent="0.25">
      <c r="B554" s="6"/>
      <c r="C554" s="2" t="str">
        <f>IF(ISBLANK(Table3[[#This Row],[Investor]])," ",SUMIF(Entries[[Investor Name ]],Calculations!B554,Entries[Deposit Amount]))</f>
        <v xml:space="preserve"> </v>
      </c>
      <c r="D554" s="7" t="str" cm="1">
        <f t="array" aca="1" ref="D554" ca="1">IFERROR(C554 + SUM(Dashboard!J574:J1556)*Query17[Conversion Rate] * SUMPRODUCT((Entries[[Investor Name ]]=Calculations!B554) * (Entries[Deposit Amount]) *(Entries[Time in Fund(Days)]))/SUMPRODUCT(Entries[Deposit Amount],Entries[Time in Fund(Days)])," ")</f>
        <v xml:space="preserve"> </v>
      </c>
    </row>
    <row r="555" spans="2:4" x14ac:dyDescent="0.25">
      <c r="B555" s="6"/>
      <c r="C555" s="2" t="str">
        <f>IF(ISBLANK(Table3[[#This Row],[Investor]])," ",SUMIF(Entries[[Investor Name ]],Calculations!B555,Entries[Deposit Amount]))</f>
        <v xml:space="preserve"> </v>
      </c>
      <c r="D555" s="7" t="str" cm="1">
        <f t="array" aca="1" ref="D555" ca="1">IFERROR(C555 + SUM(Dashboard!J575:J1557)*Query17[Conversion Rate] * SUMPRODUCT((Entries[[Investor Name ]]=Calculations!B555) * (Entries[Deposit Amount]) *(Entries[Time in Fund(Days)]))/SUMPRODUCT(Entries[Deposit Amount],Entries[Time in Fund(Days)])," ")</f>
        <v xml:space="preserve"> </v>
      </c>
    </row>
    <row r="556" spans="2:4" x14ac:dyDescent="0.25">
      <c r="B556" s="6"/>
      <c r="C556" s="2" t="str">
        <f>IF(ISBLANK(Table3[[#This Row],[Investor]])," ",SUMIF(Entries[[Investor Name ]],Calculations!B556,Entries[Deposit Amount]))</f>
        <v xml:space="preserve"> </v>
      </c>
      <c r="D556" s="7" t="str" cm="1">
        <f t="array" aca="1" ref="D556" ca="1">IFERROR(C556 + SUM(Dashboard!J576:J1558)*Query17[Conversion Rate] * SUMPRODUCT((Entries[[Investor Name ]]=Calculations!B556) * (Entries[Deposit Amount]) *(Entries[Time in Fund(Days)]))/SUMPRODUCT(Entries[Deposit Amount],Entries[Time in Fund(Days)])," ")</f>
        <v xml:space="preserve"> </v>
      </c>
    </row>
    <row r="557" spans="2:4" x14ac:dyDescent="0.25">
      <c r="B557" s="6"/>
      <c r="C557" s="2" t="str">
        <f>IF(ISBLANK(Table3[[#This Row],[Investor]])," ",SUMIF(Entries[[Investor Name ]],Calculations!B557,Entries[Deposit Amount]))</f>
        <v xml:space="preserve"> </v>
      </c>
      <c r="D557" s="7" t="str" cm="1">
        <f t="array" aca="1" ref="D557" ca="1">IFERROR(C557 + SUM(Dashboard!J577:J1559)*Query17[Conversion Rate] * SUMPRODUCT((Entries[[Investor Name ]]=Calculations!B557) * (Entries[Deposit Amount]) *(Entries[Time in Fund(Days)]))/SUMPRODUCT(Entries[Deposit Amount],Entries[Time in Fund(Days)])," ")</f>
        <v xml:space="preserve"> </v>
      </c>
    </row>
    <row r="558" spans="2:4" x14ac:dyDescent="0.25">
      <c r="B558" s="6"/>
      <c r="C558" s="2" t="str">
        <f>IF(ISBLANK(Table3[[#This Row],[Investor]])," ",SUMIF(Entries[[Investor Name ]],Calculations!B558,Entries[Deposit Amount]))</f>
        <v xml:space="preserve"> </v>
      </c>
      <c r="D558" s="7" t="str" cm="1">
        <f t="array" aca="1" ref="D558" ca="1">IFERROR(C558 + SUM(Dashboard!J578:J1560)*Query17[Conversion Rate] * SUMPRODUCT((Entries[[Investor Name ]]=Calculations!B558) * (Entries[Deposit Amount]) *(Entries[Time in Fund(Days)]))/SUMPRODUCT(Entries[Deposit Amount],Entries[Time in Fund(Days)])," ")</f>
        <v xml:space="preserve"> </v>
      </c>
    </row>
    <row r="559" spans="2:4" x14ac:dyDescent="0.25">
      <c r="B559" s="6"/>
      <c r="C559" s="2" t="str">
        <f>IF(ISBLANK(Table3[[#This Row],[Investor]])," ",SUMIF(Entries[[Investor Name ]],Calculations!B559,Entries[Deposit Amount]))</f>
        <v xml:space="preserve"> </v>
      </c>
      <c r="D559" s="7" t="str" cm="1">
        <f t="array" aca="1" ref="D559" ca="1">IFERROR(C559 + SUM(Dashboard!J579:J1561)*Query17[Conversion Rate] * SUMPRODUCT((Entries[[Investor Name ]]=Calculations!B559) * (Entries[Deposit Amount]) *(Entries[Time in Fund(Days)]))/SUMPRODUCT(Entries[Deposit Amount],Entries[Time in Fund(Days)])," ")</f>
        <v xml:space="preserve"> </v>
      </c>
    </row>
    <row r="560" spans="2:4" x14ac:dyDescent="0.25">
      <c r="B560" s="6"/>
      <c r="C560" s="2" t="str">
        <f>IF(ISBLANK(Table3[[#This Row],[Investor]])," ",SUMIF(Entries[[Investor Name ]],Calculations!B560,Entries[Deposit Amount]))</f>
        <v xml:space="preserve"> </v>
      </c>
      <c r="D560" s="7" t="str" cm="1">
        <f t="array" aca="1" ref="D560" ca="1">IFERROR(C560 + SUM(Dashboard!J580:J1562)*Query17[Conversion Rate] * SUMPRODUCT((Entries[[Investor Name ]]=Calculations!B560) * (Entries[Deposit Amount]) *(Entries[Time in Fund(Days)]))/SUMPRODUCT(Entries[Deposit Amount],Entries[Time in Fund(Days)])," ")</f>
        <v xml:space="preserve"> </v>
      </c>
    </row>
    <row r="561" spans="2:4" x14ac:dyDescent="0.25">
      <c r="B561" s="6"/>
      <c r="C561" s="2" t="str">
        <f>IF(ISBLANK(Table3[[#This Row],[Investor]])," ",SUMIF(Entries[[Investor Name ]],Calculations!B561,Entries[Deposit Amount]))</f>
        <v xml:space="preserve"> </v>
      </c>
      <c r="D561" s="7" t="str" cm="1">
        <f t="array" aca="1" ref="D561" ca="1">IFERROR(C561 + SUM(Dashboard!J581:J1563)*Query17[Conversion Rate] * SUMPRODUCT((Entries[[Investor Name ]]=Calculations!B561) * (Entries[Deposit Amount]) *(Entries[Time in Fund(Days)]))/SUMPRODUCT(Entries[Deposit Amount],Entries[Time in Fund(Days)])," ")</f>
        <v xml:space="preserve"> </v>
      </c>
    </row>
    <row r="562" spans="2:4" x14ac:dyDescent="0.25">
      <c r="B562" s="6"/>
      <c r="C562" s="2" t="str">
        <f>IF(ISBLANK(Table3[[#This Row],[Investor]])," ",SUMIF(Entries[[Investor Name ]],Calculations!B562,Entries[Deposit Amount]))</f>
        <v xml:space="preserve"> </v>
      </c>
      <c r="D562" s="7" t="str" cm="1">
        <f t="array" aca="1" ref="D562" ca="1">IFERROR(C562 + SUM(Dashboard!J582:J1564)*Query17[Conversion Rate] * SUMPRODUCT((Entries[[Investor Name ]]=Calculations!B562) * (Entries[Deposit Amount]) *(Entries[Time in Fund(Days)]))/SUMPRODUCT(Entries[Deposit Amount],Entries[Time in Fund(Days)])," ")</f>
        <v xml:space="preserve"> </v>
      </c>
    </row>
    <row r="563" spans="2:4" x14ac:dyDescent="0.25">
      <c r="B563" s="6"/>
      <c r="C563" s="2" t="str">
        <f>IF(ISBLANK(Table3[[#This Row],[Investor]])," ",SUMIF(Entries[[Investor Name ]],Calculations!B563,Entries[Deposit Amount]))</f>
        <v xml:space="preserve"> </v>
      </c>
      <c r="D563" s="7" t="str" cm="1">
        <f t="array" aca="1" ref="D563" ca="1">IFERROR(C563 + SUM(Dashboard!J583:J1565)*Query17[Conversion Rate] * SUMPRODUCT((Entries[[Investor Name ]]=Calculations!B563) * (Entries[Deposit Amount]) *(Entries[Time in Fund(Days)]))/SUMPRODUCT(Entries[Deposit Amount],Entries[Time in Fund(Days)])," ")</f>
        <v xml:space="preserve"> </v>
      </c>
    </row>
    <row r="564" spans="2:4" x14ac:dyDescent="0.25">
      <c r="B564" s="6"/>
      <c r="C564" s="2" t="str">
        <f>IF(ISBLANK(Table3[[#This Row],[Investor]])," ",SUMIF(Entries[[Investor Name ]],Calculations!B564,Entries[Deposit Amount]))</f>
        <v xml:space="preserve"> </v>
      </c>
      <c r="D564" s="7" t="str" cm="1">
        <f t="array" aca="1" ref="D564" ca="1">IFERROR(C564 + SUM(Dashboard!J584:J1566)*Query17[Conversion Rate] * SUMPRODUCT((Entries[[Investor Name ]]=Calculations!B564) * (Entries[Deposit Amount]) *(Entries[Time in Fund(Days)]))/SUMPRODUCT(Entries[Deposit Amount],Entries[Time in Fund(Days)])," ")</f>
        <v xml:space="preserve"> </v>
      </c>
    </row>
    <row r="565" spans="2:4" x14ac:dyDescent="0.25">
      <c r="B565" s="6"/>
      <c r="C565" s="2" t="str">
        <f>IF(ISBLANK(Table3[[#This Row],[Investor]])," ",SUMIF(Entries[[Investor Name ]],Calculations!B565,Entries[Deposit Amount]))</f>
        <v xml:space="preserve"> </v>
      </c>
      <c r="D565" s="7" t="str" cm="1">
        <f t="array" aca="1" ref="D565" ca="1">IFERROR(C565 + SUM(Dashboard!J585:J1567)*Query17[Conversion Rate] * SUMPRODUCT((Entries[[Investor Name ]]=Calculations!B565) * (Entries[Deposit Amount]) *(Entries[Time in Fund(Days)]))/SUMPRODUCT(Entries[Deposit Amount],Entries[Time in Fund(Days)])," ")</f>
        <v xml:space="preserve"> </v>
      </c>
    </row>
    <row r="566" spans="2:4" x14ac:dyDescent="0.25">
      <c r="B566" s="6"/>
      <c r="C566" s="2" t="str">
        <f>IF(ISBLANK(Table3[[#This Row],[Investor]])," ",SUMIF(Entries[[Investor Name ]],Calculations!B566,Entries[Deposit Amount]))</f>
        <v xml:space="preserve"> </v>
      </c>
      <c r="D566" s="7" t="str" cm="1">
        <f t="array" aca="1" ref="D566" ca="1">IFERROR(C566 + SUM(Dashboard!J586:J1568)*Query17[Conversion Rate] * SUMPRODUCT((Entries[[Investor Name ]]=Calculations!B566) * (Entries[Deposit Amount]) *(Entries[Time in Fund(Days)]))/SUMPRODUCT(Entries[Deposit Amount],Entries[Time in Fund(Days)])," ")</f>
        <v xml:space="preserve"> </v>
      </c>
    </row>
    <row r="567" spans="2:4" x14ac:dyDescent="0.25">
      <c r="B567" s="6"/>
      <c r="C567" s="2" t="str">
        <f>IF(ISBLANK(Table3[[#This Row],[Investor]])," ",SUMIF(Entries[[Investor Name ]],Calculations!B567,Entries[Deposit Amount]))</f>
        <v xml:space="preserve"> </v>
      </c>
      <c r="D567" s="7" t="str" cm="1">
        <f t="array" aca="1" ref="D567" ca="1">IFERROR(C567 + SUM(Dashboard!J587:J1569)*Query17[Conversion Rate] * SUMPRODUCT((Entries[[Investor Name ]]=Calculations!B567) * (Entries[Deposit Amount]) *(Entries[Time in Fund(Days)]))/SUMPRODUCT(Entries[Deposit Amount],Entries[Time in Fund(Days)])," ")</f>
        <v xml:space="preserve"> </v>
      </c>
    </row>
    <row r="568" spans="2:4" x14ac:dyDescent="0.25">
      <c r="B568" s="6"/>
      <c r="C568" s="2" t="str">
        <f>IF(ISBLANK(Table3[[#This Row],[Investor]])," ",SUMIF(Entries[[Investor Name ]],Calculations!B568,Entries[Deposit Amount]))</f>
        <v xml:space="preserve"> </v>
      </c>
      <c r="D568" s="7" t="str" cm="1">
        <f t="array" aca="1" ref="D568" ca="1">IFERROR(C568 + SUM(Dashboard!J588:J1570)*Query17[Conversion Rate] * SUMPRODUCT((Entries[[Investor Name ]]=Calculations!B568) * (Entries[Deposit Amount]) *(Entries[Time in Fund(Days)]))/SUMPRODUCT(Entries[Deposit Amount],Entries[Time in Fund(Days)])," ")</f>
        <v xml:space="preserve"> </v>
      </c>
    </row>
    <row r="569" spans="2:4" x14ac:dyDescent="0.25">
      <c r="B569" s="6"/>
      <c r="C569" s="2" t="str">
        <f>IF(ISBLANK(Table3[[#This Row],[Investor]])," ",SUMIF(Entries[[Investor Name ]],Calculations!B569,Entries[Deposit Amount]))</f>
        <v xml:space="preserve"> </v>
      </c>
      <c r="D569" s="7" t="str" cm="1">
        <f t="array" aca="1" ref="D569" ca="1">IFERROR(C569 + SUM(Dashboard!J589:J1571)*Query17[Conversion Rate] * SUMPRODUCT((Entries[[Investor Name ]]=Calculations!B569) * (Entries[Deposit Amount]) *(Entries[Time in Fund(Days)]))/SUMPRODUCT(Entries[Deposit Amount],Entries[Time in Fund(Days)])," ")</f>
        <v xml:space="preserve"> </v>
      </c>
    </row>
    <row r="570" spans="2:4" x14ac:dyDescent="0.25">
      <c r="B570" s="6"/>
      <c r="C570" s="2" t="str">
        <f>IF(ISBLANK(Table3[[#This Row],[Investor]])," ",SUMIF(Entries[[Investor Name ]],Calculations!B570,Entries[Deposit Amount]))</f>
        <v xml:space="preserve"> </v>
      </c>
      <c r="D570" s="7" t="str" cm="1">
        <f t="array" aca="1" ref="D570" ca="1">IFERROR(C570 + SUM(Dashboard!J590:J1572)*Query17[Conversion Rate] * SUMPRODUCT((Entries[[Investor Name ]]=Calculations!B570) * (Entries[Deposit Amount]) *(Entries[Time in Fund(Days)]))/SUMPRODUCT(Entries[Deposit Amount],Entries[Time in Fund(Days)])," ")</f>
        <v xml:space="preserve"> </v>
      </c>
    </row>
    <row r="571" spans="2:4" x14ac:dyDescent="0.25">
      <c r="B571" s="6"/>
      <c r="C571" s="2" t="str">
        <f>IF(ISBLANK(Table3[[#This Row],[Investor]])," ",SUMIF(Entries[[Investor Name ]],Calculations!B571,Entries[Deposit Amount]))</f>
        <v xml:space="preserve"> </v>
      </c>
      <c r="D571" s="7" t="str" cm="1">
        <f t="array" aca="1" ref="D571" ca="1">IFERROR(C571 + SUM(Dashboard!J591:J1573)*Query17[Conversion Rate] * SUMPRODUCT((Entries[[Investor Name ]]=Calculations!B571) * (Entries[Deposit Amount]) *(Entries[Time in Fund(Days)]))/SUMPRODUCT(Entries[Deposit Amount],Entries[Time in Fund(Days)])," ")</f>
        <v xml:space="preserve"> </v>
      </c>
    </row>
    <row r="572" spans="2:4" x14ac:dyDescent="0.25">
      <c r="B572" s="6"/>
      <c r="C572" s="2" t="str">
        <f>IF(ISBLANK(Table3[[#This Row],[Investor]])," ",SUMIF(Entries[[Investor Name ]],Calculations!B572,Entries[Deposit Amount]))</f>
        <v xml:space="preserve"> </v>
      </c>
      <c r="D572" s="7" t="str" cm="1">
        <f t="array" aca="1" ref="D572" ca="1">IFERROR(C572 + SUM(Dashboard!J592:J1574)*Query17[Conversion Rate] * SUMPRODUCT((Entries[[Investor Name ]]=Calculations!B572) * (Entries[Deposit Amount]) *(Entries[Time in Fund(Days)]))/SUMPRODUCT(Entries[Deposit Amount],Entries[Time in Fund(Days)])," ")</f>
        <v xml:space="preserve"> </v>
      </c>
    </row>
    <row r="573" spans="2:4" x14ac:dyDescent="0.25">
      <c r="B573" s="6"/>
      <c r="C573" s="2" t="str">
        <f>IF(ISBLANK(Table3[[#This Row],[Investor]])," ",SUMIF(Entries[[Investor Name ]],Calculations!B573,Entries[Deposit Amount]))</f>
        <v xml:space="preserve"> </v>
      </c>
      <c r="D573" s="7" t="str" cm="1">
        <f t="array" aca="1" ref="D573" ca="1">IFERROR(C573 + SUM(Dashboard!J593:J1575)*Query17[Conversion Rate] * SUMPRODUCT((Entries[[Investor Name ]]=Calculations!B573) * (Entries[Deposit Amount]) *(Entries[Time in Fund(Days)]))/SUMPRODUCT(Entries[Deposit Amount],Entries[Time in Fund(Days)])," ")</f>
        <v xml:space="preserve"> </v>
      </c>
    </row>
    <row r="574" spans="2:4" x14ac:dyDescent="0.25">
      <c r="B574" s="6"/>
      <c r="C574" s="2" t="str">
        <f>IF(ISBLANK(Table3[[#This Row],[Investor]])," ",SUMIF(Entries[[Investor Name ]],Calculations!B574,Entries[Deposit Amount]))</f>
        <v xml:space="preserve"> </v>
      </c>
      <c r="D574" s="7" t="str" cm="1">
        <f t="array" aca="1" ref="D574" ca="1">IFERROR(C574 + SUM(Dashboard!J594:J1576)*Query17[Conversion Rate] * SUMPRODUCT((Entries[[Investor Name ]]=Calculations!B574) * (Entries[Deposit Amount]) *(Entries[Time in Fund(Days)]))/SUMPRODUCT(Entries[Deposit Amount],Entries[Time in Fund(Days)])," ")</f>
        <v xml:space="preserve"> </v>
      </c>
    </row>
    <row r="575" spans="2:4" x14ac:dyDescent="0.25">
      <c r="B575" s="6"/>
      <c r="C575" s="2" t="str">
        <f>IF(ISBLANK(Table3[[#This Row],[Investor]])," ",SUMIF(Entries[[Investor Name ]],Calculations!B575,Entries[Deposit Amount]))</f>
        <v xml:space="preserve"> </v>
      </c>
      <c r="D575" s="7" t="str" cm="1">
        <f t="array" aca="1" ref="D575" ca="1">IFERROR(C575 + SUM(Dashboard!J595:J1577)*Query17[Conversion Rate] * SUMPRODUCT((Entries[[Investor Name ]]=Calculations!B575) * (Entries[Deposit Amount]) *(Entries[Time in Fund(Days)]))/SUMPRODUCT(Entries[Deposit Amount],Entries[Time in Fund(Days)])," ")</f>
        <v xml:space="preserve"> </v>
      </c>
    </row>
    <row r="576" spans="2:4" x14ac:dyDescent="0.25">
      <c r="B576" s="6"/>
      <c r="C576" s="2" t="str">
        <f>IF(ISBLANK(Table3[[#This Row],[Investor]])," ",SUMIF(Entries[[Investor Name ]],Calculations!B576,Entries[Deposit Amount]))</f>
        <v xml:space="preserve"> </v>
      </c>
      <c r="D576" s="7" t="str" cm="1">
        <f t="array" aca="1" ref="D576" ca="1">IFERROR(C576 + SUM(Dashboard!J596:J1578)*Query17[Conversion Rate] * SUMPRODUCT((Entries[[Investor Name ]]=Calculations!B576) * (Entries[Deposit Amount]) *(Entries[Time in Fund(Days)]))/SUMPRODUCT(Entries[Deposit Amount],Entries[Time in Fund(Days)])," ")</f>
        <v xml:space="preserve"> </v>
      </c>
    </row>
    <row r="577" spans="2:4" x14ac:dyDescent="0.25">
      <c r="B577" s="6"/>
      <c r="C577" s="2" t="str">
        <f>IF(ISBLANK(Table3[[#This Row],[Investor]])," ",SUMIF(Entries[[Investor Name ]],Calculations!B577,Entries[Deposit Amount]))</f>
        <v xml:space="preserve"> </v>
      </c>
      <c r="D577" s="7" t="str" cm="1">
        <f t="array" aca="1" ref="D577" ca="1">IFERROR(C577 + SUM(Dashboard!J597:J1579)*Query17[Conversion Rate] * SUMPRODUCT((Entries[[Investor Name ]]=Calculations!B577) * (Entries[Deposit Amount]) *(Entries[Time in Fund(Days)]))/SUMPRODUCT(Entries[Deposit Amount],Entries[Time in Fund(Days)])," ")</f>
        <v xml:space="preserve"> </v>
      </c>
    </row>
    <row r="578" spans="2:4" x14ac:dyDescent="0.25">
      <c r="B578" s="6"/>
      <c r="C578" s="2" t="str">
        <f>IF(ISBLANK(Table3[[#This Row],[Investor]])," ",SUMIF(Entries[[Investor Name ]],Calculations!B578,Entries[Deposit Amount]))</f>
        <v xml:space="preserve"> </v>
      </c>
      <c r="D578" s="7" t="str" cm="1">
        <f t="array" aca="1" ref="D578" ca="1">IFERROR(C578 + SUM(Dashboard!J598:J1580)*Query17[Conversion Rate] * SUMPRODUCT((Entries[[Investor Name ]]=Calculations!B578) * (Entries[Deposit Amount]) *(Entries[Time in Fund(Days)]))/SUMPRODUCT(Entries[Deposit Amount],Entries[Time in Fund(Days)])," ")</f>
        <v xml:space="preserve"> </v>
      </c>
    </row>
    <row r="579" spans="2:4" x14ac:dyDescent="0.25">
      <c r="B579" s="6"/>
      <c r="C579" s="2" t="str">
        <f>IF(ISBLANK(Table3[[#This Row],[Investor]])," ",SUMIF(Entries[[Investor Name ]],Calculations!B579,Entries[Deposit Amount]))</f>
        <v xml:space="preserve"> </v>
      </c>
      <c r="D579" s="7" t="str" cm="1">
        <f t="array" aca="1" ref="D579" ca="1">IFERROR(C579 + SUM(Dashboard!J599:J1581)*Query17[Conversion Rate] * SUMPRODUCT((Entries[[Investor Name ]]=Calculations!B579) * (Entries[Deposit Amount]) *(Entries[Time in Fund(Days)]))/SUMPRODUCT(Entries[Deposit Amount],Entries[Time in Fund(Days)])," ")</f>
        <v xml:space="preserve"> </v>
      </c>
    </row>
    <row r="580" spans="2:4" x14ac:dyDescent="0.25">
      <c r="B580" s="6"/>
      <c r="C580" s="2" t="str">
        <f>IF(ISBLANK(Table3[[#This Row],[Investor]])," ",SUMIF(Entries[[Investor Name ]],Calculations!B580,Entries[Deposit Amount]))</f>
        <v xml:space="preserve"> </v>
      </c>
      <c r="D580" s="7" t="str" cm="1">
        <f t="array" aca="1" ref="D580" ca="1">IFERROR(C580 + SUM(Dashboard!J600:J1582)*Query17[Conversion Rate] * SUMPRODUCT((Entries[[Investor Name ]]=Calculations!B580) * (Entries[Deposit Amount]) *(Entries[Time in Fund(Days)]))/SUMPRODUCT(Entries[Deposit Amount],Entries[Time in Fund(Days)])," ")</f>
        <v xml:space="preserve"> </v>
      </c>
    </row>
    <row r="581" spans="2:4" x14ac:dyDescent="0.25">
      <c r="B581" s="6"/>
      <c r="C581" s="2" t="str">
        <f>IF(ISBLANK(Table3[[#This Row],[Investor]])," ",SUMIF(Entries[[Investor Name ]],Calculations!B581,Entries[Deposit Amount]))</f>
        <v xml:space="preserve"> </v>
      </c>
      <c r="D581" s="7" t="str" cm="1">
        <f t="array" aca="1" ref="D581" ca="1">IFERROR(C581 + SUM(Dashboard!J601:J1583)*Query17[Conversion Rate] * SUMPRODUCT((Entries[[Investor Name ]]=Calculations!B581) * (Entries[Deposit Amount]) *(Entries[Time in Fund(Days)]))/SUMPRODUCT(Entries[Deposit Amount],Entries[Time in Fund(Days)])," ")</f>
        <v xml:space="preserve"> </v>
      </c>
    </row>
    <row r="582" spans="2:4" x14ac:dyDescent="0.25">
      <c r="B582" s="6"/>
      <c r="C582" s="2" t="str">
        <f>IF(ISBLANK(Table3[[#This Row],[Investor]])," ",SUMIF(Entries[[Investor Name ]],Calculations!B582,Entries[Deposit Amount]))</f>
        <v xml:space="preserve"> </v>
      </c>
      <c r="D582" s="7" t="str" cm="1">
        <f t="array" aca="1" ref="D582" ca="1">IFERROR(C582 + SUM(Dashboard!J602:J1584)*Query17[Conversion Rate] * SUMPRODUCT((Entries[[Investor Name ]]=Calculations!B582) * (Entries[Deposit Amount]) *(Entries[Time in Fund(Days)]))/SUMPRODUCT(Entries[Deposit Amount],Entries[Time in Fund(Days)])," ")</f>
        <v xml:space="preserve"> </v>
      </c>
    </row>
    <row r="583" spans="2:4" x14ac:dyDescent="0.25">
      <c r="B583" s="6"/>
      <c r="C583" s="2" t="str">
        <f>IF(ISBLANK(Table3[[#This Row],[Investor]])," ",SUMIF(Entries[[Investor Name ]],Calculations!B583,Entries[Deposit Amount]))</f>
        <v xml:space="preserve"> </v>
      </c>
      <c r="D583" s="7" t="str" cm="1">
        <f t="array" aca="1" ref="D583" ca="1">IFERROR(C583 + SUM(Dashboard!J603:J1585)*Query17[Conversion Rate] * SUMPRODUCT((Entries[[Investor Name ]]=Calculations!B583) * (Entries[Deposit Amount]) *(Entries[Time in Fund(Days)]))/SUMPRODUCT(Entries[Deposit Amount],Entries[Time in Fund(Days)])," ")</f>
        <v xml:space="preserve"> </v>
      </c>
    </row>
    <row r="584" spans="2:4" x14ac:dyDescent="0.25">
      <c r="B584" s="6"/>
      <c r="C584" s="2" t="str">
        <f>IF(ISBLANK(Table3[[#This Row],[Investor]])," ",SUMIF(Entries[[Investor Name ]],Calculations!B584,Entries[Deposit Amount]))</f>
        <v xml:space="preserve"> </v>
      </c>
      <c r="D584" s="7" t="str" cm="1">
        <f t="array" aca="1" ref="D584" ca="1">IFERROR(C584 + SUM(Dashboard!J604:J1586)*Query17[Conversion Rate] * SUMPRODUCT((Entries[[Investor Name ]]=Calculations!B584) * (Entries[Deposit Amount]) *(Entries[Time in Fund(Days)]))/SUMPRODUCT(Entries[Deposit Amount],Entries[Time in Fund(Days)])," ")</f>
        <v xml:space="preserve"> </v>
      </c>
    </row>
    <row r="585" spans="2:4" x14ac:dyDescent="0.25">
      <c r="B585" s="6"/>
      <c r="C585" s="2" t="str">
        <f>IF(ISBLANK(Table3[[#This Row],[Investor]])," ",SUMIF(Entries[[Investor Name ]],Calculations!B585,Entries[Deposit Amount]))</f>
        <v xml:space="preserve"> </v>
      </c>
      <c r="D585" s="7" t="str" cm="1">
        <f t="array" aca="1" ref="D585" ca="1">IFERROR(C585 + SUM(Dashboard!J605:J1587)*Query17[Conversion Rate] * SUMPRODUCT((Entries[[Investor Name ]]=Calculations!B585) * (Entries[Deposit Amount]) *(Entries[Time in Fund(Days)]))/SUMPRODUCT(Entries[Deposit Amount],Entries[Time in Fund(Days)])," ")</f>
        <v xml:space="preserve"> </v>
      </c>
    </row>
    <row r="586" spans="2:4" x14ac:dyDescent="0.25">
      <c r="B586" s="6"/>
      <c r="C586" s="2" t="str">
        <f>IF(ISBLANK(Table3[[#This Row],[Investor]])," ",SUMIF(Entries[[Investor Name ]],Calculations!B586,Entries[Deposit Amount]))</f>
        <v xml:space="preserve"> </v>
      </c>
      <c r="D586" s="7" t="str" cm="1">
        <f t="array" aca="1" ref="D586" ca="1">IFERROR(C586 + SUM(Dashboard!J606:J1588)*Query17[Conversion Rate] * SUMPRODUCT((Entries[[Investor Name ]]=Calculations!B586) * (Entries[Deposit Amount]) *(Entries[Time in Fund(Days)]))/SUMPRODUCT(Entries[Deposit Amount],Entries[Time in Fund(Days)])," ")</f>
        <v xml:space="preserve"> </v>
      </c>
    </row>
    <row r="587" spans="2:4" x14ac:dyDescent="0.25">
      <c r="B587" s="6"/>
      <c r="C587" s="2" t="str">
        <f>IF(ISBLANK(Table3[[#This Row],[Investor]])," ",SUMIF(Entries[[Investor Name ]],Calculations!B587,Entries[Deposit Amount]))</f>
        <v xml:space="preserve"> </v>
      </c>
      <c r="D587" s="7" t="str" cm="1">
        <f t="array" aca="1" ref="D587" ca="1">IFERROR(C587 + SUM(Dashboard!J607:J1589)*Query17[Conversion Rate] * SUMPRODUCT((Entries[[Investor Name ]]=Calculations!B587) * (Entries[Deposit Amount]) *(Entries[Time in Fund(Days)]))/SUMPRODUCT(Entries[Deposit Amount],Entries[Time in Fund(Days)])," ")</f>
        <v xml:space="preserve"> </v>
      </c>
    </row>
    <row r="588" spans="2:4" x14ac:dyDescent="0.25">
      <c r="B588" s="6"/>
      <c r="C588" s="2" t="str">
        <f>IF(ISBLANK(Table3[[#This Row],[Investor]])," ",SUMIF(Entries[[Investor Name ]],Calculations!B588,Entries[Deposit Amount]))</f>
        <v xml:space="preserve"> </v>
      </c>
      <c r="D588" s="7" t="str" cm="1">
        <f t="array" aca="1" ref="D588" ca="1">IFERROR(C588 + SUM(Dashboard!J608:J1590)*Query17[Conversion Rate] * SUMPRODUCT((Entries[[Investor Name ]]=Calculations!B588) * (Entries[Deposit Amount]) *(Entries[Time in Fund(Days)]))/SUMPRODUCT(Entries[Deposit Amount],Entries[Time in Fund(Days)])," ")</f>
        <v xml:space="preserve"> </v>
      </c>
    </row>
    <row r="589" spans="2:4" x14ac:dyDescent="0.25">
      <c r="B589" s="6"/>
      <c r="C589" s="2" t="str">
        <f>IF(ISBLANK(Table3[[#This Row],[Investor]])," ",SUMIF(Entries[[Investor Name ]],Calculations!B589,Entries[Deposit Amount]))</f>
        <v xml:space="preserve"> </v>
      </c>
      <c r="D589" s="7" t="str" cm="1">
        <f t="array" aca="1" ref="D589" ca="1">IFERROR(C589 + SUM(Dashboard!J609:J1591)*Query17[Conversion Rate] * SUMPRODUCT((Entries[[Investor Name ]]=Calculations!B589) * (Entries[Deposit Amount]) *(Entries[Time in Fund(Days)]))/SUMPRODUCT(Entries[Deposit Amount],Entries[Time in Fund(Days)])," ")</f>
        <v xml:space="preserve"> </v>
      </c>
    </row>
    <row r="590" spans="2:4" x14ac:dyDescent="0.25">
      <c r="B590" s="6"/>
      <c r="C590" s="2" t="str">
        <f>IF(ISBLANK(Table3[[#This Row],[Investor]])," ",SUMIF(Entries[[Investor Name ]],Calculations!B590,Entries[Deposit Amount]))</f>
        <v xml:space="preserve"> </v>
      </c>
      <c r="D590" s="7" t="str" cm="1">
        <f t="array" aca="1" ref="D590" ca="1">IFERROR(C590 + SUM(Dashboard!J610:J1592)*Query17[Conversion Rate] * SUMPRODUCT((Entries[[Investor Name ]]=Calculations!B590) * (Entries[Deposit Amount]) *(Entries[Time in Fund(Days)]))/SUMPRODUCT(Entries[Deposit Amount],Entries[Time in Fund(Days)])," ")</f>
        <v xml:space="preserve"> </v>
      </c>
    </row>
    <row r="591" spans="2:4" x14ac:dyDescent="0.25">
      <c r="B591" s="6"/>
      <c r="C591" s="2" t="str">
        <f>IF(ISBLANK(Table3[[#This Row],[Investor]])," ",SUMIF(Entries[[Investor Name ]],Calculations!B591,Entries[Deposit Amount]))</f>
        <v xml:space="preserve"> </v>
      </c>
      <c r="D591" s="7" t="str" cm="1">
        <f t="array" aca="1" ref="D591" ca="1">IFERROR(C591 + SUM(Dashboard!J611:J1593)*Query17[Conversion Rate] * SUMPRODUCT((Entries[[Investor Name ]]=Calculations!B591) * (Entries[Deposit Amount]) *(Entries[Time in Fund(Days)]))/SUMPRODUCT(Entries[Deposit Amount],Entries[Time in Fund(Days)])," ")</f>
        <v xml:space="preserve"> </v>
      </c>
    </row>
    <row r="592" spans="2:4" x14ac:dyDescent="0.25">
      <c r="B592" s="6"/>
      <c r="C592" s="2" t="str">
        <f>IF(ISBLANK(Table3[[#This Row],[Investor]])," ",SUMIF(Entries[[Investor Name ]],Calculations!B592,Entries[Deposit Amount]))</f>
        <v xml:space="preserve"> </v>
      </c>
      <c r="D592" s="7" t="str" cm="1">
        <f t="array" aca="1" ref="D592" ca="1">IFERROR(C592 + SUM(Dashboard!J612:J1594)*Query17[Conversion Rate] * SUMPRODUCT((Entries[[Investor Name ]]=Calculations!B592) * (Entries[Deposit Amount]) *(Entries[Time in Fund(Days)]))/SUMPRODUCT(Entries[Deposit Amount],Entries[Time in Fund(Days)])," ")</f>
        <v xml:space="preserve"> </v>
      </c>
    </row>
    <row r="593" spans="2:4" x14ac:dyDescent="0.25">
      <c r="B593" s="6"/>
      <c r="C593" s="2" t="str">
        <f>IF(ISBLANK(Table3[[#This Row],[Investor]])," ",SUMIF(Entries[[Investor Name ]],Calculations!B593,Entries[Deposit Amount]))</f>
        <v xml:space="preserve"> </v>
      </c>
      <c r="D593" s="7" t="str" cm="1">
        <f t="array" aca="1" ref="D593" ca="1">IFERROR(C593 + SUM(Dashboard!J613:J1595)*Query17[Conversion Rate] * SUMPRODUCT((Entries[[Investor Name ]]=Calculations!B593) * (Entries[Deposit Amount]) *(Entries[Time in Fund(Days)]))/SUMPRODUCT(Entries[Deposit Amount],Entries[Time in Fund(Days)])," ")</f>
        <v xml:space="preserve"> </v>
      </c>
    </row>
    <row r="594" spans="2:4" x14ac:dyDescent="0.25">
      <c r="B594" s="6"/>
      <c r="C594" s="2" t="str">
        <f>IF(ISBLANK(Table3[[#This Row],[Investor]])," ",SUMIF(Entries[[Investor Name ]],Calculations!B594,Entries[Deposit Amount]))</f>
        <v xml:space="preserve"> </v>
      </c>
      <c r="D594" s="7" t="str" cm="1">
        <f t="array" aca="1" ref="D594" ca="1">IFERROR(C594 + SUM(Dashboard!J614:J1596)*Query17[Conversion Rate] * SUMPRODUCT((Entries[[Investor Name ]]=Calculations!B594) * (Entries[Deposit Amount]) *(Entries[Time in Fund(Days)]))/SUMPRODUCT(Entries[Deposit Amount],Entries[Time in Fund(Days)])," ")</f>
        <v xml:space="preserve"> </v>
      </c>
    </row>
    <row r="595" spans="2:4" x14ac:dyDescent="0.25">
      <c r="B595" s="6"/>
      <c r="C595" s="2" t="str">
        <f>IF(ISBLANK(Table3[[#This Row],[Investor]])," ",SUMIF(Entries[[Investor Name ]],Calculations!B595,Entries[Deposit Amount]))</f>
        <v xml:space="preserve"> </v>
      </c>
      <c r="D595" s="7" t="str" cm="1">
        <f t="array" aca="1" ref="D595" ca="1">IFERROR(C595 + SUM(Dashboard!J615:J1597)*Query17[Conversion Rate] * SUMPRODUCT((Entries[[Investor Name ]]=Calculations!B595) * (Entries[Deposit Amount]) *(Entries[Time in Fund(Days)]))/SUMPRODUCT(Entries[Deposit Amount],Entries[Time in Fund(Days)])," ")</f>
        <v xml:space="preserve"> </v>
      </c>
    </row>
    <row r="596" spans="2:4" x14ac:dyDescent="0.25">
      <c r="B596" s="6"/>
      <c r="C596" s="2" t="str">
        <f>IF(ISBLANK(Table3[[#This Row],[Investor]])," ",SUMIF(Entries[[Investor Name ]],Calculations!B596,Entries[Deposit Amount]))</f>
        <v xml:space="preserve"> </v>
      </c>
      <c r="D596" s="7" t="str" cm="1">
        <f t="array" aca="1" ref="D596" ca="1">IFERROR(C596 + SUM(Dashboard!J616:J1598)*Query17[Conversion Rate] * SUMPRODUCT((Entries[[Investor Name ]]=Calculations!B596) * (Entries[Deposit Amount]) *(Entries[Time in Fund(Days)]))/SUMPRODUCT(Entries[Deposit Amount],Entries[Time in Fund(Days)])," ")</f>
        <v xml:space="preserve"> </v>
      </c>
    </row>
    <row r="597" spans="2:4" x14ac:dyDescent="0.25">
      <c r="B597" s="6"/>
      <c r="C597" s="2" t="str">
        <f>IF(ISBLANK(Table3[[#This Row],[Investor]])," ",SUMIF(Entries[[Investor Name ]],Calculations!B597,Entries[Deposit Amount]))</f>
        <v xml:space="preserve"> </v>
      </c>
      <c r="D597" s="7" t="str" cm="1">
        <f t="array" aca="1" ref="D597" ca="1">IFERROR(C597 + SUM(Dashboard!J617:J1599)*Query17[Conversion Rate] * SUMPRODUCT((Entries[[Investor Name ]]=Calculations!B597) * (Entries[Deposit Amount]) *(Entries[Time in Fund(Days)]))/SUMPRODUCT(Entries[Deposit Amount],Entries[Time in Fund(Days)])," ")</f>
        <v xml:space="preserve"> </v>
      </c>
    </row>
    <row r="598" spans="2:4" x14ac:dyDescent="0.25">
      <c r="B598" s="6"/>
      <c r="C598" s="2" t="str">
        <f>IF(ISBLANK(Table3[[#This Row],[Investor]])," ",SUMIF(Entries[[Investor Name ]],Calculations!B598,Entries[Deposit Amount]))</f>
        <v xml:space="preserve"> </v>
      </c>
      <c r="D598" s="7" t="str" cm="1">
        <f t="array" aca="1" ref="D598" ca="1">IFERROR(C598 + SUM(Dashboard!J618:J1600)*Query17[Conversion Rate] * SUMPRODUCT((Entries[[Investor Name ]]=Calculations!B598) * (Entries[Deposit Amount]) *(Entries[Time in Fund(Days)]))/SUMPRODUCT(Entries[Deposit Amount],Entries[Time in Fund(Days)])," ")</f>
        <v xml:space="preserve"> </v>
      </c>
    </row>
    <row r="599" spans="2:4" x14ac:dyDescent="0.25">
      <c r="B599" s="6"/>
      <c r="C599" s="2" t="str">
        <f>IF(ISBLANK(Table3[[#This Row],[Investor]])," ",SUMIF(Entries[[Investor Name ]],Calculations!B599,Entries[Deposit Amount]))</f>
        <v xml:space="preserve"> </v>
      </c>
      <c r="D599" s="7" t="str" cm="1">
        <f t="array" aca="1" ref="D599" ca="1">IFERROR(C599 + SUM(Dashboard!J619:J1601)*Query17[Conversion Rate] * SUMPRODUCT((Entries[[Investor Name ]]=Calculations!B599) * (Entries[Deposit Amount]) *(Entries[Time in Fund(Days)]))/SUMPRODUCT(Entries[Deposit Amount],Entries[Time in Fund(Days)])," ")</f>
        <v xml:space="preserve"> </v>
      </c>
    </row>
    <row r="600" spans="2:4" x14ac:dyDescent="0.25">
      <c r="B600" s="6"/>
      <c r="C600" s="2" t="str">
        <f>IF(ISBLANK(Table3[[#This Row],[Investor]])," ",SUMIF(Entries[[Investor Name ]],Calculations!B600,Entries[Deposit Amount]))</f>
        <v xml:space="preserve"> </v>
      </c>
      <c r="D600" s="7" t="str" cm="1">
        <f t="array" aca="1" ref="D600" ca="1">IFERROR(C600 + SUM(Dashboard!J620:J1602)*Query17[Conversion Rate] * SUMPRODUCT((Entries[[Investor Name ]]=Calculations!B600) * (Entries[Deposit Amount]) *(Entries[Time in Fund(Days)]))/SUMPRODUCT(Entries[Deposit Amount],Entries[Time in Fund(Days)])," ")</f>
        <v xml:space="preserve"> </v>
      </c>
    </row>
    <row r="601" spans="2:4" x14ac:dyDescent="0.25">
      <c r="B601" s="6"/>
      <c r="C601" s="2" t="str">
        <f>IF(ISBLANK(Table3[[#This Row],[Investor]])," ",SUMIF(Entries[[Investor Name ]],Calculations!B601,Entries[Deposit Amount]))</f>
        <v xml:space="preserve"> </v>
      </c>
      <c r="D601" s="7" t="str" cm="1">
        <f t="array" aca="1" ref="D601" ca="1">IFERROR(C601 + SUM(Dashboard!J621:J1603)*Query17[Conversion Rate] * SUMPRODUCT((Entries[[Investor Name ]]=Calculations!B601) * (Entries[Deposit Amount]) *(Entries[Time in Fund(Days)]))/SUMPRODUCT(Entries[Deposit Amount],Entries[Time in Fund(Days)])," ")</f>
        <v xml:space="preserve"> </v>
      </c>
    </row>
    <row r="602" spans="2:4" x14ac:dyDescent="0.25">
      <c r="B602" s="6"/>
      <c r="C602" s="2" t="str">
        <f>IF(ISBLANK(Table3[[#This Row],[Investor]])," ",SUMIF(Entries[[Investor Name ]],Calculations!B602,Entries[Deposit Amount]))</f>
        <v xml:space="preserve"> </v>
      </c>
      <c r="D602" s="7" t="str" cm="1">
        <f t="array" aca="1" ref="D602" ca="1">IFERROR(C602 + SUM(Dashboard!J622:J1604)*Query17[Conversion Rate] * SUMPRODUCT((Entries[[Investor Name ]]=Calculations!B602) * (Entries[Deposit Amount]) *(Entries[Time in Fund(Days)]))/SUMPRODUCT(Entries[Deposit Amount],Entries[Time in Fund(Days)])," ")</f>
        <v xml:space="preserve"> </v>
      </c>
    </row>
    <row r="603" spans="2:4" x14ac:dyDescent="0.25">
      <c r="B603" s="6"/>
      <c r="C603" s="2" t="str">
        <f>IF(ISBLANK(Table3[[#This Row],[Investor]])," ",SUMIF(Entries[[Investor Name ]],Calculations!B603,Entries[Deposit Amount]))</f>
        <v xml:space="preserve"> </v>
      </c>
      <c r="D603" s="7" t="str" cm="1">
        <f t="array" aca="1" ref="D603" ca="1">IFERROR(C603 + SUM(Dashboard!J623:J1605)*Query17[Conversion Rate] * SUMPRODUCT((Entries[[Investor Name ]]=Calculations!B603) * (Entries[Deposit Amount]) *(Entries[Time in Fund(Days)]))/SUMPRODUCT(Entries[Deposit Amount],Entries[Time in Fund(Days)])," ")</f>
        <v xml:space="preserve"> </v>
      </c>
    </row>
    <row r="604" spans="2:4" x14ac:dyDescent="0.25">
      <c r="B604" s="6"/>
      <c r="C604" s="2" t="str">
        <f>IF(ISBLANK(Table3[[#This Row],[Investor]])," ",SUMIF(Entries[[Investor Name ]],Calculations!B604,Entries[Deposit Amount]))</f>
        <v xml:space="preserve"> </v>
      </c>
      <c r="D604" s="7" t="str" cm="1">
        <f t="array" aca="1" ref="D604" ca="1">IFERROR(C604 + SUM(Dashboard!J624:J1606)*Query17[Conversion Rate] * SUMPRODUCT((Entries[[Investor Name ]]=Calculations!B604) * (Entries[Deposit Amount]) *(Entries[Time in Fund(Days)]))/SUMPRODUCT(Entries[Deposit Amount],Entries[Time in Fund(Days)])," ")</f>
        <v xml:space="preserve"> </v>
      </c>
    </row>
    <row r="605" spans="2:4" x14ac:dyDescent="0.25">
      <c r="B605" s="6"/>
      <c r="C605" s="2" t="str">
        <f>IF(ISBLANK(Table3[[#This Row],[Investor]])," ",SUMIF(Entries[[Investor Name ]],Calculations!B605,Entries[Deposit Amount]))</f>
        <v xml:space="preserve"> </v>
      </c>
      <c r="D605" s="7" t="str" cm="1">
        <f t="array" aca="1" ref="D605" ca="1">IFERROR(C605 + SUM(Dashboard!J625:J1607)*Query17[Conversion Rate] * SUMPRODUCT((Entries[[Investor Name ]]=Calculations!B605) * (Entries[Deposit Amount]) *(Entries[Time in Fund(Days)]))/SUMPRODUCT(Entries[Deposit Amount],Entries[Time in Fund(Days)])," ")</f>
        <v xml:space="preserve"> </v>
      </c>
    </row>
    <row r="606" spans="2:4" x14ac:dyDescent="0.25">
      <c r="B606" s="6"/>
      <c r="C606" s="2" t="str">
        <f>IF(ISBLANK(Table3[[#This Row],[Investor]])," ",SUMIF(Entries[[Investor Name ]],Calculations!B606,Entries[Deposit Amount]))</f>
        <v xml:space="preserve"> </v>
      </c>
      <c r="D606" s="7" t="str" cm="1">
        <f t="array" aca="1" ref="D606" ca="1">IFERROR(C606 + SUM(Dashboard!J626:J1608)*Query17[Conversion Rate] * SUMPRODUCT((Entries[[Investor Name ]]=Calculations!B606) * (Entries[Deposit Amount]) *(Entries[Time in Fund(Days)]))/SUMPRODUCT(Entries[Deposit Amount],Entries[Time in Fund(Days)])," ")</f>
        <v xml:space="preserve"> </v>
      </c>
    </row>
    <row r="607" spans="2:4" x14ac:dyDescent="0.25">
      <c r="B607" s="6"/>
      <c r="C607" s="2" t="str">
        <f>IF(ISBLANK(Table3[[#This Row],[Investor]])," ",SUMIF(Entries[[Investor Name ]],Calculations!B607,Entries[Deposit Amount]))</f>
        <v xml:space="preserve"> </v>
      </c>
      <c r="D607" s="7" t="str" cm="1">
        <f t="array" aca="1" ref="D607" ca="1">IFERROR(C607 + SUM(Dashboard!J627:J1609)*Query17[Conversion Rate] * SUMPRODUCT((Entries[[Investor Name ]]=Calculations!B607) * (Entries[Deposit Amount]) *(Entries[Time in Fund(Days)]))/SUMPRODUCT(Entries[Deposit Amount],Entries[Time in Fund(Days)])," ")</f>
        <v xml:space="preserve"> </v>
      </c>
    </row>
    <row r="608" spans="2:4" x14ac:dyDescent="0.25">
      <c r="B608" s="6"/>
      <c r="C608" s="2" t="str">
        <f>IF(ISBLANK(Table3[[#This Row],[Investor]])," ",SUMIF(Entries[[Investor Name ]],Calculations!B608,Entries[Deposit Amount]))</f>
        <v xml:space="preserve"> </v>
      </c>
      <c r="D608" s="7" t="str" cm="1">
        <f t="array" aca="1" ref="D608" ca="1">IFERROR(C608 + SUM(Dashboard!J628:J1610)*Query17[Conversion Rate] * SUMPRODUCT((Entries[[Investor Name ]]=Calculations!B608) * (Entries[Deposit Amount]) *(Entries[Time in Fund(Days)]))/SUMPRODUCT(Entries[Deposit Amount],Entries[Time in Fund(Days)])," ")</f>
        <v xml:space="preserve"> </v>
      </c>
    </row>
    <row r="609" spans="2:4" x14ac:dyDescent="0.25">
      <c r="B609" s="6"/>
      <c r="C609" s="2" t="str">
        <f>IF(ISBLANK(Table3[[#This Row],[Investor]])," ",SUMIF(Entries[[Investor Name ]],Calculations!B609,Entries[Deposit Amount]))</f>
        <v xml:space="preserve"> </v>
      </c>
      <c r="D609" s="7" t="str" cm="1">
        <f t="array" aca="1" ref="D609" ca="1">IFERROR(C609 + SUM(Dashboard!J629:J1611)*Query17[Conversion Rate] * SUMPRODUCT((Entries[[Investor Name ]]=Calculations!B609) * (Entries[Deposit Amount]) *(Entries[Time in Fund(Days)]))/SUMPRODUCT(Entries[Deposit Amount],Entries[Time in Fund(Days)])," ")</f>
        <v xml:space="preserve"> </v>
      </c>
    </row>
    <row r="610" spans="2:4" x14ac:dyDescent="0.25">
      <c r="B610" s="6"/>
      <c r="C610" s="2" t="str">
        <f>IF(ISBLANK(Table3[[#This Row],[Investor]])," ",SUMIF(Entries[[Investor Name ]],Calculations!B610,Entries[Deposit Amount]))</f>
        <v xml:space="preserve"> </v>
      </c>
      <c r="D610" s="7" t="str" cm="1">
        <f t="array" aca="1" ref="D610" ca="1">IFERROR(C610 + SUM(Dashboard!J630:J1612)*Query17[Conversion Rate] * SUMPRODUCT((Entries[[Investor Name ]]=Calculations!B610) * (Entries[Deposit Amount]) *(Entries[Time in Fund(Days)]))/SUMPRODUCT(Entries[Deposit Amount],Entries[Time in Fund(Days)])," ")</f>
        <v xml:space="preserve"> </v>
      </c>
    </row>
    <row r="611" spans="2:4" x14ac:dyDescent="0.25">
      <c r="B611" s="6"/>
      <c r="C611" s="2" t="str">
        <f>IF(ISBLANK(Table3[[#This Row],[Investor]])," ",SUMIF(Entries[[Investor Name ]],Calculations!B611,Entries[Deposit Amount]))</f>
        <v xml:space="preserve"> </v>
      </c>
      <c r="D611" s="7" t="str" cm="1">
        <f t="array" aca="1" ref="D611" ca="1">IFERROR(C611 + SUM(Dashboard!J631:J1613)*Query17[Conversion Rate] * SUMPRODUCT((Entries[[Investor Name ]]=Calculations!B611) * (Entries[Deposit Amount]) *(Entries[Time in Fund(Days)]))/SUMPRODUCT(Entries[Deposit Amount],Entries[Time in Fund(Days)])," ")</f>
        <v xml:space="preserve"> </v>
      </c>
    </row>
    <row r="612" spans="2:4" x14ac:dyDescent="0.25">
      <c r="B612" s="6"/>
      <c r="C612" s="2" t="str">
        <f>IF(ISBLANK(Table3[[#This Row],[Investor]])," ",SUMIF(Entries[[Investor Name ]],Calculations!B612,Entries[Deposit Amount]))</f>
        <v xml:space="preserve"> </v>
      </c>
      <c r="D612" s="7" t="str" cm="1">
        <f t="array" aca="1" ref="D612" ca="1">IFERROR(C612 + SUM(Dashboard!J632:J1614)*Query17[Conversion Rate] * SUMPRODUCT((Entries[[Investor Name ]]=Calculations!B612) * (Entries[Deposit Amount]) *(Entries[Time in Fund(Days)]))/SUMPRODUCT(Entries[Deposit Amount],Entries[Time in Fund(Days)])," ")</f>
        <v xml:space="preserve"> </v>
      </c>
    </row>
    <row r="613" spans="2:4" x14ac:dyDescent="0.25">
      <c r="B613" s="6"/>
      <c r="C613" s="2" t="str">
        <f>IF(ISBLANK(Table3[[#This Row],[Investor]])," ",SUMIF(Entries[[Investor Name ]],Calculations!B613,Entries[Deposit Amount]))</f>
        <v xml:space="preserve"> </v>
      </c>
      <c r="D613" s="7" t="str" cm="1">
        <f t="array" aca="1" ref="D613" ca="1">IFERROR(C613 + SUM(Dashboard!J633:J1615)*Query17[Conversion Rate] * SUMPRODUCT((Entries[[Investor Name ]]=Calculations!B613) * (Entries[Deposit Amount]) *(Entries[Time in Fund(Days)]))/SUMPRODUCT(Entries[Deposit Amount],Entries[Time in Fund(Days)])," ")</f>
        <v xml:space="preserve"> </v>
      </c>
    </row>
    <row r="614" spans="2:4" x14ac:dyDescent="0.25">
      <c r="B614" s="6"/>
      <c r="C614" s="2" t="str">
        <f>IF(ISBLANK(Table3[[#This Row],[Investor]])," ",SUMIF(Entries[[Investor Name ]],Calculations!B614,Entries[Deposit Amount]))</f>
        <v xml:space="preserve"> </v>
      </c>
      <c r="D614" s="7" t="str" cm="1">
        <f t="array" aca="1" ref="D614" ca="1">IFERROR(C614 + SUM(Dashboard!J634:J1616)*Query17[Conversion Rate] * SUMPRODUCT((Entries[[Investor Name ]]=Calculations!B614) * (Entries[Deposit Amount]) *(Entries[Time in Fund(Days)]))/SUMPRODUCT(Entries[Deposit Amount],Entries[Time in Fund(Days)])," ")</f>
        <v xml:space="preserve"> </v>
      </c>
    </row>
    <row r="615" spans="2:4" x14ac:dyDescent="0.25">
      <c r="B615" s="6"/>
      <c r="C615" s="2" t="str">
        <f>IF(ISBLANK(Table3[[#This Row],[Investor]])," ",SUMIF(Entries[[Investor Name ]],Calculations!B615,Entries[Deposit Amount]))</f>
        <v xml:space="preserve"> </v>
      </c>
      <c r="D615" s="7" t="str" cm="1">
        <f t="array" aca="1" ref="D615" ca="1">IFERROR(C615 + SUM(Dashboard!J635:J1617)*Query17[Conversion Rate] * SUMPRODUCT((Entries[[Investor Name ]]=Calculations!B615) * (Entries[Deposit Amount]) *(Entries[Time in Fund(Days)]))/SUMPRODUCT(Entries[Deposit Amount],Entries[Time in Fund(Days)])," ")</f>
        <v xml:space="preserve"> </v>
      </c>
    </row>
    <row r="616" spans="2:4" x14ac:dyDescent="0.25">
      <c r="B616" s="6"/>
      <c r="C616" s="2" t="str">
        <f>IF(ISBLANK(Table3[[#This Row],[Investor]])," ",SUMIF(Entries[[Investor Name ]],Calculations!B616,Entries[Deposit Amount]))</f>
        <v xml:space="preserve"> </v>
      </c>
      <c r="D616" s="7" t="str" cm="1">
        <f t="array" aca="1" ref="D616" ca="1">IFERROR(C616 + SUM(Dashboard!J636:J1618)*Query17[Conversion Rate] * SUMPRODUCT((Entries[[Investor Name ]]=Calculations!B616) * (Entries[Deposit Amount]) *(Entries[Time in Fund(Days)]))/SUMPRODUCT(Entries[Deposit Amount],Entries[Time in Fund(Days)])," ")</f>
        <v xml:space="preserve"> </v>
      </c>
    </row>
    <row r="617" spans="2:4" x14ac:dyDescent="0.25">
      <c r="B617" s="6"/>
      <c r="C617" s="2" t="str">
        <f>IF(ISBLANK(Table3[[#This Row],[Investor]])," ",SUMIF(Entries[[Investor Name ]],Calculations!B617,Entries[Deposit Amount]))</f>
        <v xml:space="preserve"> </v>
      </c>
      <c r="D617" s="7" t="str" cm="1">
        <f t="array" aca="1" ref="D617" ca="1">IFERROR(C617 + SUM(Dashboard!J637:J1619)*Query17[Conversion Rate] * SUMPRODUCT((Entries[[Investor Name ]]=Calculations!B617) * (Entries[Deposit Amount]) *(Entries[Time in Fund(Days)]))/SUMPRODUCT(Entries[Deposit Amount],Entries[Time in Fund(Days)])," ")</f>
        <v xml:space="preserve"> </v>
      </c>
    </row>
    <row r="618" spans="2:4" x14ac:dyDescent="0.25">
      <c r="B618" s="6"/>
      <c r="C618" s="2" t="str">
        <f>IF(ISBLANK(Table3[[#This Row],[Investor]])," ",SUMIF(Entries[[Investor Name ]],Calculations!B618,Entries[Deposit Amount]))</f>
        <v xml:space="preserve"> </v>
      </c>
      <c r="D618" s="7" t="str" cm="1">
        <f t="array" aca="1" ref="D618" ca="1">IFERROR(C618 + SUM(Dashboard!J638:J1620)*Query17[Conversion Rate] * SUMPRODUCT((Entries[[Investor Name ]]=Calculations!B618) * (Entries[Deposit Amount]) *(Entries[Time in Fund(Days)]))/SUMPRODUCT(Entries[Deposit Amount],Entries[Time in Fund(Days)])," ")</f>
        <v xml:space="preserve"> </v>
      </c>
    </row>
    <row r="619" spans="2:4" x14ac:dyDescent="0.25">
      <c r="B619" s="6"/>
      <c r="C619" s="2" t="str">
        <f>IF(ISBLANK(Table3[[#This Row],[Investor]])," ",SUMIF(Entries[[Investor Name ]],Calculations!B619,Entries[Deposit Amount]))</f>
        <v xml:space="preserve"> </v>
      </c>
      <c r="D619" s="7" t="str" cm="1">
        <f t="array" aca="1" ref="D619" ca="1">IFERROR(C619 + SUM(Dashboard!J639:J1621)*Query17[Conversion Rate] * SUMPRODUCT((Entries[[Investor Name ]]=Calculations!B619) * (Entries[Deposit Amount]) *(Entries[Time in Fund(Days)]))/SUMPRODUCT(Entries[Deposit Amount],Entries[Time in Fund(Days)])," ")</f>
        <v xml:space="preserve"> </v>
      </c>
    </row>
    <row r="620" spans="2:4" x14ac:dyDescent="0.25">
      <c r="B620" s="6"/>
      <c r="C620" s="2" t="str">
        <f>IF(ISBLANK(Table3[[#This Row],[Investor]])," ",SUMIF(Entries[[Investor Name ]],Calculations!B620,Entries[Deposit Amount]))</f>
        <v xml:space="preserve"> </v>
      </c>
      <c r="D620" s="7" t="str" cm="1">
        <f t="array" aca="1" ref="D620" ca="1">IFERROR(C620 + SUM(Dashboard!J640:J1622)*Query17[Conversion Rate] * SUMPRODUCT((Entries[[Investor Name ]]=Calculations!B620) * (Entries[Deposit Amount]) *(Entries[Time in Fund(Days)]))/SUMPRODUCT(Entries[Deposit Amount],Entries[Time in Fund(Days)])," ")</f>
        <v xml:space="preserve"> </v>
      </c>
    </row>
    <row r="621" spans="2:4" x14ac:dyDescent="0.25">
      <c r="B621" s="6"/>
      <c r="C621" s="2" t="str">
        <f>IF(ISBLANK(Table3[[#This Row],[Investor]])," ",SUMIF(Entries[[Investor Name ]],Calculations!B621,Entries[Deposit Amount]))</f>
        <v xml:space="preserve"> </v>
      </c>
      <c r="D621" s="7" t="str" cm="1">
        <f t="array" aca="1" ref="D621" ca="1">IFERROR(C621 + SUM(Dashboard!J641:J1623)*Query17[Conversion Rate] * SUMPRODUCT((Entries[[Investor Name ]]=Calculations!B621) * (Entries[Deposit Amount]) *(Entries[Time in Fund(Days)]))/SUMPRODUCT(Entries[Deposit Amount],Entries[Time in Fund(Days)])," ")</f>
        <v xml:space="preserve"> </v>
      </c>
    </row>
    <row r="622" spans="2:4" x14ac:dyDescent="0.25">
      <c r="B622" s="6"/>
      <c r="C622" s="2" t="str">
        <f>IF(ISBLANK(Table3[[#This Row],[Investor]])," ",SUMIF(Entries[[Investor Name ]],Calculations!B622,Entries[Deposit Amount]))</f>
        <v xml:space="preserve"> </v>
      </c>
      <c r="D622" s="7" t="str" cm="1">
        <f t="array" aca="1" ref="D622" ca="1">IFERROR(C622 + SUM(Dashboard!J642:J1624)*Query17[Conversion Rate] * SUMPRODUCT((Entries[[Investor Name ]]=Calculations!B622) * (Entries[Deposit Amount]) *(Entries[Time in Fund(Days)]))/SUMPRODUCT(Entries[Deposit Amount],Entries[Time in Fund(Days)])," ")</f>
        <v xml:space="preserve"> </v>
      </c>
    </row>
    <row r="623" spans="2:4" x14ac:dyDescent="0.25">
      <c r="B623" s="6"/>
      <c r="C623" s="2" t="str">
        <f>IF(ISBLANK(Table3[[#This Row],[Investor]])," ",SUMIF(Entries[[Investor Name ]],Calculations!B623,Entries[Deposit Amount]))</f>
        <v xml:space="preserve"> </v>
      </c>
      <c r="D623" s="7" t="str" cm="1">
        <f t="array" aca="1" ref="D623" ca="1">IFERROR(C623 + SUM(Dashboard!J643:J1625)*Query17[Conversion Rate] * SUMPRODUCT((Entries[[Investor Name ]]=Calculations!B623) * (Entries[Deposit Amount]) *(Entries[Time in Fund(Days)]))/SUMPRODUCT(Entries[Deposit Amount],Entries[Time in Fund(Days)])," ")</f>
        <v xml:space="preserve"> </v>
      </c>
    </row>
    <row r="624" spans="2:4" x14ac:dyDescent="0.25">
      <c r="B624" s="6"/>
      <c r="C624" s="2" t="str">
        <f>IF(ISBLANK(Table3[[#This Row],[Investor]])," ",SUMIF(Entries[[Investor Name ]],Calculations!B624,Entries[Deposit Amount]))</f>
        <v xml:space="preserve"> </v>
      </c>
      <c r="D624" s="7" t="str" cm="1">
        <f t="array" aca="1" ref="D624" ca="1">IFERROR(C624 + SUM(Dashboard!J644:J1626)*Query17[Conversion Rate] * SUMPRODUCT((Entries[[Investor Name ]]=Calculations!B624) * (Entries[Deposit Amount]) *(Entries[Time in Fund(Days)]))/SUMPRODUCT(Entries[Deposit Amount],Entries[Time in Fund(Days)])," ")</f>
        <v xml:space="preserve"> </v>
      </c>
    </row>
    <row r="625" spans="2:4" x14ac:dyDescent="0.25">
      <c r="B625" s="6"/>
      <c r="C625" s="2" t="str">
        <f>IF(ISBLANK(Table3[[#This Row],[Investor]])," ",SUMIF(Entries[[Investor Name ]],Calculations!B625,Entries[Deposit Amount]))</f>
        <v xml:space="preserve"> </v>
      </c>
      <c r="D625" s="7" t="str" cm="1">
        <f t="array" aca="1" ref="D625" ca="1">IFERROR(C625 + SUM(Dashboard!J645:J1627)*Query17[Conversion Rate] * SUMPRODUCT((Entries[[Investor Name ]]=Calculations!B625) * (Entries[Deposit Amount]) *(Entries[Time in Fund(Days)]))/SUMPRODUCT(Entries[Deposit Amount],Entries[Time in Fund(Days)])," ")</f>
        <v xml:space="preserve"> </v>
      </c>
    </row>
    <row r="626" spans="2:4" x14ac:dyDescent="0.25">
      <c r="B626" s="6"/>
      <c r="C626" s="2" t="str">
        <f>IF(ISBLANK(Table3[[#This Row],[Investor]])," ",SUMIF(Entries[[Investor Name ]],Calculations!B626,Entries[Deposit Amount]))</f>
        <v xml:space="preserve"> </v>
      </c>
      <c r="D626" s="7" t="str" cm="1">
        <f t="array" aca="1" ref="D626" ca="1">IFERROR(C626 + SUM(Dashboard!J646:J1628)*Query17[Conversion Rate] * SUMPRODUCT((Entries[[Investor Name ]]=Calculations!B626) * (Entries[Deposit Amount]) *(Entries[Time in Fund(Days)]))/SUMPRODUCT(Entries[Deposit Amount],Entries[Time in Fund(Days)])," ")</f>
        <v xml:space="preserve"> </v>
      </c>
    </row>
    <row r="627" spans="2:4" x14ac:dyDescent="0.25">
      <c r="B627" s="6"/>
      <c r="C627" s="2" t="str">
        <f>IF(ISBLANK(Table3[[#This Row],[Investor]])," ",SUMIF(Entries[[Investor Name ]],Calculations!B627,Entries[Deposit Amount]))</f>
        <v xml:space="preserve"> </v>
      </c>
      <c r="D627" s="7" t="str" cm="1">
        <f t="array" aca="1" ref="D627" ca="1">IFERROR(C627 + SUM(Dashboard!J647:J1629)*Query17[Conversion Rate] * SUMPRODUCT((Entries[[Investor Name ]]=Calculations!B627) * (Entries[Deposit Amount]) *(Entries[Time in Fund(Days)]))/SUMPRODUCT(Entries[Deposit Amount],Entries[Time in Fund(Days)])," ")</f>
        <v xml:space="preserve"> </v>
      </c>
    </row>
    <row r="628" spans="2:4" x14ac:dyDescent="0.25">
      <c r="B628" s="6"/>
      <c r="C628" s="2" t="str">
        <f>IF(ISBLANK(Table3[[#This Row],[Investor]])," ",SUMIF(Entries[[Investor Name ]],Calculations!B628,Entries[Deposit Amount]))</f>
        <v xml:space="preserve"> </v>
      </c>
      <c r="D628" s="7" t="str" cm="1">
        <f t="array" aca="1" ref="D628" ca="1">IFERROR(C628 + SUM(Dashboard!J648:J1630)*Query17[Conversion Rate] * SUMPRODUCT((Entries[[Investor Name ]]=Calculations!B628) * (Entries[Deposit Amount]) *(Entries[Time in Fund(Days)]))/SUMPRODUCT(Entries[Deposit Amount],Entries[Time in Fund(Days)])," ")</f>
        <v xml:space="preserve"> </v>
      </c>
    </row>
    <row r="629" spans="2:4" x14ac:dyDescent="0.25">
      <c r="B629" s="6"/>
      <c r="C629" s="2" t="str">
        <f>IF(ISBLANK(Table3[[#This Row],[Investor]])," ",SUMIF(Entries[[Investor Name ]],Calculations!B629,Entries[Deposit Amount]))</f>
        <v xml:space="preserve"> </v>
      </c>
      <c r="D629" s="7" t="str" cm="1">
        <f t="array" aca="1" ref="D629" ca="1">IFERROR(C629 + SUM(Dashboard!J649:J1631)*Query17[Conversion Rate] * SUMPRODUCT((Entries[[Investor Name ]]=Calculations!B629) * (Entries[Deposit Amount]) *(Entries[Time in Fund(Days)]))/SUMPRODUCT(Entries[Deposit Amount],Entries[Time in Fund(Days)])," ")</f>
        <v xml:space="preserve"> </v>
      </c>
    </row>
    <row r="630" spans="2:4" x14ac:dyDescent="0.25">
      <c r="B630" s="6"/>
      <c r="C630" s="2" t="str">
        <f>IF(ISBLANK(Table3[[#This Row],[Investor]])," ",SUMIF(Entries[[Investor Name ]],Calculations!B630,Entries[Deposit Amount]))</f>
        <v xml:space="preserve"> </v>
      </c>
      <c r="D630" s="7" t="str" cm="1">
        <f t="array" aca="1" ref="D630" ca="1">IFERROR(C630 + SUM(Dashboard!J650:J1632)*Query17[Conversion Rate] * SUMPRODUCT((Entries[[Investor Name ]]=Calculations!B630) * (Entries[Deposit Amount]) *(Entries[Time in Fund(Days)]))/SUMPRODUCT(Entries[Deposit Amount],Entries[Time in Fund(Days)])," ")</f>
        <v xml:space="preserve"> </v>
      </c>
    </row>
    <row r="631" spans="2:4" x14ac:dyDescent="0.25">
      <c r="B631" s="6"/>
      <c r="C631" s="2" t="str">
        <f>IF(ISBLANK(Table3[[#This Row],[Investor]])," ",SUMIF(Entries[[Investor Name ]],Calculations!B631,Entries[Deposit Amount]))</f>
        <v xml:space="preserve"> </v>
      </c>
      <c r="D631" s="7" t="str" cm="1">
        <f t="array" aca="1" ref="D631" ca="1">IFERROR(C631 + SUM(Dashboard!J651:J1633)*Query17[Conversion Rate] * SUMPRODUCT((Entries[[Investor Name ]]=Calculations!B631) * (Entries[Deposit Amount]) *(Entries[Time in Fund(Days)]))/SUMPRODUCT(Entries[Deposit Amount],Entries[Time in Fund(Days)])," ")</f>
        <v xml:space="preserve"> </v>
      </c>
    </row>
    <row r="632" spans="2:4" x14ac:dyDescent="0.25">
      <c r="B632" s="6"/>
      <c r="C632" s="2" t="str">
        <f>IF(ISBLANK(Table3[[#This Row],[Investor]])," ",SUMIF(Entries[[Investor Name ]],Calculations!B632,Entries[Deposit Amount]))</f>
        <v xml:space="preserve"> </v>
      </c>
      <c r="D632" s="7" t="str" cm="1">
        <f t="array" aca="1" ref="D632" ca="1">IFERROR(C632 + SUM(Dashboard!J652:J1634)*Query17[Conversion Rate] * SUMPRODUCT((Entries[[Investor Name ]]=Calculations!B632) * (Entries[Deposit Amount]) *(Entries[Time in Fund(Days)]))/SUMPRODUCT(Entries[Deposit Amount],Entries[Time in Fund(Days)])," ")</f>
        <v xml:space="preserve"> </v>
      </c>
    </row>
    <row r="633" spans="2:4" x14ac:dyDescent="0.25">
      <c r="B633" s="6"/>
      <c r="C633" s="2" t="str">
        <f>IF(ISBLANK(Table3[[#This Row],[Investor]])," ",SUMIF(Entries[[Investor Name ]],Calculations!B633,Entries[Deposit Amount]))</f>
        <v xml:space="preserve"> </v>
      </c>
      <c r="D633" s="7" t="str" cm="1">
        <f t="array" aca="1" ref="D633" ca="1">IFERROR(C633 + SUM(Dashboard!J653:J1635)*Query17[Conversion Rate] * SUMPRODUCT((Entries[[Investor Name ]]=Calculations!B633) * (Entries[Deposit Amount]) *(Entries[Time in Fund(Days)]))/SUMPRODUCT(Entries[Deposit Amount],Entries[Time in Fund(Days)])," ")</f>
        <v xml:space="preserve"> </v>
      </c>
    </row>
    <row r="634" spans="2:4" x14ac:dyDescent="0.25">
      <c r="B634" s="6"/>
      <c r="C634" s="2" t="str">
        <f>IF(ISBLANK(Table3[[#This Row],[Investor]])," ",SUMIF(Entries[[Investor Name ]],Calculations!B634,Entries[Deposit Amount]))</f>
        <v xml:space="preserve"> </v>
      </c>
      <c r="D634" s="7" t="str" cm="1">
        <f t="array" aca="1" ref="D634" ca="1">IFERROR(C634 + SUM(Dashboard!J654:J1636)*Query17[Conversion Rate] * SUMPRODUCT((Entries[[Investor Name ]]=Calculations!B634) * (Entries[Deposit Amount]) *(Entries[Time in Fund(Days)]))/SUMPRODUCT(Entries[Deposit Amount],Entries[Time in Fund(Days)])," ")</f>
        <v xml:space="preserve"> </v>
      </c>
    </row>
    <row r="635" spans="2:4" x14ac:dyDescent="0.25">
      <c r="B635" s="6"/>
      <c r="C635" s="2" t="str">
        <f>IF(ISBLANK(Table3[[#This Row],[Investor]])," ",SUMIF(Entries[[Investor Name ]],Calculations!B635,Entries[Deposit Amount]))</f>
        <v xml:space="preserve"> </v>
      </c>
      <c r="D635" s="7" t="str" cm="1">
        <f t="array" aca="1" ref="D635" ca="1">IFERROR(C635 + SUM(Dashboard!J655:J1637)*Query17[Conversion Rate] * SUMPRODUCT((Entries[[Investor Name ]]=Calculations!B635) * (Entries[Deposit Amount]) *(Entries[Time in Fund(Days)]))/SUMPRODUCT(Entries[Deposit Amount],Entries[Time in Fund(Days)])," ")</f>
        <v xml:space="preserve"> </v>
      </c>
    </row>
    <row r="636" spans="2:4" x14ac:dyDescent="0.25">
      <c r="B636" s="6"/>
      <c r="C636" s="2" t="str">
        <f>IF(ISBLANK(Table3[[#This Row],[Investor]])," ",SUMIF(Entries[[Investor Name ]],Calculations!B636,Entries[Deposit Amount]))</f>
        <v xml:space="preserve"> </v>
      </c>
      <c r="D636" s="7" t="str" cm="1">
        <f t="array" aca="1" ref="D636" ca="1">IFERROR(C636 + SUM(Dashboard!J656:J1638)*Query17[Conversion Rate] * SUMPRODUCT((Entries[[Investor Name ]]=Calculations!B636) * (Entries[Deposit Amount]) *(Entries[Time in Fund(Days)]))/SUMPRODUCT(Entries[Deposit Amount],Entries[Time in Fund(Days)])," ")</f>
        <v xml:space="preserve"> </v>
      </c>
    </row>
    <row r="637" spans="2:4" x14ac:dyDescent="0.25">
      <c r="B637" s="6"/>
      <c r="C637" s="2" t="str">
        <f>IF(ISBLANK(Table3[[#This Row],[Investor]])," ",SUMIF(Entries[[Investor Name ]],Calculations!B637,Entries[Deposit Amount]))</f>
        <v xml:space="preserve"> </v>
      </c>
      <c r="D637" s="7" t="str" cm="1">
        <f t="array" aca="1" ref="D637" ca="1">IFERROR(C637 + SUM(Dashboard!J657:J1639)*Query17[Conversion Rate] * SUMPRODUCT((Entries[[Investor Name ]]=Calculations!B637) * (Entries[Deposit Amount]) *(Entries[Time in Fund(Days)]))/SUMPRODUCT(Entries[Deposit Amount],Entries[Time in Fund(Days)])," ")</f>
        <v xml:space="preserve"> </v>
      </c>
    </row>
    <row r="638" spans="2:4" x14ac:dyDescent="0.25">
      <c r="B638" s="6"/>
      <c r="C638" s="2" t="str">
        <f>IF(ISBLANK(Table3[[#This Row],[Investor]])," ",SUMIF(Entries[[Investor Name ]],Calculations!B638,Entries[Deposit Amount]))</f>
        <v xml:space="preserve"> </v>
      </c>
      <c r="D638" s="7" t="str" cm="1">
        <f t="array" aca="1" ref="D638" ca="1">IFERROR(C638 + SUM(Dashboard!J658:J1640)*Query17[Conversion Rate] * SUMPRODUCT((Entries[[Investor Name ]]=Calculations!B638) * (Entries[Deposit Amount]) *(Entries[Time in Fund(Days)]))/SUMPRODUCT(Entries[Deposit Amount],Entries[Time in Fund(Days)])," ")</f>
        <v xml:space="preserve"> </v>
      </c>
    </row>
    <row r="639" spans="2:4" x14ac:dyDescent="0.25">
      <c r="B639" s="6"/>
      <c r="C639" s="2" t="str">
        <f>IF(ISBLANK(Table3[[#This Row],[Investor]])," ",SUMIF(Entries[[Investor Name ]],Calculations!B639,Entries[Deposit Amount]))</f>
        <v xml:space="preserve"> </v>
      </c>
      <c r="D639" s="7" t="str" cm="1">
        <f t="array" aca="1" ref="D639" ca="1">IFERROR(C639 + SUM(Dashboard!J659:J1641)*Query17[Conversion Rate] * SUMPRODUCT((Entries[[Investor Name ]]=Calculations!B639) * (Entries[Deposit Amount]) *(Entries[Time in Fund(Days)]))/SUMPRODUCT(Entries[Deposit Amount],Entries[Time in Fund(Days)])," ")</f>
        <v xml:space="preserve"> </v>
      </c>
    </row>
    <row r="640" spans="2:4" x14ac:dyDescent="0.25">
      <c r="B640" s="6"/>
      <c r="C640" s="2" t="str">
        <f>IF(ISBLANK(Table3[[#This Row],[Investor]])," ",SUMIF(Entries[[Investor Name ]],Calculations!B640,Entries[Deposit Amount]))</f>
        <v xml:space="preserve"> </v>
      </c>
      <c r="D640" s="7" t="str" cm="1">
        <f t="array" aca="1" ref="D640" ca="1">IFERROR(C640 + SUM(Dashboard!J660:J1642)*Query17[Conversion Rate] * SUMPRODUCT((Entries[[Investor Name ]]=Calculations!B640) * (Entries[Deposit Amount]) *(Entries[Time in Fund(Days)]))/SUMPRODUCT(Entries[Deposit Amount],Entries[Time in Fund(Days)])," ")</f>
        <v xml:space="preserve"> </v>
      </c>
    </row>
    <row r="641" spans="2:4" x14ac:dyDescent="0.25">
      <c r="B641" s="6"/>
      <c r="C641" s="2" t="str">
        <f>IF(ISBLANK(Table3[[#This Row],[Investor]])," ",SUMIF(Entries[[Investor Name ]],Calculations!B641,Entries[Deposit Amount]))</f>
        <v xml:space="preserve"> </v>
      </c>
      <c r="D641" s="7" t="str" cm="1">
        <f t="array" aca="1" ref="D641" ca="1">IFERROR(C641 + SUM(Dashboard!J661:J1643)*Query17[Conversion Rate] * SUMPRODUCT((Entries[[Investor Name ]]=Calculations!B641) * (Entries[Deposit Amount]) *(Entries[Time in Fund(Days)]))/SUMPRODUCT(Entries[Deposit Amount],Entries[Time in Fund(Days)])," ")</f>
        <v xml:space="preserve"> </v>
      </c>
    </row>
    <row r="642" spans="2:4" x14ac:dyDescent="0.25">
      <c r="B642" s="6"/>
      <c r="C642" s="2" t="str">
        <f>IF(ISBLANK(Table3[[#This Row],[Investor]])," ",SUMIF(Entries[[Investor Name ]],Calculations!B642,Entries[Deposit Amount]))</f>
        <v xml:space="preserve"> </v>
      </c>
      <c r="D642" s="7" t="str" cm="1">
        <f t="array" aca="1" ref="D642" ca="1">IFERROR(C642 + SUM(Dashboard!J662:J1644)*Query17[Conversion Rate] * SUMPRODUCT((Entries[[Investor Name ]]=Calculations!B642) * (Entries[Deposit Amount]) *(Entries[Time in Fund(Days)]))/SUMPRODUCT(Entries[Deposit Amount],Entries[Time in Fund(Days)])," ")</f>
        <v xml:space="preserve"> </v>
      </c>
    </row>
    <row r="643" spans="2:4" x14ac:dyDescent="0.25">
      <c r="B643" s="6"/>
      <c r="C643" s="2" t="str">
        <f>IF(ISBLANK(Table3[[#This Row],[Investor]])," ",SUMIF(Entries[[Investor Name ]],Calculations!B643,Entries[Deposit Amount]))</f>
        <v xml:space="preserve"> </v>
      </c>
      <c r="D643" s="7" t="str" cm="1">
        <f t="array" aca="1" ref="D643" ca="1">IFERROR(C643 + SUM(Dashboard!J663:J1645)*Query17[Conversion Rate] * SUMPRODUCT((Entries[[Investor Name ]]=Calculations!B643) * (Entries[Deposit Amount]) *(Entries[Time in Fund(Days)]))/SUMPRODUCT(Entries[Deposit Amount],Entries[Time in Fund(Days)])," ")</f>
        <v xml:space="preserve"> </v>
      </c>
    </row>
    <row r="644" spans="2:4" x14ac:dyDescent="0.25">
      <c r="B644" s="6"/>
      <c r="C644" s="2" t="str">
        <f>IF(ISBLANK(Table3[[#This Row],[Investor]])," ",SUMIF(Entries[[Investor Name ]],Calculations!B644,Entries[Deposit Amount]))</f>
        <v xml:space="preserve"> </v>
      </c>
      <c r="D644" s="7" t="str" cm="1">
        <f t="array" aca="1" ref="D644" ca="1">IFERROR(C644 + SUM(Dashboard!J664:J1646)*Query17[Conversion Rate] * SUMPRODUCT((Entries[[Investor Name ]]=Calculations!B644) * (Entries[Deposit Amount]) *(Entries[Time in Fund(Days)]))/SUMPRODUCT(Entries[Deposit Amount],Entries[Time in Fund(Days)])," ")</f>
        <v xml:space="preserve"> </v>
      </c>
    </row>
    <row r="645" spans="2:4" x14ac:dyDescent="0.25">
      <c r="B645" s="6"/>
      <c r="C645" s="2" t="str">
        <f>IF(ISBLANK(Table3[[#This Row],[Investor]])," ",SUMIF(Entries[[Investor Name ]],Calculations!B645,Entries[Deposit Amount]))</f>
        <v xml:space="preserve"> </v>
      </c>
      <c r="D645" s="7" t="str" cm="1">
        <f t="array" aca="1" ref="D645" ca="1">IFERROR(C645 + SUM(Dashboard!J665:J1647)*Query17[Conversion Rate] * SUMPRODUCT((Entries[[Investor Name ]]=Calculations!B645) * (Entries[Deposit Amount]) *(Entries[Time in Fund(Days)]))/SUMPRODUCT(Entries[Deposit Amount],Entries[Time in Fund(Days)])," ")</f>
        <v xml:space="preserve"> </v>
      </c>
    </row>
    <row r="646" spans="2:4" x14ac:dyDescent="0.25">
      <c r="B646" s="6"/>
      <c r="C646" s="2" t="str">
        <f>IF(ISBLANK(Table3[[#This Row],[Investor]])," ",SUMIF(Entries[[Investor Name ]],Calculations!B646,Entries[Deposit Amount]))</f>
        <v xml:space="preserve"> </v>
      </c>
      <c r="D646" s="7" t="str" cm="1">
        <f t="array" aca="1" ref="D646" ca="1">IFERROR(C646 + SUM(Dashboard!J666:J1648)*Query17[Conversion Rate] * SUMPRODUCT((Entries[[Investor Name ]]=Calculations!B646) * (Entries[Deposit Amount]) *(Entries[Time in Fund(Days)]))/SUMPRODUCT(Entries[Deposit Amount],Entries[Time in Fund(Days)])," ")</f>
        <v xml:space="preserve"> </v>
      </c>
    </row>
    <row r="647" spans="2:4" x14ac:dyDescent="0.25">
      <c r="B647" s="6"/>
      <c r="C647" s="2" t="str">
        <f>IF(ISBLANK(Table3[[#This Row],[Investor]])," ",SUMIF(Entries[[Investor Name ]],Calculations!B647,Entries[Deposit Amount]))</f>
        <v xml:space="preserve"> </v>
      </c>
      <c r="D647" s="7" t="str" cm="1">
        <f t="array" aca="1" ref="D647" ca="1">IFERROR(C647 + SUM(Dashboard!J667:J1649)*Query17[Conversion Rate] * SUMPRODUCT((Entries[[Investor Name ]]=Calculations!B647) * (Entries[Deposit Amount]) *(Entries[Time in Fund(Days)]))/SUMPRODUCT(Entries[Deposit Amount],Entries[Time in Fund(Days)])," ")</f>
        <v xml:space="preserve"> </v>
      </c>
    </row>
    <row r="648" spans="2:4" x14ac:dyDescent="0.25">
      <c r="B648" s="6"/>
      <c r="C648" s="2" t="str">
        <f>IF(ISBLANK(Table3[[#This Row],[Investor]])," ",SUMIF(Entries[[Investor Name ]],Calculations!B648,Entries[Deposit Amount]))</f>
        <v xml:space="preserve"> </v>
      </c>
      <c r="D648" s="7" t="str" cm="1">
        <f t="array" aca="1" ref="D648" ca="1">IFERROR(C648 + SUM(Dashboard!J668:J1650)*Query17[Conversion Rate] * SUMPRODUCT((Entries[[Investor Name ]]=Calculations!B648) * (Entries[Deposit Amount]) *(Entries[Time in Fund(Days)]))/SUMPRODUCT(Entries[Deposit Amount],Entries[Time in Fund(Days)])," ")</f>
        <v xml:space="preserve"> </v>
      </c>
    </row>
    <row r="649" spans="2:4" x14ac:dyDescent="0.25">
      <c r="B649" s="6"/>
      <c r="C649" s="2" t="str">
        <f>IF(ISBLANK(Table3[[#This Row],[Investor]])," ",SUMIF(Entries[[Investor Name ]],Calculations!B649,Entries[Deposit Amount]))</f>
        <v xml:space="preserve"> </v>
      </c>
      <c r="D649" s="7" t="str" cm="1">
        <f t="array" aca="1" ref="D649" ca="1">IFERROR(C649 + SUM(Dashboard!J669:J1651)*Query17[Conversion Rate] * SUMPRODUCT((Entries[[Investor Name ]]=Calculations!B649) * (Entries[Deposit Amount]) *(Entries[Time in Fund(Days)]))/SUMPRODUCT(Entries[Deposit Amount],Entries[Time in Fund(Days)])," ")</f>
        <v xml:space="preserve"> </v>
      </c>
    </row>
    <row r="650" spans="2:4" x14ac:dyDescent="0.25">
      <c r="B650" s="6"/>
      <c r="C650" s="2" t="str">
        <f>IF(ISBLANK(Table3[[#This Row],[Investor]])," ",SUMIF(Entries[[Investor Name ]],Calculations!B650,Entries[Deposit Amount]))</f>
        <v xml:space="preserve"> </v>
      </c>
      <c r="D650" s="7" t="str" cm="1">
        <f t="array" aca="1" ref="D650" ca="1">IFERROR(C650 + SUM(Dashboard!J670:J1652)*Query17[Conversion Rate] * SUMPRODUCT((Entries[[Investor Name ]]=Calculations!B650) * (Entries[Deposit Amount]) *(Entries[Time in Fund(Days)]))/SUMPRODUCT(Entries[Deposit Amount],Entries[Time in Fund(Days)])," ")</f>
        <v xml:space="preserve"> </v>
      </c>
    </row>
    <row r="651" spans="2:4" x14ac:dyDescent="0.25">
      <c r="B651" s="6"/>
      <c r="C651" s="2" t="str">
        <f>IF(ISBLANK(Table3[[#This Row],[Investor]])," ",SUMIF(Entries[[Investor Name ]],Calculations!B651,Entries[Deposit Amount]))</f>
        <v xml:space="preserve"> </v>
      </c>
      <c r="D651" s="7" t="str" cm="1">
        <f t="array" aca="1" ref="D651" ca="1">IFERROR(C651 + SUM(Dashboard!J671:J1653)*Query17[Conversion Rate] * SUMPRODUCT((Entries[[Investor Name ]]=Calculations!B651) * (Entries[Deposit Amount]) *(Entries[Time in Fund(Days)]))/SUMPRODUCT(Entries[Deposit Amount],Entries[Time in Fund(Days)])," ")</f>
        <v xml:space="preserve"> </v>
      </c>
    </row>
    <row r="652" spans="2:4" x14ac:dyDescent="0.25">
      <c r="B652" s="6"/>
      <c r="C652" s="2" t="str">
        <f>IF(ISBLANK(Table3[[#This Row],[Investor]])," ",SUMIF(Entries[[Investor Name ]],Calculations!B652,Entries[Deposit Amount]))</f>
        <v xml:space="preserve"> </v>
      </c>
      <c r="D652" s="7" t="str" cm="1">
        <f t="array" aca="1" ref="D652" ca="1">IFERROR(C652 + SUM(Dashboard!J672:J1654)*Query17[Conversion Rate] * SUMPRODUCT((Entries[[Investor Name ]]=Calculations!B652) * (Entries[Deposit Amount]) *(Entries[Time in Fund(Days)]))/SUMPRODUCT(Entries[Deposit Amount],Entries[Time in Fund(Days)])," ")</f>
        <v xml:space="preserve"> </v>
      </c>
    </row>
    <row r="653" spans="2:4" x14ac:dyDescent="0.25">
      <c r="B653" s="6"/>
      <c r="C653" s="2" t="str">
        <f>IF(ISBLANK(Table3[[#This Row],[Investor]])," ",SUMIF(Entries[[Investor Name ]],Calculations!B653,Entries[Deposit Amount]))</f>
        <v xml:space="preserve"> </v>
      </c>
      <c r="D653" s="7" t="str" cm="1">
        <f t="array" aca="1" ref="D653" ca="1">IFERROR(C653 + SUM(Dashboard!J673:J1655)*Query17[Conversion Rate] * SUMPRODUCT((Entries[[Investor Name ]]=Calculations!B653) * (Entries[Deposit Amount]) *(Entries[Time in Fund(Days)]))/SUMPRODUCT(Entries[Deposit Amount],Entries[Time in Fund(Days)])," ")</f>
        <v xml:space="preserve"> </v>
      </c>
    </row>
    <row r="654" spans="2:4" x14ac:dyDescent="0.25">
      <c r="B654" s="6"/>
      <c r="C654" s="2" t="str">
        <f>IF(ISBLANK(Table3[[#This Row],[Investor]])," ",SUMIF(Entries[[Investor Name ]],Calculations!B654,Entries[Deposit Amount]))</f>
        <v xml:space="preserve"> </v>
      </c>
      <c r="D654" s="7" t="str" cm="1">
        <f t="array" aca="1" ref="D654" ca="1">IFERROR(C654 + SUM(Dashboard!J674:J1656)*Query17[Conversion Rate] * SUMPRODUCT((Entries[[Investor Name ]]=Calculations!B654) * (Entries[Deposit Amount]) *(Entries[Time in Fund(Days)]))/SUMPRODUCT(Entries[Deposit Amount],Entries[Time in Fund(Days)])," ")</f>
        <v xml:space="preserve"> </v>
      </c>
    </row>
    <row r="655" spans="2:4" x14ac:dyDescent="0.25">
      <c r="B655" s="6"/>
      <c r="C655" s="2" t="str">
        <f>IF(ISBLANK(Table3[[#This Row],[Investor]])," ",SUMIF(Entries[[Investor Name ]],Calculations!B655,Entries[Deposit Amount]))</f>
        <v xml:space="preserve"> </v>
      </c>
      <c r="D655" s="7" t="str" cm="1">
        <f t="array" aca="1" ref="D655" ca="1">IFERROR(C655 + SUM(Dashboard!J675:J1657)*Query17[Conversion Rate] * SUMPRODUCT((Entries[[Investor Name ]]=Calculations!B655) * (Entries[Deposit Amount]) *(Entries[Time in Fund(Days)]))/SUMPRODUCT(Entries[Deposit Amount],Entries[Time in Fund(Days)])," ")</f>
        <v xml:space="preserve"> </v>
      </c>
    </row>
    <row r="656" spans="2:4" x14ac:dyDescent="0.25">
      <c r="B656" s="6"/>
      <c r="C656" s="2" t="str">
        <f>IF(ISBLANK(Table3[[#This Row],[Investor]])," ",SUMIF(Entries[[Investor Name ]],Calculations!B656,Entries[Deposit Amount]))</f>
        <v xml:space="preserve"> </v>
      </c>
      <c r="D656" s="7" t="str" cm="1">
        <f t="array" aca="1" ref="D656" ca="1">IFERROR(C656 + SUM(Dashboard!J676:J1658)*Query17[Conversion Rate] * SUMPRODUCT((Entries[[Investor Name ]]=Calculations!B656) * (Entries[Deposit Amount]) *(Entries[Time in Fund(Days)]))/SUMPRODUCT(Entries[Deposit Amount],Entries[Time in Fund(Days)])," ")</f>
        <v xml:space="preserve"> </v>
      </c>
    </row>
    <row r="657" spans="2:4" x14ac:dyDescent="0.25">
      <c r="B657" s="6"/>
      <c r="C657" s="2" t="str">
        <f>IF(ISBLANK(Table3[[#This Row],[Investor]])," ",SUMIF(Entries[[Investor Name ]],Calculations!B657,Entries[Deposit Amount]))</f>
        <v xml:space="preserve"> </v>
      </c>
      <c r="D657" s="7" t="str" cm="1">
        <f t="array" aca="1" ref="D657" ca="1">IFERROR(C657 + SUM(Dashboard!J677:J1659)*Query17[Conversion Rate] * SUMPRODUCT((Entries[[Investor Name ]]=Calculations!B657) * (Entries[Deposit Amount]) *(Entries[Time in Fund(Days)]))/SUMPRODUCT(Entries[Deposit Amount],Entries[Time in Fund(Days)])," ")</f>
        <v xml:space="preserve"> </v>
      </c>
    </row>
    <row r="658" spans="2:4" x14ac:dyDescent="0.25">
      <c r="B658" s="6"/>
      <c r="C658" s="2" t="str">
        <f>IF(ISBLANK(Table3[[#This Row],[Investor]])," ",SUMIF(Entries[[Investor Name ]],Calculations!B658,Entries[Deposit Amount]))</f>
        <v xml:space="preserve"> </v>
      </c>
      <c r="D658" s="7" t="str" cm="1">
        <f t="array" aca="1" ref="D658" ca="1">IFERROR(C658 + SUM(Dashboard!J678:J1660)*Query17[Conversion Rate] * SUMPRODUCT((Entries[[Investor Name ]]=Calculations!B658) * (Entries[Deposit Amount]) *(Entries[Time in Fund(Days)]))/SUMPRODUCT(Entries[Deposit Amount],Entries[Time in Fund(Days)])," ")</f>
        <v xml:space="preserve"> </v>
      </c>
    </row>
    <row r="659" spans="2:4" x14ac:dyDescent="0.25">
      <c r="B659" s="6"/>
      <c r="C659" s="2" t="str">
        <f>IF(ISBLANK(Table3[[#This Row],[Investor]])," ",SUMIF(Entries[[Investor Name ]],Calculations!B659,Entries[Deposit Amount]))</f>
        <v xml:space="preserve"> </v>
      </c>
      <c r="D659" s="7" t="str" cm="1">
        <f t="array" aca="1" ref="D659" ca="1">IFERROR(C659 + SUM(Dashboard!J679:J1661)*Query17[Conversion Rate] * SUMPRODUCT((Entries[[Investor Name ]]=Calculations!B659) * (Entries[Deposit Amount]) *(Entries[Time in Fund(Days)]))/SUMPRODUCT(Entries[Deposit Amount],Entries[Time in Fund(Days)])," ")</f>
        <v xml:space="preserve"> </v>
      </c>
    </row>
    <row r="660" spans="2:4" x14ac:dyDescent="0.25">
      <c r="B660" s="6"/>
      <c r="C660" s="2" t="str">
        <f>IF(ISBLANK(Table3[[#This Row],[Investor]])," ",SUMIF(Entries[[Investor Name ]],Calculations!B660,Entries[Deposit Amount]))</f>
        <v xml:space="preserve"> </v>
      </c>
      <c r="D660" s="7" t="str" cm="1">
        <f t="array" aca="1" ref="D660" ca="1">IFERROR(C660 + SUM(Dashboard!J680:J1662)*Query17[Conversion Rate] * SUMPRODUCT((Entries[[Investor Name ]]=Calculations!B660) * (Entries[Deposit Amount]) *(Entries[Time in Fund(Days)]))/SUMPRODUCT(Entries[Deposit Amount],Entries[Time in Fund(Days)])," ")</f>
        <v xml:space="preserve"> </v>
      </c>
    </row>
    <row r="661" spans="2:4" x14ac:dyDescent="0.25">
      <c r="B661" s="6"/>
      <c r="C661" s="2" t="str">
        <f>IF(ISBLANK(Table3[[#This Row],[Investor]])," ",SUMIF(Entries[[Investor Name ]],Calculations!B661,Entries[Deposit Amount]))</f>
        <v xml:space="preserve"> </v>
      </c>
      <c r="D661" s="7" t="str" cm="1">
        <f t="array" aca="1" ref="D661" ca="1">IFERROR(C661 + SUM(Dashboard!J681:J1663)*Query17[Conversion Rate] * SUMPRODUCT((Entries[[Investor Name ]]=Calculations!B661) * (Entries[Deposit Amount]) *(Entries[Time in Fund(Days)]))/SUMPRODUCT(Entries[Deposit Amount],Entries[Time in Fund(Days)])," ")</f>
        <v xml:space="preserve"> </v>
      </c>
    </row>
    <row r="662" spans="2:4" x14ac:dyDescent="0.25">
      <c r="B662" s="6"/>
      <c r="C662" s="2" t="str">
        <f>IF(ISBLANK(Table3[[#This Row],[Investor]])," ",SUMIF(Entries[[Investor Name ]],Calculations!B662,Entries[Deposit Amount]))</f>
        <v xml:space="preserve"> </v>
      </c>
      <c r="D662" s="7" t="str" cm="1">
        <f t="array" aca="1" ref="D662" ca="1">IFERROR(C662 + SUM(Dashboard!J682:J1664)*Query17[Conversion Rate] * SUMPRODUCT((Entries[[Investor Name ]]=Calculations!B662) * (Entries[Deposit Amount]) *(Entries[Time in Fund(Days)]))/SUMPRODUCT(Entries[Deposit Amount],Entries[Time in Fund(Days)])," ")</f>
        <v xml:space="preserve"> </v>
      </c>
    </row>
    <row r="663" spans="2:4" x14ac:dyDescent="0.25">
      <c r="B663" s="6"/>
      <c r="C663" s="2" t="str">
        <f>IF(ISBLANK(Table3[[#This Row],[Investor]])," ",SUMIF(Entries[[Investor Name ]],Calculations!B663,Entries[Deposit Amount]))</f>
        <v xml:space="preserve"> </v>
      </c>
      <c r="D663" s="7" t="str" cm="1">
        <f t="array" aca="1" ref="D663" ca="1">IFERROR(C663 + SUM(Dashboard!J683:J1665)*Query17[Conversion Rate] * SUMPRODUCT((Entries[[Investor Name ]]=Calculations!B663) * (Entries[Deposit Amount]) *(Entries[Time in Fund(Days)]))/SUMPRODUCT(Entries[Deposit Amount],Entries[Time in Fund(Days)])," ")</f>
        <v xml:space="preserve"> </v>
      </c>
    </row>
    <row r="664" spans="2:4" x14ac:dyDescent="0.25">
      <c r="B664" s="6"/>
      <c r="C664" s="2" t="str">
        <f>IF(ISBLANK(Table3[[#This Row],[Investor]])," ",SUMIF(Entries[[Investor Name ]],Calculations!B664,Entries[Deposit Amount]))</f>
        <v xml:space="preserve"> </v>
      </c>
      <c r="D664" s="7" t="str" cm="1">
        <f t="array" aca="1" ref="D664" ca="1">IFERROR(C664 + SUM(Dashboard!J684:J1666)*Query17[Conversion Rate] * SUMPRODUCT((Entries[[Investor Name ]]=Calculations!B664) * (Entries[Deposit Amount]) *(Entries[Time in Fund(Days)]))/SUMPRODUCT(Entries[Deposit Amount],Entries[Time in Fund(Days)])," ")</f>
        <v xml:space="preserve"> </v>
      </c>
    </row>
    <row r="665" spans="2:4" x14ac:dyDescent="0.25">
      <c r="B665" s="6"/>
      <c r="C665" s="2" t="str">
        <f>IF(ISBLANK(Table3[[#This Row],[Investor]])," ",SUMIF(Entries[[Investor Name ]],Calculations!B665,Entries[Deposit Amount]))</f>
        <v xml:space="preserve"> </v>
      </c>
      <c r="D665" s="7" t="str" cm="1">
        <f t="array" aca="1" ref="D665" ca="1">IFERROR(C665 + SUM(Dashboard!J685:J1667)*Query17[Conversion Rate] * SUMPRODUCT((Entries[[Investor Name ]]=Calculations!B665) * (Entries[Deposit Amount]) *(Entries[Time in Fund(Days)]))/SUMPRODUCT(Entries[Deposit Amount],Entries[Time in Fund(Days)])," ")</f>
        <v xml:space="preserve"> </v>
      </c>
    </row>
    <row r="666" spans="2:4" x14ac:dyDescent="0.25">
      <c r="B666" s="6"/>
      <c r="C666" s="2" t="str">
        <f>IF(ISBLANK(Table3[[#This Row],[Investor]])," ",SUMIF(Entries[[Investor Name ]],Calculations!B666,Entries[Deposit Amount]))</f>
        <v xml:space="preserve"> </v>
      </c>
      <c r="D666" s="7" t="str" cm="1">
        <f t="array" aca="1" ref="D666" ca="1">IFERROR(C666 + SUM(Dashboard!J686:J1668)*Query17[Conversion Rate] * SUMPRODUCT((Entries[[Investor Name ]]=Calculations!B666) * (Entries[Deposit Amount]) *(Entries[Time in Fund(Days)]))/SUMPRODUCT(Entries[Deposit Amount],Entries[Time in Fund(Days)])," ")</f>
        <v xml:space="preserve"> </v>
      </c>
    </row>
    <row r="667" spans="2:4" x14ac:dyDescent="0.25">
      <c r="B667" s="6"/>
      <c r="C667" s="2" t="str">
        <f>IF(ISBLANK(Table3[[#This Row],[Investor]])," ",SUMIF(Entries[[Investor Name ]],Calculations!B667,Entries[Deposit Amount]))</f>
        <v xml:space="preserve"> </v>
      </c>
      <c r="D667" s="7" t="str" cm="1">
        <f t="array" aca="1" ref="D667" ca="1">IFERROR(C667 + SUM(Dashboard!J687:J1669)*Query17[Conversion Rate] * SUMPRODUCT((Entries[[Investor Name ]]=Calculations!B667) * (Entries[Deposit Amount]) *(Entries[Time in Fund(Days)]))/SUMPRODUCT(Entries[Deposit Amount],Entries[Time in Fund(Days)])," ")</f>
        <v xml:space="preserve"> </v>
      </c>
    </row>
    <row r="668" spans="2:4" x14ac:dyDescent="0.25">
      <c r="B668" s="6"/>
      <c r="C668" s="2" t="str">
        <f>IF(ISBLANK(Table3[[#This Row],[Investor]])," ",SUMIF(Entries[[Investor Name ]],Calculations!B668,Entries[Deposit Amount]))</f>
        <v xml:space="preserve"> </v>
      </c>
      <c r="D668" s="7" t="str" cm="1">
        <f t="array" aca="1" ref="D668" ca="1">IFERROR(C668 + SUM(Dashboard!J688:J1670)*Query17[Conversion Rate] * SUMPRODUCT((Entries[[Investor Name ]]=Calculations!B668) * (Entries[Deposit Amount]) *(Entries[Time in Fund(Days)]))/SUMPRODUCT(Entries[Deposit Amount],Entries[Time in Fund(Days)])," ")</f>
        <v xml:space="preserve"> </v>
      </c>
    </row>
    <row r="669" spans="2:4" x14ac:dyDescent="0.25">
      <c r="B669" s="6"/>
      <c r="C669" s="2" t="str">
        <f>IF(ISBLANK(Table3[[#This Row],[Investor]])," ",SUMIF(Entries[[Investor Name ]],Calculations!B669,Entries[Deposit Amount]))</f>
        <v xml:space="preserve"> </v>
      </c>
      <c r="D669" s="7" t="str" cm="1">
        <f t="array" aca="1" ref="D669" ca="1">IFERROR(C669 + SUM(Dashboard!J689:J1671)*Query17[Conversion Rate] * SUMPRODUCT((Entries[[Investor Name ]]=Calculations!B669) * (Entries[Deposit Amount]) *(Entries[Time in Fund(Days)]))/SUMPRODUCT(Entries[Deposit Amount],Entries[Time in Fund(Days)])," ")</f>
        <v xml:space="preserve"> </v>
      </c>
    </row>
    <row r="670" spans="2:4" x14ac:dyDescent="0.25">
      <c r="B670" s="6"/>
      <c r="C670" s="2" t="str">
        <f>IF(ISBLANK(Table3[[#This Row],[Investor]])," ",SUMIF(Entries[[Investor Name ]],Calculations!B670,Entries[Deposit Amount]))</f>
        <v xml:space="preserve"> </v>
      </c>
      <c r="D670" s="7" t="str" cm="1">
        <f t="array" aca="1" ref="D670" ca="1">IFERROR(C670 + SUM(Dashboard!J690:J1672)*Query17[Conversion Rate] * SUMPRODUCT((Entries[[Investor Name ]]=Calculations!B670) * (Entries[Deposit Amount]) *(Entries[Time in Fund(Days)]))/SUMPRODUCT(Entries[Deposit Amount],Entries[Time in Fund(Days)])," ")</f>
        <v xml:space="preserve"> </v>
      </c>
    </row>
    <row r="671" spans="2:4" x14ac:dyDescent="0.25">
      <c r="B671" s="6"/>
      <c r="C671" s="2" t="str">
        <f>IF(ISBLANK(Table3[[#This Row],[Investor]])," ",SUMIF(Entries[[Investor Name ]],Calculations!B671,Entries[Deposit Amount]))</f>
        <v xml:space="preserve"> </v>
      </c>
      <c r="D671" s="7" t="str" cm="1">
        <f t="array" aca="1" ref="D671" ca="1">IFERROR(C671 + SUM(Dashboard!J691:J1673)*Query17[Conversion Rate] * SUMPRODUCT((Entries[[Investor Name ]]=Calculations!B671) * (Entries[Deposit Amount]) *(Entries[Time in Fund(Days)]))/SUMPRODUCT(Entries[Deposit Amount],Entries[Time in Fund(Days)])," ")</f>
        <v xml:space="preserve"> </v>
      </c>
    </row>
    <row r="672" spans="2:4" x14ac:dyDescent="0.25">
      <c r="B672" s="6"/>
      <c r="C672" s="2" t="str">
        <f>IF(ISBLANK(Table3[[#This Row],[Investor]])," ",SUMIF(Entries[[Investor Name ]],Calculations!B672,Entries[Deposit Amount]))</f>
        <v xml:space="preserve"> </v>
      </c>
      <c r="D672" s="7" t="str" cm="1">
        <f t="array" aca="1" ref="D672" ca="1">IFERROR(C672 + SUM(Dashboard!J692:J1674)*Query17[Conversion Rate] * SUMPRODUCT((Entries[[Investor Name ]]=Calculations!B672) * (Entries[Deposit Amount]) *(Entries[Time in Fund(Days)]))/SUMPRODUCT(Entries[Deposit Amount],Entries[Time in Fund(Days)])," ")</f>
        <v xml:space="preserve"> </v>
      </c>
    </row>
    <row r="673" spans="2:4" x14ac:dyDescent="0.25">
      <c r="B673" s="6"/>
      <c r="C673" s="2" t="str">
        <f>IF(ISBLANK(Table3[[#This Row],[Investor]])," ",SUMIF(Entries[[Investor Name ]],Calculations!B673,Entries[Deposit Amount]))</f>
        <v xml:space="preserve"> </v>
      </c>
      <c r="D673" s="7" t="str" cm="1">
        <f t="array" aca="1" ref="D673" ca="1">IFERROR(C673 + SUM(Dashboard!J693:J1675)*Query17[Conversion Rate] * SUMPRODUCT((Entries[[Investor Name ]]=Calculations!B673) * (Entries[Deposit Amount]) *(Entries[Time in Fund(Days)]))/SUMPRODUCT(Entries[Deposit Amount],Entries[Time in Fund(Days)])," ")</f>
        <v xml:space="preserve"> </v>
      </c>
    </row>
    <row r="674" spans="2:4" x14ac:dyDescent="0.25">
      <c r="B674" s="6"/>
      <c r="C674" s="2" t="str">
        <f>IF(ISBLANK(Table3[[#This Row],[Investor]])," ",SUMIF(Entries[[Investor Name ]],Calculations!B674,Entries[Deposit Amount]))</f>
        <v xml:space="preserve"> </v>
      </c>
      <c r="D674" s="7" t="str" cm="1">
        <f t="array" aca="1" ref="D674" ca="1">IFERROR(C674 + SUM(Dashboard!J694:J1676)*Query17[Conversion Rate] * SUMPRODUCT((Entries[[Investor Name ]]=Calculations!B674) * (Entries[Deposit Amount]) *(Entries[Time in Fund(Days)]))/SUMPRODUCT(Entries[Deposit Amount],Entries[Time in Fund(Days)])," ")</f>
        <v xml:space="preserve"> </v>
      </c>
    </row>
    <row r="675" spans="2:4" x14ac:dyDescent="0.25">
      <c r="B675" s="6"/>
      <c r="C675" s="2" t="str">
        <f>IF(ISBLANK(Table3[[#This Row],[Investor]])," ",SUMIF(Entries[[Investor Name ]],Calculations!B675,Entries[Deposit Amount]))</f>
        <v xml:space="preserve"> </v>
      </c>
      <c r="D675" s="7" t="str" cm="1">
        <f t="array" aca="1" ref="D675" ca="1">IFERROR(C675 + SUM(Dashboard!J695:J1677)*Query17[Conversion Rate] * SUMPRODUCT((Entries[[Investor Name ]]=Calculations!B675) * (Entries[Deposit Amount]) *(Entries[Time in Fund(Days)]))/SUMPRODUCT(Entries[Deposit Amount],Entries[Time in Fund(Days)])," ")</f>
        <v xml:space="preserve"> </v>
      </c>
    </row>
    <row r="676" spans="2:4" x14ac:dyDescent="0.25">
      <c r="B676" s="6"/>
      <c r="C676" s="2" t="str">
        <f>IF(ISBLANK(Table3[[#This Row],[Investor]])," ",SUMIF(Entries[[Investor Name ]],Calculations!B676,Entries[Deposit Amount]))</f>
        <v xml:space="preserve"> </v>
      </c>
      <c r="D676" s="7" t="str" cm="1">
        <f t="array" aca="1" ref="D676" ca="1">IFERROR(C676 + SUM(Dashboard!J696:J1678)*Query17[Conversion Rate] * SUMPRODUCT((Entries[[Investor Name ]]=Calculations!B676) * (Entries[Deposit Amount]) *(Entries[Time in Fund(Days)]))/SUMPRODUCT(Entries[Deposit Amount],Entries[Time in Fund(Days)])," ")</f>
        <v xml:space="preserve"> </v>
      </c>
    </row>
    <row r="677" spans="2:4" x14ac:dyDescent="0.25">
      <c r="B677" s="6"/>
      <c r="C677" s="2" t="str">
        <f>IF(ISBLANK(Table3[[#This Row],[Investor]])," ",SUMIF(Entries[[Investor Name ]],Calculations!B677,Entries[Deposit Amount]))</f>
        <v xml:space="preserve"> </v>
      </c>
      <c r="D677" s="7" t="str" cm="1">
        <f t="array" aca="1" ref="D677" ca="1">IFERROR(C677 + SUM(Dashboard!J697:J1679)*Query17[Conversion Rate] * SUMPRODUCT((Entries[[Investor Name ]]=Calculations!B677) * (Entries[Deposit Amount]) *(Entries[Time in Fund(Days)]))/SUMPRODUCT(Entries[Deposit Amount],Entries[Time in Fund(Days)])," ")</f>
        <v xml:space="preserve"> </v>
      </c>
    </row>
    <row r="678" spans="2:4" x14ac:dyDescent="0.25">
      <c r="B678" s="6"/>
      <c r="C678" s="2" t="str">
        <f>IF(ISBLANK(Table3[[#This Row],[Investor]])," ",SUMIF(Entries[[Investor Name ]],Calculations!B678,Entries[Deposit Amount]))</f>
        <v xml:space="preserve"> </v>
      </c>
      <c r="D678" s="7" t="str" cm="1">
        <f t="array" aca="1" ref="D678" ca="1">IFERROR(C678 + SUM(Dashboard!J698:J1680)*Query17[Conversion Rate] * SUMPRODUCT((Entries[[Investor Name ]]=Calculations!B678) * (Entries[Deposit Amount]) *(Entries[Time in Fund(Days)]))/SUMPRODUCT(Entries[Deposit Amount],Entries[Time in Fund(Days)])," ")</f>
        <v xml:space="preserve"> </v>
      </c>
    </row>
    <row r="679" spans="2:4" x14ac:dyDescent="0.25">
      <c r="B679" s="6"/>
      <c r="C679" s="2" t="str">
        <f>IF(ISBLANK(Table3[[#This Row],[Investor]])," ",SUMIF(Entries[[Investor Name ]],Calculations!B679,Entries[Deposit Amount]))</f>
        <v xml:space="preserve"> </v>
      </c>
      <c r="D679" s="7" t="str" cm="1">
        <f t="array" aca="1" ref="D679" ca="1">IFERROR(C679 + SUM(Dashboard!J699:J1681)*Query17[Conversion Rate] * SUMPRODUCT((Entries[[Investor Name ]]=Calculations!B679) * (Entries[Deposit Amount]) *(Entries[Time in Fund(Days)]))/SUMPRODUCT(Entries[Deposit Amount],Entries[Time in Fund(Days)])," ")</f>
        <v xml:space="preserve"> </v>
      </c>
    </row>
    <row r="680" spans="2:4" x14ac:dyDescent="0.25">
      <c r="B680" s="6"/>
      <c r="C680" s="2" t="str">
        <f>IF(ISBLANK(Table3[[#This Row],[Investor]])," ",SUMIF(Entries[[Investor Name ]],Calculations!B680,Entries[Deposit Amount]))</f>
        <v xml:space="preserve"> </v>
      </c>
      <c r="D680" s="7" t="str" cm="1">
        <f t="array" aca="1" ref="D680" ca="1">IFERROR(C680 + SUM(Dashboard!J700:J1682)*Query17[Conversion Rate] * SUMPRODUCT((Entries[[Investor Name ]]=Calculations!B680) * (Entries[Deposit Amount]) *(Entries[Time in Fund(Days)]))/SUMPRODUCT(Entries[Deposit Amount],Entries[Time in Fund(Days)])," ")</f>
        <v xml:space="preserve"> </v>
      </c>
    </row>
    <row r="681" spans="2:4" x14ac:dyDescent="0.25">
      <c r="B681" s="6"/>
      <c r="C681" s="2" t="str">
        <f>IF(ISBLANK(Table3[[#This Row],[Investor]])," ",SUMIF(Entries[[Investor Name ]],Calculations!B681,Entries[Deposit Amount]))</f>
        <v xml:space="preserve"> </v>
      </c>
      <c r="D681" s="7" t="str" cm="1">
        <f t="array" aca="1" ref="D681" ca="1">IFERROR(C681 + SUM(Dashboard!J701:J1683)*Query17[Conversion Rate] * SUMPRODUCT((Entries[[Investor Name ]]=Calculations!B681) * (Entries[Deposit Amount]) *(Entries[Time in Fund(Days)]))/SUMPRODUCT(Entries[Deposit Amount],Entries[Time in Fund(Days)])," ")</f>
        <v xml:space="preserve"> </v>
      </c>
    </row>
    <row r="682" spans="2:4" x14ac:dyDescent="0.25">
      <c r="B682" s="6"/>
      <c r="C682" s="2" t="str">
        <f>IF(ISBLANK(Table3[[#This Row],[Investor]])," ",SUMIF(Entries[[Investor Name ]],Calculations!B682,Entries[Deposit Amount]))</f>
        <v xml:space="preserve"> </v>
      </c>
      <c r="D682" s="7" t="str" cm="1">
        <f t="array" aca="1" ref="D682" ca="1">IFERROR(C682 + SUM(Dashboard!J702:J1684)*Query17[Conversion Rate] * SUMPRODUCT((Entries[[Investor Name ]]=Calculations!B682) * (Entries[Deposit Amount]) *(Entries[Time in Fund(Days)]))/SUMPRODUCT(Entries[Deposit Amount],Entries[Time in Fund(Days)])," ")</f>
        <v xml:space="preserve"> </v>
      </c>
    </row>
    <row r="683" spans="2:4" x14ac:dyDescent="0.25">
      <c r="B683" s="6"/>
      <c r="C683" s="2" t="str">
        <f>IF(ISBLANK(Table3[[#This Row],[Investor]])," ",SUMIF(Entries[[Investor Name ]],Calculations!B683,Entries[Deposit Amount]))</f>
        <v xml:space="preserve"> </v>
      </c>
      <c r="D683" s="7" t="str" cm="1">
        <f t="array" aca="1" ref="D683" ca="1">IFERROR(C683 + SUM(Dashboard!J703:J1685)*Query17[Conversion Rate] * SUMPRODUCT((Entries[[Investor Name ]]=Calculations!B683) * (Entries[Deposit Amount]) *(Entries[Time in Fund(Days)]))/SUMPRODUCT(Entries[Deposit Amount],Entries[Time in Fund(Days)])," ")</f>
        <v xml:space="preserve"> </v>
      </c>
    </row>
    <row r="684" spans="2:4" x14ac:dyDescent="0.25">
      <c r="B684" s="6"/>
      <c r="C684" s="2" t="str">
        <f>IF(ISBLANK(Table3[[#This Row],[Investor]])," ",SUMIF(Entries[[Investor Name ]],Calculations!B684,Entries[Deposit Amount]))</f>
        <v xml:space="preserve"> </v>
      </c>
      <c r="D684" s="7" t="str" cm="1">
        <f t="array" aca="1" ref="D684" ca="1">IFERROR(C684 + SUM(Dashboard!J704:J1686)*Query17[Conversion Rate] * SUMPRODUCT((Entries[[Investor Name ]]=Calculations!B684) * (Entries[Deposit Amount]) *(Entries[Time in Fund(Days)]))/SUMPRODUCT(Entries[Deposit Amount],Entries[Time in Fund(Days)])," ")</f>
        <v xml:space="preserve"> </v>
      </c>
    </row>
    <row r="685" spans="2:4" x14ac:dyDescent="0.25">
      <c r="B685" s="6"/>
      <c r="C685" s="2" t="str">
        <f>IF(ISBLANK(Table3[[#This Row],[Investor]])," ",SUMIF(Entries[[Investor Name ]],Calculations!B685,Entries[Deposit Amount]))</f>
        <v xml:space="preserve"> </v>
      </c>
      <c r="D685" s="7" t="str" cm="1">
        <f t="array" aca="1" ref="D685" ca="1">IFERROR(C685 + SUM(Dashboard!J705:J1687)*Query17[Conversion Rate] * SUMPRODUCT((Entries[[Investor Name ]]=Calculations!B685) * (Entries[Deposit Amount]) *(Entries[Time in Fund(Days)]))/SUMPRODUCT(Entries[Deposit Amount],Entries[Time in Fund(Days)])," ")</f>
        <v xml:space="preserve"> </v>
      </c>
    </row>
    <row r="686" spans="2:4" x14ac:dyDescent="0.25">
      <c r="B686" s="6"/>
      <c r="C686" s="2" t="str">
        <f>IF(ISBLANK(Table3[[#This Row],[Investor]])," ",SUMIF(Entries[[Investor Name ]],Calculations!B686,Entries[Deposit Amount]))</f>
        <v xml:space="preserve"> </v>
      </c>
      <c r="D686" s="7" t="str" cm="1">
        <f t="array" aca="1" ref="D686" ca="1">IFERROR(C686 + SUM(Dashboard!J706:J1688)*Query17[Conversion Rate] * SUMPRODUCT((Entries[[Investor Name ]]=Calculations!B686) * (Entries[Deposit Amount]) *(Entries[Time in Fund(Days)]))/SUMPRODUCT(Entries[Deposit Amount],Entries[Time in Fund(Days)])," ")</f>
        <v xml:space="preserve"> </v>
      </c>
    </row>
    <row r="687" spans="2:4" x14ac:dyDescent="0.25">
      <c r="B687" s="6"/>
      <c r="C687" s="2" t="str">
        <f>IF(ISBLANK(Table3[[#This Row],[Investor]])," ",SUMIF(Entries[[Investor Name ]],Calculations!B687,Entries[Deposit Amount]))</f>
        <v xml:space="preserve"> </v>
      </c>
      <c r="D687" s="7" t="str" cm="1">
        <f t="array" aca="1" ref="D687" ca="1">IFERROR(C687 + SUM(Dashboard!J707:J1689)*Query17[Conversion Rate] * SUMPRODUCT((Entries[[Investor Name ]]=Calculations!B687) * (Entries[Deposit Amount]) *(Entries[Time in Fund(Days)]))/SUMPRODUCT(Entries[Deposit Amount],Entries[Time in Fund(Days)])," ")</f>
        <v xml:space="preserve"> </v>
      </c>
    </row>
    <row r="688" spans="2:4" x14ac:dyDescent="0.25">
      <c r="B688" s="6"/>
      <c r="C688" s="2" t="str">
        <f>IF(ISBLANK(Table3[[#This Row],[Investor]])," ",SUMIF(Entries[[Investor Name ]],Calculations!B688,Entries[Deposit Amount]))</f>
        <v xml:space="preserve"> </v>
      </c>
      <c r="D688" s="7" t="str" cm="1">
        <f t="array" aca="1" ref="D688" ca="1">IFERROR(C688 + SUM(Dashboard!J708:J1690)*Query17[Conversion Rate] * SUMPRODUCT((Entries[[Investor Name ]]=Calculations!B688) * (Entries[Deposit Amount]) *(Entries[Time in Fund(Days)]))/SUMPRODUCT(Entries[Deposit Amount],Entries[Time in Fund(Days)])," ")</f>
        <v xml:space="preserve"> </v>
      </c>
    </row>
    <row r="689" spans="2:4" x14ac:dyDescent="0.25">
      <c r="B689" s="6"/>
      <c r="C689" s="2" t="str">
        <f>IF(ISBLANK(Table3[[#This Row],[Investor]])," ",SUMIF(Entries[[Investor Name ]],Calculations!B689,Entries[Deposit Amount]))</f>
        <v xml:space="preserve"> </v>
      </c>
      <c r="D689" s="7" t="str" cm="1">
        <f t="array" aca="1" ref="D689" ca="1">IFERROR(C689 + SUM(Dashboard!J709:J1691)*Query17[Conversion Rate] * SUMPRODUCT((Entries[[Investor Name ]]=Calculations!B689) * (Entries[Deposit Amount]) *(Entries[Time in Fund(Days)]))/SUMPRODUCT(Entries[Deposit Amount],Entries[Time in Fund(Days)])," ")</f>
        <v xml:space="preserve"> </v>
      </c>
    </row>
    <row r="690" spans="2:4" x14ac:dyDescent="0.25">
      <c r="B690" s="6"/>
      <c r="C690" s="2" t="str">
        <f>IF(ISBLANK(Table3[[#This Row],[Investor]])," ",SUMIF(Entries[[Investor Name ]],Calculations!B690,Entries[Deposit Amount]))</f>
        <v xml:space="preserve"> </v>
      </c>
      <c r="D690" s="7" t="str" cm="1">
        <f t="array" aca="1" ref="D690" ca="1">IFERROR(C690 + SUM(Dashboard!J710:J1692)*Query17[Conversion Rate] * SUMPRODUCT((Entries[[Investor Name ]]=Calculations!B690) * (Entries[Deposit Amount]) *(Entries[Time in Fund(Days)]))/SUMPRODUCT(Entries[Deposit Amount],Entries[Time in Fund(Days)])," ")</f>
        <v xml:space="preserve"> </v>
      </c>
    </row>
    <row r="691" spans="2:4" x14ac:dyDescent="0.25">
      <c r="B691" s="6"/>
      <c r="C691" s="2" t="str">
        <f>IF(ISBLANK(Table3[[#This Row],[Investor]])," ",SUMIF(Entries[[Investor Name ]],Calculations!B691,Entries[Deposit Amount]))</f>
        <v xml:space="preserve"> </v>
      </c>
      <c r="D691" s="7" t="str" cm="1">
        <f t="array" aca="1" ref="D691" ca="1">IFERROR(C691 + SUM(Dashboard!J711:J1693)*Query17[Conversion Rate] * SUMPRODUCT((Entries[[Investor Name ]]=Calculations!B691) * (Entries[Deposit Amount]) *(Entries[Time in Fund(Days)]))/SUMPRODUCT(Entries[Deposit Amount],Entries[Time in Fund(Days)])," ")</f>
        <v xml:space="preserve"> </v>
      </c>
    </row>
    <row r="692" spans="2:4" x14ac:dyDescent="0.25">
      <c r="B692" s="6"/>
      <c r="C692" s="2" t="str">
        <f>IF(ISBLANK(Table3[[#This Row],[Investor]])," ",SUMIF(Entries[[Investor Name ]],Calculations!B692,Entries[Deposit Amount]))</f>
        <v xml:space="preserve"> </v>
      </c>
      <c r="D692" s="7" t="str" cm="1">
        <f t="array" aca="1" ref="D692" ca="1">IFERROR(C692 + SUM(Dashboard!J712:J1694)*Query17[Conversion Rate] * SUMPRODUCT((Entries[[Investor Name ]]=Calculations!B692) * (Entries[Deposit Amount]) *(Entries[Time in Fund(Days)]))/SUMPRODUCT(Entries[Deposit Amount],Entries[Time in Fund(Days)])," ")</f>
        <v xml:space="preserve"> </v>
      </c>
    </row>
    <row r="693" spans="2:4" x14ac:dyDescent="0.25">
      <c r="B693" s="6"/>
      <c r="C693" s="2" t="str">
        <f>IF(ISBLANK(Table3[[#This Row],[Investor]])," ",SUMIF(Entries[[Investor Name ]],Calculations!B693,Entries[Deposit Amount]))</f>
        <v xml:space="preserve"> </v>
      </c>
      <c r="D693" s="7" t="str" cm="1">
        <f t="array" aca="1" ref="D693" ca="1">IFERROR(C693 + SUM(Dashboard!J713:J1695)*Query17[Conversion Rate] * SUMPRODUCT((Entries[[Investor Name ]]=Calculations!B693) * (Entries[Deposit Amount]) *(Entries[Time in Fund(Days)]))/SUMPRODUCT(Entries[Deposit Amount],Entries[Time in Fund(Days)])," ")</f>
        <v xml:space="preserve"> </v>
      </c>
    </row>
    <row r="694" spans="2:4" x14ac:dyDescent="0.25">
      <c r="B694" s="6"/>
      <c r="C694" s="2" t="str">
        <f>IF(ISBLANK(Table3[[#This Row],[Investor]])," ",SUMIF(Entries[[Investor Name ]],Calculations!B694,Entries[Deposit Amount]))</f>
        <v xml:space="preserve"> </v>
      </c>
      <c r="D694" s="7" t="str" cm="1">
        <f t="array" aca="1" ref="D694" ca="1">IFERROR(C694 + SUM(Dashboard!J714:J1696)*Query17[Conversion Rate] * SUMPRODUCT((Entries[[Investor Name ]]=Calculations!B694) * (Entries[Deposit Amount]) *(Entries[Time in Fund(Days)]))/SUMPRODUCT(Entries[Deposit Amount],Entries[Time in Fund(Days)])," ")</f>
        <v xml:space="preserve"> </v>
      </c>
    </row>
    <row r="695" spans="2:4" x14ac:dyDescent="0.25">
      <c r="B695" s="6"/>
      <c r="C695" s="2" t="str">
        <f>IF(ISBLANK(Table3[[#This Row],[Investor]])," ",SUMIF(Entries[[Investor Name ]],Calculations!B695,Entries[Deposit Amount]))</f>
        <v xml:space="preserve"> </v>
      </c>
      <c r="D695" s="7" t="str" cm="1">
        <f t="array" aca="1" ref="D695" ca="1">IFERROR(C695 + SUM(Dashboard!J715:J1697)*Query17[Conversion Rate] * SUMPRODUCT((Entries[[Investor Name ]]=Calculations!B695) * (Entries[Deposit Amount]) *(Entries[Time in Fund(Days)]))/SUMPRODUCT(Entries[Deposit Amount],Entries[Time in Fund(Days)])," ")</f>
        <v xml:space="preserve"> </v>
      </c>
    </row>
    <row r="696" spans="2:4" x14ac:dyDescent="0.25">
      <c r="B696" s="6"/>
      <c r="C696" s="2" t="str">
        <f>IF(ISBLANK(Table3[[#This Row],[Investor]])," ",SUMIF(Entries[[Investor Name ]],Calculations!B696,Entries[Deposit Amount]))</f>
        <v xml:space="preserve"> </v>
      </c>
      <c r="D696" s="7" t="str" cm="1">
        <f t="array" aca="1" ref="D696" ca="1">IFERROR(C696 + SUM(Dashboard!J716:J1698)*Query17[Conversion Rate] * SUMPRODUCT((Entries[[Investor Name ]]=Calculations!B696) * (Entries[Deposit Amount]) *(Entries[Time in Fund(Days)]))/SUMPRODUCT(Entries[Deposit Amount],Entries[Time in Fund(Days)])," ")</f>
        <v xml:space="preserve"> </v>
      </c>
    </row>
    <row r="697" spans="2:4" x14ac:dyDescent="0.25">
      <c r="B697" s="6"/>
      <c r="C697" s="2" t="str">
        <f>IF(ISBLANK(Table3[[#This Row],[Investor]])," ",SUMIF(Entries[[Investor Name ]],Calculations!B697,Entries[Deposit Amount]))</f>
        <v xml:space="preserve"> </v>
      </c>
      <c r="D697" s="7" t="str" cm="1">
        <f t="array" aca="1" ref="D697" ca="1">IFERROR(C697 + SUM(Dashboard!J717:J1699)*Query17[Conversion Rate] * SUMPRODUCT((Entries[[Investor Name ]]=Calculations!B697) * (Entries[Deposit Amount]) *(Entries[Time in Fund(Days)]))/SUMPRODUCT(Entries[Deposit Amount],Entries[Time in Fund(Days)])," ")</f>
        <v xml:space="preserve"> </v>
      </c>
    </row>
    <row r="698" spans="2:4" x14ac:dyDescent="0.25">
      <c r="B698" s="6"/>
      <c r="C698" s="2" t="str">
        <f>IF(ISBLANK(Table3[[#This Row],[Investor]])," ",SUMIF(Entries[[Investor Name ]],Calculations!B698,Entries[Deposit Amount]))</f>
        <v xml:space="preserve"> </v>
      </c>
      <c r="D698" s="7" t="str" cm="1">
        <f t="array" aca="1" ref="D698" ca="1">IFERROR(C698 + SUM(Dashboard!J718:J1700)*Query17[Conversion Rate] * SUMPRODUCT((Entries[[Investor Name ]]=Calculations!B698) * (Entries[Deposit Amount]) *(Entries[Time in Fund(Days)]))/SUMPRODUCT(Entries[Deposit Amount],Entries[Time in Fund(Days)])," ")</f>
        <v xml:space="preserve"> </v>
      </c>
    </row>
    <row r="699" spans="2:4" x14ac:dyDescent="0.25">
      <c r="B699" s="6"/>
      <c r="C699" s="2" t="str">
        <f>IF(ISBLANK(Table3[[#This Row],[Investor]])," ",SUMIF(Entries[[Investor Name ]],Calculations!B699,Entries[Deposit Amount]))</f>
        <v xml:space="preserve"> </v>
      </c>
      <c r="D699" s="7" t="str" cm="1">
        <f t="array" aca="1" ref="D699" ca="1">IFERROR(C699 + SUM(Dashboard!J719:J1701)*Query17[Conversion Rate] * SUMPRODUCT((Entries[[Investor Name ]]=Calculations!B699) * (Entries[Deposit Amount]) *(Entries[Time in Fund(Days)]))/SUMPRODUCT(Entries[Deposit Amount],Entries[Time in Fund(Days)])," ")</f>
        <v xml:space="preserve"> </v>
      </c>
    </row>
    <row r="700" spans="2:4" x14ac:dyDescent="0.25">
      <c r="B700" s="6"/>
      <c r="C700" s="2" t="str">
        <f>IF(ISBLANK(Table3[[#This Row],[Investor]])," ",SUMIF(Entries[[Investor Name ]],Calculations!B700,Entries[Deposit Amount]))</f>
        <v xml:space="preserve"> </v>
      </c>
      <c r="D700" s="7" t="str" cm="1">
        <f t="array" aca="1" ref="D700" ca="1">IFERROR(C700 + SUM(Dashboard!J720:J1702)*Query17[Conversion Rate] * SUMPRODUCT((Entries[[Investor Name ]]=Calculations!B700) * (Entries[Deposit Amount]) *(Entries[Time in Fund(Days)]))/SUMPRODUCT(Entries[Deposit Amount],Entries[Time in Fund(Days)])," ")</f>
        <v xml:space="preserve"> </v>
      </c>
    </row>
    <row r="701" spans="2:4" x14ac:dyDescent="0.25">
      <c r="B701" s="6"/>
      <c r="C701" s="2" t="str">
        <f>IF(ISBLANK(Table3[[#This Row],[Investor]])," ",SUMIF(Entries[[Investor Name ]],Calculations!B701,Entries[Deposit Amount]))</f>
        <v xml:space="preserve"> </v>
      </c>
      <c r="D701" s="7" t="str" cm="1">
        <f t="array" aca="1" ref="D701" ca="1">IFERROR(C701 + SUM(Dashboard!J721:J1703)*Query17[Conversion Rate] * SUMPRODUCT((Entries[[Investor Name ]]=Calculations!B701) * (Entries[Deposit Amount]) *(Entries[Time in Fund(Days)]))/SUMPRODUCT(Entries[Deposit Amount],Entries[Time in Fund(Days)])," ")</f>
        <v xml:space="preserve"> </v>
      </c>
    </row>
    <row r="702" spans="2:4" x14ac:dyDescent="0.25">
      <c r="B702" s="6"/>
      <c r="C702" s="2" t="str">
        <f>IF(ISBLANK(Table3[[#This Row],[Investor]])," ",SUMIF(Entries[[Investor Name ]],Calculations!B702,Entries[Deposit Amount]))</f>
        <v xml:space="preserve"> </v>
      </c>
      <c r="D702" s="7" t="str" cm="1">
        <f t="array" aca="1" ref="D702" ca="1">IFERROR(C702 + SUM(Dashboard!J722:J1704)*Query17[Conversion Rate] * SUMPRODUCT((Entries[[Investor Name ]]=Calculations!B702) * (Entries[Deposit Amount]) *(Entries[Time in Fund(Days)]))/SUMPRODUCT(Entries[Deposit Amount],Entries[Time in Fund(Days)])," ")</f>
        <v xml:space="preserve"> </v>
      </c>
    </row>
    <row r="703" spans="2:4" x14ac:dyDescent="0.25">
      <c r="B703" s="6"/>
      <c r="C703" s="2" t="str">
        <f>IF(ISBLANK(Table3[[#This Row],[Investor]])," ",SUMIF(Entries[[Investor Name ]],Calculations!B703,Entries[Deposit Amount]))</f>
        <v xml:space="preserve"> </v>
      </c>
      <c r="D703" s="7" t="str" cm="1">
        <f t="array" aca="1" ref="D703" ca="1">IFERROR(C703 + SUM(Dashboard!J723:J1705)*Query17[Conversion Rate] * SUMPRODUCT((Entries[[Investor Name ]]=Calculations!B703) * (Entries[Deposit Amount]) *(Entries[Time in Fund(Days)]))/SUMPRODUCT(Entries[Deposit Amount],Entries[Time in Fund(Days)])," ")</f>
        <v xml:space="preserve"> </v>
      </c>
    </row>
    <row r="704" spans="2:4" x14ac:dyDescent="0.25">
      <c r="B704" s="6"/>
      <c r="C704" s="2" t="str">
        <f>IF(ISBLANK(Table3[[#This Row],[Investor]])," ",SUMIF(Entries[[Investor Name ]],Calculations!B704,Entries[Deposit Amount]))</f>
        <v xml:space="preserve"> </v>
      </c>
      <c r="D704" s="7" t="str" cm="1">
        <f t="array" aca="1" ref="D704" ca="1">IFERROR(C704 + SUM(Dashboard!J724:J1706)*Query17[Conversion Rate] * SUMPRODUCT((Entries[[Investor Name ]]=Calculations!B704) * (Entries[Deposit Amount]) *(Entries[Time in Fund(Days)]))/SUMPRODUCT(Entries[Deposit Amount],Entries[Time in Fund(Days)])," ")</f>
        <v xml:space="preserve"> </v>
      </c>
    </row>
    <row r="705" spans="2:4" x14ac:dyDescent="0.25">
      <c r="B705" s="6"/>
      <c r="C705" s="2" t="str">
        <f>IF(ISBLANK(Table3[[#This Row],[Investor]])," ",SUMIF(Entries[[Investor Name ]],Calculations!B705,Entries[Deposit Amount]))</f>
        <v xml:space="preserve"> </v>
      </c>
      <c r="D705" s="7" t="str" cm="1">
        <f t="array" aca="1" ref="D705" ca="1">IFERROR(C705 + SUM(Dashboard!J725:J1707)*Query17[Conversion Rate] * SUMPRODUCT((Entries[[Investor Name ]]=Calculations!B705) * (Entries[Deposit Amount]) *(Entries[Time in Fund(Days)]))/SUMPRODUCT(Entries[Deposit Amount],Entries[Time in Fund(Days)])," ")</f>
        <v xml:space="preserve"> </v>
      </c>
    </row>
    <row r="706" spans="2:4" x14ac:dyDescent="0.25">
      <c r="B706" s="6"/>
      <c r="C706" s="2" t="str">
        <f>IF(ISBLANK(Table3[[#This Row],[Investor]])," ",SUMIF(Entries[[Investor Name ]],Calculations!B706,Entries[Deposit Amount]))</f>
        <v xml:space="preserve"> </v>
      </c>
      <c r="D706" s="7" t="str" cm="1">
        <f t="array" aca="1" ref="D706" ca="1">IFERROR(C706 + SUM(Dashboard!J726:J1708)*Query17[Conversion Rate] * SUMPRODUCT((Entries[[Investor Name ]]=Calculations!B706) * (Entries[Deposit Amount]) *(Entries[Time in Fund(Days)]))/SUMPRODUCT(Entries[Deposit Amount],Entries[Time in Fund(Days)])," ")</f>
        <v xml:space="preserve"> </v>
      </c>
    </row>
    <row r="707" spans="2:4" x14ac:dyDescent="0.25">
      <c r="B707" s="6"/>
      <c r="C707" s="2" t="str">
        <f>IF(ISBLANK(Table3[[#This Row],[Investor]])," ",SUMIF(Entries[[Investor Name ]],Calculations!B707,Entries[Deposit Amount]))</f>
        <v xml:space="preserve"> </v>
      </c>
      <c r="D707" s="7" t="str" cm="1">
        <f t="array" aca="1" ref="D707" ca="1">IFERROR(C707 + SUM(Dashboard!J727:J1709)*Query17[Conversion Rate] * SUMPRODUCT((Entries[[Investor Name ]]=Calculations!B707) * (Entries[Deposit Amount]) *(Entries[Time in Fund(Days)]))/SUMPRODUCT(Entries[Deposit Amount],Entries[Time in Fund(Days)])," ")</f>
        <v xml:space="preserve"> </v>
      </c>
    </row>
    <row r="708" spans="2:4" x14ac:dyDescent="0.25">
      <c r="B708" s="6"/>
      <c r="C708" s="2" t="str">
        <f>IF(ISBLANK(Table3[[#This Row],[Investor]])," ",SUMIF(Entries[[Investor Name ]],Calculations!B708,Entries[Deposit Amount]))</f>
        <v xml:space="preserve"> </v>
      </c>
      <c r="D708" s="7" t="str" cm="1">
        <f t="array" aca="1" ref="D708" ca="1">IFERROR(C708 + SUM(Dashboard!J728:J1710)*Query17[Conversion Rate] * SUMPRODUCT((Entries[[Investor Name ]]=Calculations!B708) * (Entries[Deposit Amount]) *(Entries[Time in Fund(Days)]))/SUMPRODUCT(Entries[Deposit Amount],Entries[Time in Fund(Days)])," ")</f>
        <v xml:space="preserve"> </v>
      </c>
    </row>
    <row r="709" spans="2:4" x14ac:dyDescent="0.25">
      <c r="B709" s="6"/>
      <c r="C709" s="2" t="str">
        <f>IF(ISBLANK(Table3[[#This Row],[Investor]])," ",SUMIF(Entries[[Investor Name ]],Calculations!B709,Entries[Deposit Amount]))</f>
        <v xml:space="preserve"> </v>
      </c>
      <c r="D709" s="7" t="str" cm="1">
        <f t="array" aca="1" ref="D709" ca="1">IFERROR(C709 + SUM(Dashboard!J729:J1711)*Query17[Conversion Rate] * SUMPRODUCT((Entries[[Investor Name ]]=Calculations!B709) * (Entries[Deposit Amount]) *(Entries[Time in Fund(Days)]))/SUMPRODUCT(Entries[Deposit Amount],Entries[Time in Fund(Days)])," ")</f>
        <v xml:space="preserve"> </v>
      </c>
    </row>
    <row r="710" spans="2:4" x14ac:dyDescent="0.25">
      <c r="B710" s="6"/>
      <c r="C710" s="2" t="str">
        <f>IF(ISBLANK(Table3[[#This Row],[Investor]])," ",SUMIF(Entries[[Investor Name ]],Calculations!B710,Entries[Deposit Amount]))</f>
        <v xml:space="preserve"> </v>
      </c>
      <c r="D710" s="7" t="str" cm="1">
        <f t="array" aca="1" ref="D710" ca="1">IFERROR(C710 + SUM(Dashboard!J730:J1712)*Query17[Conversion Rate] * SUMPRODUCT((Entries[[Investor Name ]]=Calculations!B710) * (Entries[Deposit Amount]) *(Entries[Time in Fund(Days)]))/SUMPRODUCT(Entries[Deposit Amount],Entries[Time in Fund(Days)])," ")</f>
        <v xml:space="preserve"> </v>
      </c>
    </row>
    <row r="711" spans="2:4" x14ac:dyDescent="0.25">
      <c r="B711" s="6"/>
      <c r="C711" s="2" t="str">
        <f>IF(ISBLANK(Table3[[#This Row],[Investor]])," ",SUMIF(Entries[[Investor Name ]],Calculations!B711,Entries[Deposit Amount]))</f>
        <v xml:space="preserve"> </v>
      </c>
      <c r="D711" s="7" t="str" cm="1">
        <f t="array" aca="1" ref="D711" ca="1">IFERROR(C711 + SUM(Dashboard!J731:J1713)*Query17[Conversion Rate] * SUMPRODUCT((Entries[[Investor Name ]]=Calculations!B711) * (Entries[Deposit Amount]) *(Entries[Time in Fund(Days)]))/SUMPRODUCT(Entries[Deposit Amount],Entries[Time in Fund(Days)])," ")</f>
        <v xml:space="preserve"> </v>
      </c>
    </row>
    <row r="712" spans="2:4" x14ac:dyDescent="0.25">
      <c r="B712" s="6"/>
      <c r="C712" s="2" t="str">
        <f>IF(ISBLANK(Table3[[#This Row],[Investor]])," ",SUMIF(Entries[[Investor Name ]],Calculations!B712,Entries[Deposit Amount]))</f>
        <v xml:space="preserve"> </v>
      </c>
      <c r="D712" s="7" t="str" cm="1">
        <f t="array" aca="1" ref="D712" ca="1">IFERROR(C712 + SUM(Dashboard!J732:J1714)*Query17[Conversion Rate] * SUMPRODUCT((Entries[[Investor Name ]]=Calculations!B712) * (Entries[Deposit Amount]) *(Entries[Time in Fund(Days)]))/SUMPRODUCT(Entries[Deposit Amount],Entries[Time in Fund(Days)])," ")</f>
        <v xml:space="preserve"> </v>
      </c>
    </row>
    <row r="713" spans="2:4" x14ac:dyDescent="0.25">
      <c r="B713" s="6"/>
      <c r="C713" s="2" t="str">
        <f>IF(ISBLANK(Table3[[#This Row],[Investor]])," ",SUMIF(Entries[[Investor Name ]],Calculations!B713,Entries[Deposit Amount]))</f>
        <v xml:space="preserve"> </v>
      </c>
      <c r="D713" s="7" t="str" cm="1">
        <f t="array" aca="1" ref="D713" ca="1">IFERROR(C713 + SUM(Dashboard!J733:J1715)*Query17[Conversion Rate] * SUMPRODUCT((Entries[[Investor Name ]]=Calculations!B713) * (Entries[Deposit Amount]) *(Entries[Time in Fund(Days)]))/SUMPRODUCT(Entries[Deposit Amount],Entries[Time in Fund(Days)])," ")</f>
        <v xml:space="preserve"> </v>
      </c>
    </row>
    <row r="714" spans="2:4" x14ac:dyDescent="0.25">
      <c r="B714" s="6"/>
      <c r="C714" s="2" t="str">
        <f>IF(ISBLANK(Table3[[#This Row],[Investor]])," ",SUMIF(Entries[[Investor Name ]],Calculations!B714,Entries[Deposit Amount]))</f>
        <v xml:space="preserve"> </v>
      </c>
      <c r="D714" s="7" t="str" cm="1">
        <f t="array" aca="1" ref="D714" ca="1">IFERROR(C714 + SUM(Dashboard!J734:J1716)*Query17[Conversion Rate] * SUMPRODUCT((Entries[[Investor Name ]]=Calculations!B714) * (Entries[Deposit Amount]) *(Entries[Time in Fund(Days)]))/SUMPRODUCT(Entries[Deposit Amount],Entries[Time in Fund(Days)])," ")</f>
        <v xml:space="preserve"> </v>
      </c>
    </row>
    <row r="715" spans="2:4" x14ac:dyDescent="0.25">
      <c r="B715" s="6"/>
      <c r="C715" s="2" t="str">
        <f>IF(ISBLANK(Table3[[#This Row],[Investor]])," ",SUMIF(Entries[[Investor Name ]],Calculations!B715,Entries[Deposit Amount]))</f>
        <v xml:space="preserve"> </v>
      </c>
      <c r="D715" s="7" t="str" cm="1">
        <f t="array" aca="1" ref="D715" ca="1">IFERROR(C715 + SUM(Dashboard!J735:J1717)*Query17[Conversion Rate] * SUMPRODUCT((Entries[[Investor Name ]]=Calculations!B715) * (Entries[Deposit Amount]) *(Entries[Time in Fund(Days)]))/SUMPRODUCT(Entries[Deposit Amount],Entries[Time in Fund(Days)])," ")</f>
        <v xml:space="preserve"> </v>
      </c>
    </row>
    <row r="716" spans="2:4" x14ac:dyDescent="0.25">
      <c r="B716" s="6"/>
      <c r="C716" s="2" t="str">
        <f>IF(ISBLANK(Table3[[#This Row],[Investor]])," ",SUMIF(Entries[[Investor Name ]],Calculations!B716,Entries[Deposit Amount]))</f>
        <v xml:space="preserve"> </v>
      </c>
      <c r="D716" s="7" t="str" cm="1">
        <f t="array" aca="1" ref="D716" ca="1">IFERROR(C716 + SUM(Dashboard!J736:J1718)*Query17[Conversion Rate] * SUMPRODUCT((Entries[[Investor Name ]]=Calculations!B716) * (Entries[Deposit Amount]) *(Entries[Time in Fund(Days)]))/SUMPRODUCT(Entries[Deposit Amount],Entries[Time in Fund(Days)])," ")</f>
        <v xml:space="preserve"> </v>
      </c>
    </row>
    <row r="717" spans="2:4" x14ac:dyDescent="0.25">
      <c r="B717" s="6"/>
      <c r="C717" s="2" t="str">
        <f>IF(ISBLANK(Table3[[#This Row],[Investor]])," ",SUMIF(Entries[[Investor Name ]],Calculations!B717,Entries[Deposit Amount]))</f>
        <v xml:space="preserve"> </v>
      </c>
      <c r="D717" s="7" t="str" cm="1">
        <f t="array" aca="1" ref="D717" ca="1">IFERROR(C717 + SUM(Dashboard!J737:J1719)*Query17[Conversion Rate] * SUMPRODUCT((Entries[[Investor Name ]]=Calculations!B717) * (Entries[Deposit Amount]) *(Entries[Time in Fund(Days)]))/SUMPRODUCT(Entries[Deposit Amount],Entries[Time in Fund(Days)])," ")</f>
        <v xml:space="preserve"> </v>
      </c>
    </row>
    <row r="718" spans="2:4" x14ac:dyDescent="0.25">
      <c r="B718" s="6"/>
      <c r="C718" s="2" t="str">
        <f>IF(ISBLANK(Table3[[#This Row],[Investor]])," ",SUMIF(Entries[[Investor Name ]],Calculations!B718,Entries[Deposit Amount]))</f>
        <v xml:space="preserve"> </v>
      </c>
      <c r="D718" s="7" t="str" cm="1">
        <f t="array" aca="1" ref="D718" ca="1">IFERROR(C718 + SUM(Dashboard!J738:J1720)*Query17[Conversion Rate] * SUMPRODUCT((Entries[[Investor Name ]]=Calculations!B718) * (Entries[Deposit Amount]) *(Entries[Time in Fund(Days)]))/SUMPRODUCT(Entries[Deposit Amount],Entries[Time in Fund(Days)])," ")</f>
        <v xml:space="preserve"> </v>
      </c>
    </row>
    <row r="719" spans="2:4" x14ac:dyDescent="0.25">
      <c r="B719" s="6"/>
      <c r="C719" s="2" t="str">
        <f>IF(ISBLANK(Table3[[#This Row],[Investor]])," ",SUMIF(Entries[[Investor Name ]],Calculations!B719,Entries[Deposit Amount]))</f>
        <v xml:space="preserve"> </v>
      </c>
      <c r="D719" s="7" t="str" cm="1">
        <f t="array" aca="1" ref="D719" ca="1">IFERROR(C719 + SUM(Dashboard!J739:J1721)*Query17[Conversion Rate] * SUMPRODUCT((Entries[[Investor Name ]]=Calculations!B719) * (Entries[Deposit Amount]) *(Entries[Time in Fund(Days)]))/SUMPRODUCT(Entries[Deposit Amount],Entries[Time in Fund(Days)])," ")</f>
        <v xml:space="preserve"> </v>
      </c>
    </row>
    <row r="720" spans="2:4" x14ac:dyDescent="0.25">
      <c r="B720" s="6"/>
      <c r="C720" s="2" t="str">
        <f>IF(ISBLANK(Table3[[#This Row],[Investor]])," ",SUMIF(Entries[[Investor Name ]],Calculations!B720,Entries[Deposit Amount]))</f>
        <v xml:space="preserve"> </v>
      </c>
      <c r="D720" s="7" t="str" cm="1">
        <f t="array" aca="1" ref="D720" ca="1">IFERROR(C720 + SUM(Dashboard!J740:J1722)*Query17[Conversion Rate] * SUMPRODUCT((Entries[[Investor Name ]]=Calculations!B720) * (Entries[Deposit Amount]) *(Entries[Time in Fund(Days)]))/SUMPRODUCT(Entries[Deposit Amount],Entries[Time in Fund(Days)])," ")</f>
        <v xml:space="preserve"> </v>
      </c>
    </row>
    <row r="721" spans="2:4" x14ac:dyDescent="0.25">
      <c r="B721" s="6"/>
      <c r="C721" s="2" t="str">
        <f>IF(ISBLANK(Table3[[#This Row],[Investor]])," ",SUMIF(Entries[[Investor Name ]],Calculations!B721,Entries[Deposit Amount]))</f>
        <v xml:space="preserve"> </v>
      </c>
      <c r="D721" s="7" t="str" cm="1">
        <f t="array" aca="1" ref="D721" ca="1">IFERROR(C721 + SUM(Dashboard!J741:J1723)*Query17[Conversion Rate] * SUMPRODUCT((Entries[[Investor Name ]]=Calculations!B721) * (Entries[Deposit Amount]) *(Entries[Time in Fund(Days)]))/SUMPRODUCT(Entries[Deposit Amount],Entries[Time in Fund(Days)])," ")</f>
        <v xml:space="preserve"> </v>
      </c>
    </row>
    <row r="722" spans="2:4" x14ac:dyDescent="0.25">
      <c r="B722" s="6"/>
      <c r="C722" s="2" t="str">
        <f>IF(ISBLANK(Table3[[#This Row],[Investor]])," ",SUMIF(Entries[[Investor Name ]],Calculations!B722,Entries[Deposit Amount]))</f>
        <v xml:space="preserve"> </v>
      </c>
      <c r="D722" s="7" t="str" cm="1">
        <f t="array" aca="1" ref="D722" ca="1">IFERROR(C722 + SUM(Dashboard!J742:J1724)*Query17[Conversion Rate] * SUMPRODUCT((Entries[[Investor Name ]]=Calculations!B722) * (Entries[Deposit Amount]) *(Entries[Time in Fund(Days)]))/SUMPRODUCT(Entries[Deposit Amount],Entries[Time in Fund(Days)])," ")</f>
        <v xml:space="preserve"> </v>
      </c>
    </row>
    <row r="723" spans="2:4" x14ac:dyDescent="0.25">
      <c r="B723" s="6"/>
      <c r="C723" s="2" t="str">
        <f>IF(ISBLANK(Table3[[#This Row],[Investor]])," ",SUMIF(Entries[[Investor Name ]],Calculations!B723,Entries[Deposit Amount]))</f>
        <v xml:space="preserve"> </v>
      </c>
      <c r="D723" s="7" t="str" cm="1">
        <f t="array" aca="1" ref="D723" ca="1">IFERROR(C723 + SUM(Dashboard!J743:J1725)*Query17[Conversion Rate] * SUMPRODUCT((Entries[[Investor Name ]]=Calculations!B723) * (Entries[Deposit Amount]) *(Entries[Time in Fund(Days)]))/SUMPRODUCT(Entries[Deposit Amount],Entries[Time in Fund(Days)])," ")</f>
        <v xml:space="preserve"> </v>
      </c>
    </row>
    <row r="724" spans="2:4" x14ac:dyDescent="0.25">
      <c r="B724" s="6"/>
      <c r="C724" s="2" t="str">
        <f>IF(ISBLANK(Table3[[#This Row],[Investor]])," ",SUMIF(Entries[[Investor Name ]],Calculations!B724,Entries[Deposit Amount]))</f>
        <v xml:space="preserve"> </v>
      </c>
      <c r="D724" s="7" t="str" cm="1">
        <f t="array" aca="1" ref="D724" ca="1">IFERROR(C724 + SUM(Dashboard!J744:J1726)*Query17[Conversion Rate] * SUMPRODUCT((Entries[[Investor Name ]]=Calculations!B724) * (Entries[Deposit Amount]) *(Entries[Time in Fund(Days)]))/SUMPRODUCT(Entries[Deposit Amount],Entries[Time in Fund(Days)])," ")</f>
        <v xml:space="preserve"> </v>
      </c>
    </row>
    <row r="725" spans="2:4" x14ac:dyDescent="0.25">
      <c r="B725" s="6"/>
      <c r="C725" s="2" t="str">
        <f>IF(ISBLANK(Table3[[#This Row],[Investor]])," ",SUMIF(Entries[[Investor Name ]],Calculations!B725,Entries[Deposit Amount]))</f>
        <v xml:space="preserve"> </v>
      </c>
      <c r="D725" s="7" t="str" cm="1">
        <f t="array" aca="1" ref="D725" ca="1">IFERROR(C725 + SUM(Dashboard!J745:J1727)*Query17[Conversion Rate] * SUMPRODUCT((Entries[[Investor Name ]]=Calculations!B725) * (Entries[Deposit Amount]) *(Entries[Time in Fund(Days)]))/SUMPRODUCT(Entries[Deposit Amount],Entries[Time in Fund(Days)])," ")</f>
        <v xml:space="preserve"> </v>
      </c>
    </row>
    <row r="726" spans="2:4" x14ac:dyDescent="0.25">
      <c r="B726" s="6"/>
      <c r="C726" s="2" t="str">
        <f>IF(ISBLANK(Table3[[#This Row],[Investor]])," ",SUMIF(Entries[[Investor Name ]],Calculations!B726,Entries[Deposit Amount]))</f>
        <v xml:space="preserve"> </v>
      </c>
      <c r="D726" s="7" t="str" cm="1">
        <f t="array" aca="1" ref="D726" ca="1">IFERROR(C726 + SUM(Dashboard!J746:J1728)*Query17[Conversion Rate] * SUMPRODUCT((Entries[[Investor Name ]]=Calculations!B726) * (Entries[Deposit Amount]) *(Entries[Time in Fund(Days)]))/SUMPRODUCT(Entries[Deposit Amount],Entries[Time in Fund(Days)])," ")</f>
        <v xml:space="preserve"> </v>
      </c>
    </row>
    <row r="727" spans="2:4" x14ac:dyDescent="0.25">
      <c r="B727" s="6"/>
      <c r="C727" s="2" t="str">
        <f>IF(ISBLANK(Table3[[#This Row],[Investor]])," ",SUMIF(Entries[[Investor Name ]],Calculations!B727,Entries[Deposit Amount]))</f>
        <v xml:space="preserve"> </v>
      </c>
      <c r="D727" s="7" t="str" cm="1">
        <f t="array" aca="1" ref="D727" ca="1">IFERROR(C727 + SUM(Dashboard!J747:J1729)*Query17[Conversion Rate] * SUMPRODUCT((Entries[[Investor Name ]]=Calculations!B727) * (Entries[Deposit Amount]) *(Entries[Time in Fund(Days)]))/SUMPRODUCT(Entries[Deposit Amount],Entries[Time in Fund(Days)])," ")</f>
        <v xml:space="preserve"> </v>
      </c>
    </row>
    <row r="728" spans="2:4" x14ac:dyDescent="0.25">
      <c r="B728" s="6"/>
      <c r="C728" s="2" t="str">
        <f>IF(ISBLANK(Table3[[#This Row],[Investor]])," ",SUMIF(Entries[[Investor Name ]],Calculations!B728,Entries[Deposit Amount]))</f>
        <v xml:space="preserve"> </v>
      </c>
      <c r="D728" s="7" t="str" cm="1">
        <f t="array" aca="1" ref="D728" ca="1">IFERROR(C728 + SUM(Dashboard!J748:J1730)*Query17[Conversion Rate] * SUMPRODUCT((Entries[[Investor Name ]]=Calculations!B728) * (Entries[Deposit Amount]) *(Entries[Time in Fund(Days)]))/SUMPRODUCT(Entries[Deposit Amount],Entries[Time in Fund(Days)])," ")</f>
        <v xml:space="preserve"> </v>
      </c>
    </row>
    <row r="729" spans="2:4" x14ac:dyDescent="0.25">
      <c r="B729" s="6"/>
      <c r="C729" s="2" t="str">
        <f>IF(ISBLANK(Table3[[#This Row],[Investor]])," ",SUMIF(Entries[[Investor Name ]],Calculations!B729,Entries[Deposit Amount]))</f>
        <v xml:space="preserve"> </v>
      </c>
      <c r="D729" s="7" t="str" cm="1">
        <f t="array" aca="1" ref="D729" ca="1">IFERROR(C729 + SUM(Dashboard!J749:J1731)*Query17[Conversion Rate] * SUMPRODUCT((Entries[[Investor Name ]]=Calculations!B729) * (Entries[Deposit Amount]) *(Entries[Time in Fund(Days)]))/SUMPRODUCT(Entries[Deposit Amount],Entries[Time in Fund(Days)])," ")</f>
        <v xml:space="preserve"> </v>
      </c>
    </row>
    <row r="730" spans="2:4" x14ac:dyDescent="0.25">
      <c r="B730" s="6"/>
      <c r="C730" s="2" t="str">
        <f>IF(ISBLANK(Table3[[#This Row],[Investor]])," ",SUMIF(Entries[[Investor Name ]],Calculations!B730,Entries[Deposit Amount]))</f>
        <v xml:space="preserve"> </v>
      </c>
      <c r="D730" s="7" t="str" cm="1">
        <f t="array" aca="1" ref="D730" ca="1">IFERROR(C730 + SUM(Dashboard!J750:J1732)*Query17[Conversion Rate] * SUMPRODUCT((Entries[[Investor Name ]]=Calculations!B730) * (Entries[Deposit Amount]) *(Entries[Time in Fund(Days)]))/SUMPRODUCT(Entries[Deposit Amount],Entries[Time in Fund(Days)])," ")</f>
        <v xml:space="preserve"> </v>
      </c>
    </row>
    <row r="731" spans="2:4" x14ac:dyDescent="0.25">
      <c r="B731" s="6"/>
      <c r="C731" s="2" t="str">
        <f>IF(ISBLANK(Table3[[#This Row],[Investor]])," ",SUMIF(Entries[[Investor Name ]],Calculations!B731,Entries[Deposit Amount]))</f>
        <v xml:space="preserve"> </v>
      </c>
      <c r="D731" s="7" t="str" cm="1">
        <f t="array" aca="1" ref="D731" ca="1">IFERROR(C731 + SUM(Dashboard!J751:J1733)*Query17[Conversion Rate] * SUMPRODUCT((Entries[[Investor Name ]]=Calculations!B731) * (Entries[Deposit Amount]) *(Entries[Time in Fund(Days)]))/SUMPRODUCT(Entries[Deposit Amount],Entries[Time in Fund(Days)])," ")</f>
        <v xml:space="preserve"> </v>
      </c>
    </row>
    <row r="732" spans="2:4" x14ac:dyDescent="0.25">
      <c r="B732" s="6"/>
      <c r="C732" s="2" t="str">
        <f>IF(ISBLANK(Table3[[#This Row],[Investor]])," ",SUMIF(Entries[[Investor Name ]],Calculations!B732,Entries[Deposit Amount]))</f>
        <v xml:space="preserve"> </v>
      </c>
      <c r="D732" s="7" t="str" cm="1">
        <f t="array" aca="1" ref="D732" ca="1">IFERROR(C732 + SUM(Dashboard!J752:J1734)*Query17[Conversion Rate] * SUMPRODUCT((Entries[[Investor Name ]]=Calculations!B732) * (Entries[Deposit Amount]) *(Entries[Time in Fund(Days)]))/SUMPRODUCT(Entries[Deposit Amount],Entries[Time in Fund(Days)])," ")</f>
        <v xml:space="preserve"> </v>
      </c>
    </row>
    <row r="733" spans="2:4" x14ac:dyDescent="0.25">
      <c r="B733" s="6"/>
      <c r="C733" s="2" t="str">
        <f>IF(ISBLANK(Table3[[#This Row],[Investor]])," ",SUMIF(Entries[[Investor Name ]],Calculations!B733,Entries[Deposit Amount]))</f>
        <v xml:space="preserve"> </v>
      </c>
      <c r="D733" s="7" t="str" cm="1">
        <f t="array" aca="1" ref="D733" ca="1">IFERROR(C733 + SUM(Dashboard!J753:J1735)*Query17[Conversion Rate] * SUMPRODUCT((Entries[[Investor Name ]]=Calculations!B733) * (Entries[Deposit Amount]) *(Entries[Time in Fund(Days)]))/SUMPRODUCT(Entries[Deposit Amount],Entries[Time in Fund(Days)])," ")</f>
        <v xml:space="preserve"> </v>
      </c>
    </row>
    <row r="734" spans="2:4" x14ac:dyDescent="0.25">
      <c r="B734" s="6"/>
      <c r="C734" s="2" t="str">
        <f>IF(ISBLANK(Table3[[#This Row],[Investor]])," ",SUMIF(Entries[[Investor Name ]],Calculations!B734,Entries[Deposit Amount]))</f>
        <v xml:space="preserve"> </v>
      </c>
      <c r="D734" s="7" t="str" cm="1">
        <f t="array" aca="1" ref="D734" ca="1">IFERROR(C734 + SUM(Dashboard!J754:J1736)*Query17[Conversion Rate] * SUMPRODUCT((Entries[[Investor Name ]]=Calculations!B734) * (Entries[Deposit Amount]) *(Entries[Time in Fund(Days)]))/SUMPRODUCT(Entries[Deposit Amount],Entries[Time in Fund(Days)])," ")</f>
        <v xml:space="preserve"> </v>
      </c>
    </row>
    <row r="735" spans="2:4" x14ac:dyDescent="0.25">
      <c r="B735" s="6"/>
      <c r="C735" s="2" t="str">
        <f>IF(ISBLANK(Table3[[#This Row],[Investor]])," ",SUMIF(Entries[[Investor Name ]],Calculations!B735,Entries[Deposit Amount]))</f>
        <v xml:space="preserve"> </v>
      </c>
      <c r="D735" s="7" t="str" cm="1">
        <f t="array" aca="1" ref="D735" ca="1">IFERROR(C735 + SUM(Dashboard!J755:J1737)*Query17[Conversion Rate] * SUMPRODUCT((Entries[[Investor Name ]]=Calculations!B735) * (Entries[Deposit Amount]) *(Entries[Time in Fund(Days)]))/SUMPRODUCT(Entries[Deposit Amount],Entries[Time in Fund(Days)])," ")</f>
        <v xml:space="preserve"> </v>
      </c>
    </row>
    <row r="736" spans="2:4" x14ac:dyDescent="0.25">
      <c r="B736" s="6"/>
      <c r="C736" s="2" t="str">
        <f>IF(ISBLANK(Table3[[#This Row],[Investor]])," ",SUMIF(Entries[[Investor Name ]],Calculations!B736,Entries[Deposit Amount]))</f>
        <v xml:space="preserve"> </v>
      </c>
      <c r="D736" s="7" t="str" cm="1">
        <f t="array" aca="1" ref="D736" ca="1">IFERROR(C736 + SUM(Dashboard!J756:J1738)*Query17[Conversion Rate] * SUMPRODUCT((Entries[[Investor Name ]]=Calculations!B736) * (Entries[Deposit Amount]) *(Entries[Time in Fund(Days)]))/SUMPRODUCT(Entries[Deposit Amount],Entries[Time in Fund(Days)])," ")</f>
        <v xml:space="preserve"> </v>
      </c>
    </row>
    <row r="737" spans="2:4" x14ac:dyDescent="0.25">
      <c r="B737" s="6"/>
      <c r="C737" s="2" t="str">
        <f>IF(ISBLANK(Table3[[#This Row],[Investor]])," ",SUMIF(Entries[[Investor Name ]],Calculations!B737,Entries[Deposit Amount]))</f>
        <v xml:space="preserve"> </v>
      </c>
      <c r="D737" s="7" t="str" cm="1">
        <f t="array" aca="1" ref="D737" ca="1">IFERROR(C737 + SUM(Dashboard!J757:J1739)*Query17[Conversion Rate] * SUMPRODUCT((Entries[[Investor Name ]]=Calculations!B737) * (Entries[Deposit Amount]) *(Entries[Time in Fund(Days)]))/SUMPRODUCT(Entries[Deposit Amount],Entries[Time in Fund(Days)])," ")</f>
        <v xml:space="preserve"> </v>
      </c>
    </row>
    <row r="738" spans="2:4" x14ac:dyDescent="0.25">
      <c r="B738" s="6"/>
      <c r="C738" s="2" t="str">
        <f>IF(ISBLANK(Table3[[#This Row],[Investor]])," ",SUMIF(Entries[[Investor Name ]],Calculations!B738,Entries[Deposit Amount]))</f>
        <v xml:space="preserve"> </v>
      </c>
      <c r="D738" s="7" t="str" cm="1">
        <f t="array" aca="1" ref="D738" ca="1">IFERROR(C738 + SUM(Dashboard!J758:J1740)*Query17[Conversion Rate] * SUMPRODUCT((Entries[[Investor Name ]]=Calculations!B738) * (Entries[Deposit Amount]) *(Entries[Time in Fund(Days)]))/SUMPRODUCT(Entries[Deposit Amount],Entries[Time in Fund(Days)])," ")</f>
        <v xml:space="preserve"> </v>
      </c>
    </row>
    <row r="739" spans="2:4" x14ac:dyDescent="0.25">
      <c r="B739" s="6"/>
      <c r="C739" s="2" t="str">
        <f>IF(ISBLANK(Table3[[#This Row],[Investor]])," ",SUMIF(Entries[[Investor Name ]],Calculations!B739,Entries[Deposit Amount]))</f>
        <v xml:space="preserve"> </v>
      </c>
      <c r="D739" s="7" t="str" cm="1">
        <f t="array" aca="1" ref="D739" ca="1">IFERROR(C739 + SUM(Dashboard!J759:J1741)*Query17[Conversion Rate] * SUMPRODUCT((Entries[[Investor Name ]]=Calculations!B739) * (Entries[Deposit Amount]) *(Entries[Time in Fund(Days)]))/SUMPRODUCT(Entries[Deposit Amount],Entries[Time in Fund(Days)])," ")</f>
        <v xml:space="preserve"> </v>
      </c>
    </row>
    <row r="740" spans="2:4" x14ac:dyDescent="0.25">
      <c r="B740" s="6"/>
      <c r="C740" s="2" t="str">
        <f>IF(ISBLANK(Table3[[#This Row],[Investor]])," ",SUMIF(Entries[[Investor Name ]],Calculations!B740,Entries[Deposit Amount]))</f>
        <v xml:space="preserve"> </v>
      </c>
      <c r="D740" s="7" t="str" cm="1">
        <f t="array" aca="1" ref="D740" ca="1">IFERROR(C740 + SUM(Dashboard!J760:J1742)*Query17[Conversion Rate] * SUMPRODUCT((Entries[[Investor Name ]]=Calculations!B740) * (Entries[Deposit Amount]) *(Entries[Time in Fund(Days)]))/SUMPRODUCT(Entries[Deposit Amount],Entries[Time in Fund(Days)])," ")</f>
        <v xml:space="preserve"> </v>
      </c>
    </row>
    <row r="741" spans="2:4" x14ac:dyDescent="0.25">
      <c r="B741" s="6"/>
      <c r="C741" s="2" t="str">
        <f>IF(ISBLANK(Table3[[#This Row],[Investor]])," ",SUMIF(Entries[[Investor Name ]],Calculations!B741,Entries[Deposit Amount]))</f>
        <v xml:space="preserve"> </v>
      </c>
      <c r="D741" s="7" t="str" cm="1">
        <f t="array" aca="1" ref="D741" ca="1">IFERROR(C741 + SUM(Dashboard!J761:J1743)*Query17[Conversion Rate] * SUMPRODUCT((Entries[[Investor Name ]]=Calculations!B741) * (Entries[Deposit Amount]) *(Entries[Time in Fund(Days)]))/SUMPRODUCT(Entries[Deposit Amount],Entries[Time in Fund(Days)])," ")</f>
        <v xml:space="preserve"> </v>
      </c>
    </row>
    <row r="742" spans="2:4" x14ac:dyDescent="0.25">
      <c r="B742" s="6"/>
      <c r="C742" s="2" t="str">
        <f>IF(ISBLANK(Table3[[#This Row],[Investor]])," ",SUMIF(Entries[[Investor Name ]],Calculations!B742,Entries[Deposit Amount]))</f>
        <v xml:space="preserve"> </v>
      </c>
      <c r="D742" s="7" t="str" cm="1">
        <f t="array" aca="1" ref="D742" ca="1">IFERROR(C742 + SUM(Dashboard!J762:J1744)*Query17[Conversion Rate] * SUMPRODUCT((Entries[[Investor Name ]]=Calculations!B742) * (Entries[Deposit Amount]) *(Entries[Time in Fund(Days)]))/SUMPRODUCT(Entries[Deposit Amount],Entries[Time in Fund(Days)])," ")</f>
        <v xml:space="preserve"> </v>
      </c>
    </row>
    <row r="743" spans="2:4" x14ac:dyDescent="0.25">
      <c r="B743" s="6"/>
      <c r="C743" s="2" t="str">
        <f>IF(ISBLANK(Table3[[#This Row],[Investor]])," ",SUMIF(Entries[[Investor Name ]],Calculations!B743,Entries[Deposit Amount]))</f>
        <v xml:space="preserve"> </v>
      </c>
      <c r="D743" s="7" t="str" cm="1">
        <f t="array" aca="1" ref="D743" ca="1">IFERROR(C743 + SUM(Dashboard!J763:J1745)*Query17[Conversion Rate] * SUMPRODUCT((Entries[[Investor Name ]]=Calculations!B743) * (Entries[Deposit Amount]) *(Entries[Time in Fund(Days)]))/SUMPRODUCT(Entries[Deposit Amount],Entries[Time in Fund(Days)])," ")</f>
        <v xml:space="preserve"> </v>
      </c>
    </row>
    <row r="744" spans="2:4" x14ac:dyDescent="0.25">
      <c r="B744" s="6"/>
      <c r="C744" s="2" t="str">
        <f>IF(ISBLANK(Table3[[#This Row],[Investor]])," ",SUMIF(Entries[[Investor Name ]],Calculations!B744,Entries[Deposit Amount]))</f>
        <v xml:space="preserve"> </v>
      </c>
      <c r="D744" s="7" t="str" cm="1">
        <f t="array" aca="1" ref="D744" ca="1">IFERROR(C744 + SUM(Dashboard!J764:J1746)*Query17[Conversion Rate] * SUMPRODUCT((Entries[[Investor Name ]]=Calculations!B744) * (Entries[Deposit Amount]) *(Entries[Time in Fund(Days)]))/SUMPRODUCT(Entries[Deposit Amount],Entries[Time in Fund(Days)])," ")</f>
        <v xml:space="preserve"> </v>
      </c>
    </row>
    <row r="745" spans="2:4" x14ac:dyDescent="0.25">
      <c r="B745" s="6"/>
      <c r="C745" s="2" t="str">
        <f>IF(ISBLANK(Table3[[#This Row],[Investor]])," ",SUMIF(Entries[[Investor Name ]],Calculations!B745,Entries[Deposit Amount]))</f>
        <v xml:space="preserve"> </v>
      </c>
      <c r="D745" s="7" t="str" cm="1">
        <f t="array" aca="1" ref="D745" ca="1">IFERROR(C745 + SUM(Dashboard!J765:J1747)*Query17[Conversion Rate] * SUMPRODUCT((Entries[[Investor Name ]]=Calculations!B745) * (Entries[Deposit Amount]) *(Entries[Time in Fund(Days)]))/SUMPRODUCT(Entries[Deposit Amount],Entries[Time in Fund(Days)])," ")</f>
        <v xml:space="preserve"> </v>
      </c>
    </row>
    <row r="746" spans="2:4" x14ac:dyDescent="0.25">
      <c r="B746" s="6"/>
      <c r="C746" s="2" t="str">
        <f>IF(ISBLANK(Table3[[#This Row],[Investor]])," ",SUMIF(Entries[[Investor Name ]],Calculations!B746,Entries[Deposit Amount]))</f>
        <v xml:space="preserve"> </v>
      </c>
      <c r="D746" s="7" t="str" cm="1">
        <f t="array" aca="1" ref="D746" ca="1">IFERROR(C746 + SUM(Dashboard!J766:J1748)*Query17[Conversion Rate] * SUMPRODUCT((Entries[[Investor Name ]]=Calculations!B746) * (Entries[Deposit Amount]) *(Entries[Time in Fund(Days)]))/SUMPRODUCT(Entries[Deposit Amount],Entries[Time in Fund(Days)])," ")</f>
        <v xml:space="preserve"> </v>
      </c>
    </row>
    <row r="747" spans="2:4" x14ac:dyDescent="0.25">
      <c r="B747" s="6"/>
      <c r="C747" s="2" t="str">
        <f>IF(ISBLANK(Table3[[#This Row],[Investor]])," ",SUMIF(Entries[[Investor Name ]],Calculations!B747,Entries[Deposit Amount]))</f>
        <v xml:space="preserve"> </v>
      </c>
      <c r="D747" s="7" t="str" cm="1">
        <f t="array" aca="1" ref="D747" ca="1">IFERROR(C747 + SUM(Dashboard!J767:J1749)*Query17[Conversion Rate] * SUMPRODUCT((Entries[[Investor Name ]]=Calculations!B747) * (Entries[Deposit Amount]) *(Entries[Time in Fund(Days)]))/SUMPRODUCT(Entries[Deposit Amount],Entries[Time in Fund(Days)])," ")</f>
        <v xml:space="preserve"> </v>
      </c>
    </row>
    <row r="748" spans="2:4" x14ac:dyDescent="0.25">
      <c r="B748" s="6"/>
      <c r="C748" s="2" t="str">
        <f>IF(ISBLANK(Table3[[#This Row],[Investor]])," ",SUMIF(Entries[[Investor Name ]],Calculations!B748,Entries[Deposit Amount]))</f>
        <v xml:space="preserve"> </v>
      </c>
      <c r="D748" s="7" t="str" cm="1">
        <f t="array" aca="1" ref="D748" ca="1">IFERROR(C748 + SUM(Dashboard!J768:J1750)*Query17[Conversion Rate] * SUMPRODUCT((Entries[[Investor Name ]]=Calculations!B748) * (Entries[Deposit Amount]) *(Entries[Time in Fund(Days)]))/SUMPRODUCT(Entries[Deposit Amount],Entries[Time in Fund(Days)])," ")</f>
        <v xml:space="preserve"> </v>
      </c>
    </row>
    <row r="749" spans="2:4" x14ac:dyDescent="0.25">
      <c r="B749" s="6"/>
      <c r="C749" s="2" t="str">
        <f>IF(ISBLANK(Table3[[#This Row],[Investor]])," ",SUMIF(Entries[[Investor Name ]],Calculations!B749,Entries[Deposit Amount]))</f>
        <v xml:space="preserve"> </v>
      </c>
      <c r="D749" s="7" t="str" cm="1">
        <f t="array" aca="1" ref="D749" ca="1">IFERROR(C749 + SUM(Dashboard!J769:J1751)*Query17[Conversion Rate] * SUMPRODUCT((Entries[[Investor Name ]]=Calculations!B749) * (Entries[Deposit Amount]) *(Entries[Time in Fund(Days)]))/SUMPRODUCT(Entries[Deposit Amount],Entries[Time in Fund(Days)])," ")</f>
        <v xml:space="preserve"> </v>
      </c>
    </row>
    <row r="750" spans="2:4" x14ac:dyDescent="0.25">
      <c r="B750" s="6"/>
      <c r="C750" s="2" t="str">
        <f>IF(ISBLANK(Table3[[#This Row],[Investor]])," ",SUMIF(Entries[[Investor Name ]],Calculations!B750,Entries[Deposit Amount]))</f>
        <v xml:space="preserve"> </v>
      </c>
      <c r="D750" s="7" t="str" cm="1">
        <f t="array" aca="1" ref="D750" ca="1">IFERROR(C750 + SUM(Dashboard!J770:J1752)*Query17[Conversion Rate] * SUMPRODUCT((Entries[[Investor Name ]]=Calculations!B750) * (Entries[Deposit Amount]) *(Entries[Time in Fund(Days)]))/SUMPRODUCT(Entries[Deposit Amount],Entries[Time in Fund(Days)])," ")</f>
        <v xml:space="preserve"> </v>
      </c>
    </row>
    <row r="751" spans="2:4" x14ac:dyDescent="0.25">
      <c r="B751" s="6"/>
      <c r="C751" s="2" t="str">
        <f>IF(ISBLANK(Table3[[#This Row],[Investor]])," ",SUMIF(Entries[[Investor Name ]],Calculations!B751,Entries[Deposit Amount]))</f>
        <v xml:space="preserve"> </v>
      </c>
      <c r="D751" s="7" t="str" cm="1">
        <f t="array" aca="1" ref="D751" ca="1">IFERROR(C751 + SUM(Dashboard!J771:J1753)*Query17[Conversion Rate] * SUMPRODUCT((Entries[[Investor Name ]]=Calculations!B751) * (Entries[Deposit Amount]) *(Entries[Time in Fund(Days)]))/SUMPRODUCT(Entries[Deposit Amount],Entries[Time in Fund(Days)])," ")</f>
        <v xml:space="preserve"> </v>
      </c>
    </row>
    <row r="752" spans="2:4" x14ac:dyDescent="0.25">
      <c r="B752" s="6"/>
      <c r="C752" s="2" t="str">
        <f>IF(ISBLANK(Table3[[#This Row],[Investor]])," ",SUMIF(Entries[[Investor Name ]],Calculations!B752,Entries[Deposit Amount]))</f>
        <v xml:space="preserve"> </v>
      </c>
      <c r="D752" s="7" t="str" cm="1">
        <f t="array" aca="1" ref="D752" ca="1">IFERROR(C752 + SUM(Dashboard!J772:J1754)*Query17[Conversion Rate] * SUMPRODUCT((Entries[[Investor Name ]]=Calculations!B752) * (Entries[Deposit Amount]) *(Entries[Time in Fund(Days)]))/SUMPRODUCT(Entries[Deposit Amount],Entries[Time in Fund(Days)])," ")</f>
        <v xml:space="preserve"> </v>
      </c>
    </row>
    <row r="753" spans="2:4" x14ac:dyDescent="0.25">
      <c r="B753" s="6"/>
      <c r="C753" s="2" t="str">
        <f>IF(ISBLANK(Table3[[#This Row],[Investor]])," ",SUMIF(Entries[[Investor Name ]],Calculations!B753,Entries[Deposit Amount]))</f>
        <v xml:space="preserve"> </v>
      </c>
      <c r="D753" s="7" t="str" cm="1">
        <f t="array" aca="1" ref="D753" ca="1">IFERROR(C753 + SUM(Dashboard!J773:J1755)*Query17[Conversion Rate] * SUMPRODUCT((Entries[[Investor Name ]]=Calculations!B753) * (Entries[Deposit Amount]) *(Entries[Time in Fund(Days)]))/SUMPRODUCT(Entries[Deposit Amount],Entries[Time in Fund(Days)])," ")</f>
        <v xml:space="preserve"> </v>
      </c>
    </row>
    <row r="754" spans="2:4" x14ac:dyDescent="0.25">
      <c r="B754" s="6"/>
      <c r="C754" s="2" t="str">
        <f>IF(ISBLANK(Table3[[#This Row],[Investor]])," ",SUMIF(Entries[[Investor Name ]],Calculations!B754,Entries[Deposit Amount]))</f>
        <v xml:space="preserve"> </v>
      </c>
      <c r="D754" s="7" t="str" cm="1">
        <f t="array" aca="1" ref="D754" ca="1">IFERROR(C754 + SUM(Dashboard!J774:J1756)*Query17[Conversion Rate] * SUMPRODUCT((Entries[[Investor Name ]]=Calculations!B754) * (Entries[Deposit Amount]) *(Entries[Time in Fund(Days)]))/SUMPRODUCT(Entries[Deposit Amount],Entries[Time in Fund(Days)])," ")</f>
        <v xml:space="preserve"> </v>
      </c>
    </row>
    <row r="755" spans="2:4" x14ac:dyDescent="0.25">
      <c r="B755" s="6"/>
      <c r="C755" s="2" t="str">
        <f>IF(ISBLANK(Table3[[#This Row],[Investor]])," ",SUMIF(Entries[[Investor Name ]],Calculations!B755,Entries[Deposit Amount]))</f>
        <v xml:space="preserve"> </v>
      </c>
      <c r="D755" s="7" t="str" cm="1">
        <f t="array" aca="1" ref="D755" ca="1">IFERROR(C755 + SUM(Dashboard!J775:J1757)*Query17[Conversion Rate] * SUMPRODUCT((Entries[[Investor Name ]]=Calculations!B755) * (Entries[Deposit Amount]) *(Entries[Time in Fund(Days)]))/SUMPRODUCT(Entries[Deposit Amount],Entries[Time in Fund(Days)])," ")</f>
        <v xml:space="preserve"> </v>
      </c>
    </row>
    <row r="756" spans="2:4" x14ac:dyDescent="0.25">
      <c r="B756" s="6"/>
      <c r="C756" s="2" t="str">
        <f>IF(ISBLANK(Table3[[#This Row],[Investor]])," ",SUMIF(Entries[[Investor Name ]],Calculations!B756,Entries[Deposit Amount]))</f>
        <v xml:space="preserve"> </v>
      </c>
      <c r="D756" s="7" t="str" cm="1">
        <f t="array" aca="1" ref="D756" ca="1">IFERROR(C756 + SUM(Dashboard!J776:J1758)*Query17[Conversion Rate] * SUMPRODUCT((Entries[[Investor Name ]]=Calculations!B756) * (Entries[Deposit Amount]) *(Entries[Time in Fund(Days)]))/SUMPRODUCT(Entries[Deposit Amount],Entries[Time in Fund(Days)])," ")</f>
        <v xml:space="preserve"> </v>
      </c>
    </row>
    <row r="757" spans="2:4" x14ac:dyDescent="0.25">
      <c r="B757" s="6"/>
      <c r="C757" s="2" t="str">
        <f>IF(ISBLANK(Table3[[#This Row],[Investor]])," ",SUMIF(Entries[[Investor Name ]],Calculations!B757,Entries[Deposit Amount]))</f>
        <v xml:space="preserve"> </v>
      </c>
      <c r="D757" s="7" t="str" cm="1">
        <f t="array" aca="1" ref="D757" ca="1">IFERROR(C757 + SUM(Dashboard!J777:J1759)*Query17[Conversion Rate] * SUMPRODUCT((Entries[[Investor Name ]]=Calculations!B757) * (Entries[Deposit Amount]) *(Entries[Time in Fund(Days)]))/SUMPRODUCT(Entries[Deposit Amount],Entries[Time in Fund(Days)])," ")</f>
        <v xml:space="preserve"> </v>
      </c>
    </row>
    <row r="758" spans="2:4" x14ac:dyDescent="0.25">
      <c r="B758" s="6"/>
      <c r="C758" s="2" t="str">
        <f>IF(ISBLANK(Table3[[#This Row],[Investor]])," ",SUMIF(Entries[[Investor Name ]],Calculations!B758,Entries[Deposit Amount]))</f>
        <v xml:space="preserve"> </v>
      </c>
      <c r="D758" s="7" t="str" cm="1">
        <f t="array" aca="1" ref="D758" ca="1">IFERROR(C758 + SUM(Dashboard!J778:J1760)*Query17[Conversion Rate] * SUMPRODUCT((Entries[[Investor Name ]]=Calculations!B758) * (Entries[Deposit Amount]) *(Entries[Time in Fund(Days)]))/SUMPRODUCT(Entries[Deposit Amount],Entries[Time in Fund(Days)])," ")</f>
        <v xml:space="preserve"> </v>
      </c>
    </row>
    <row r="759" spans="2:4" x14ac:dyDescent="0.25">
      <c r="B759" s="6"/>
      <c r="C759" s="2" t="str">
        <f>IF(ISBLANK(Table3[[#This Row],[Investor]])," ",SUMIF(Entries[[Investor Name ]],Calculations!B759,Entries[Deposit Amount]))</f>
        <v xml:space="preserve"> </v>
      </c>
      <c r="D759" s="7" t="str" cm="1">
        <f t="array" aca="1" ref="D759" ca="1">IFERROR(C759 + SUM(Dashboard!J779:J1761)*Query17[Conversion Rate] * SUMPRODUCT((Entries[[Investor Name ]]=Calculations!B759) * (Entries[Deposit Amount]) *(Entries[Time in Fund(Days)]))/SUMPRODUCT(Entries[Deposit Amount],Entries[Time in Fund(Days)])," ")</f>
        <v xml:space="preserve"> </v>
      </c>
    </row>
    <row r="760" spans="2:4" x14ac:dyDescent="0.25">
      <c r="B760" s="6"/>
      <c r="C760" s="2" t="str">
        <f>IF(ISBLANK(Table3[[#This Row],[Investor]])," ",SUMIF(Entries[[Investor Name ]],Calculations!B760,Entries[Deposit Amount]))</f>
        <v xml:space="preserve"> </v>
      </c>
      <c r="D760" s="7" t="str" cm="1">
        <f t="array" aca="1" ref="D760" ca="1">IFERROR(C760 + SUM(Dashboard!J780:J1762)*Query17[Conversion Rate] * SUMPRODUCT((Entries[[Investor Name ]]=Calculations!B760) * (Entries[Deposit Amount]) *(Entries[Time in Fund(Days)]))/SUMPRODUCT(Entries[Deposit Amount],Entries[Time in Fund(Days)])," ")</f>
        <v xml:space="preserve"> </v>
      </c>
    </row>
    <row r="761" spans="2:4" x14ac:dyDescent="0.25">
      <c r="B761" s="6"/>
      <c r="C761" s="2" t="str">
        <f>IF(ISBLANK(Table3[[#This Row],[Investor]])," ",SUMIF(Entries[[Investor Name ]],Calculations!B761,Entries[Deposit Amount]))</f>
        <v xml:space="preserve"> </v>
      </c>
      <c r="D761" s="7" t="str" cm="1">
        <f t="array" aca="1" ref="D761" ca="1">IFERROR(C761 + SUM(Dashboard!J781:J1763)*Query17[Conversion Rate] * SUMPRODUCT((Entries[[Investor Name ]]=Calculations!B761) * (Entries[Deposit Amount]) *(Entries[Time in Fund(Days)]))/SUMPRODUCT(Entries[Deposit Amount],Entries[Time in Fund(Days)])," ")</f>
        <v xml:space="preserve"> </v>
      </c>
    </row>
    <row r="762" spans="2:4" x14ac:dyDescent="0.25">
      <c r="B762" s="6"/>
      <c r="C762" s="2" t="str">
        <f>IF(ISBLANK(Table3[[#This Row],[Investor]])," ",SUMIF(Entries[[Investor Name ]],Calculations!B762,Entries[Deposit Amount]))</f>
        <v xml:space="preserve"> </v>
      </c>
      <c r="D762" s="7" t="str" cm="1">
        <f t="array" aca="1" ref="D762" ca="1">IFERROR(C762 + SUM(Dashboard!J782:J1764)*Query17[Conversion Rate] * SUMPRODUCT((Entries[[Investor Name ]]=Calculations!B762) * (Entries[Deposit Amount]) *(Entries[Time in Fund(Days)]))/SUMPRODUCT(Entries[Deposit Amount],Entries[Time in Fund(Days)])," ")</f>
        <v xml:space="preserve"> </v>
      </c>
    </row>
    <row r="763" spans="2:4" x14ac:dyDescent="0.25">
      <c r="B763" s="6"/>
      <c r="C763" s="2" t="str">
        <f>IF(ISBLANK(Table3[[#This Row],[Investor]])," ",SUMIF(Entries[[Investor Name ]],Calculations!B763,Entries[Deposit Amount]))</f>
        <v xml:space="preserve"> </v>
      </c>
      <c r="D763" s="7" t="str" cm="1">
        <f t="array" aca="1" ref="D763" ca="1">IFERROR(C763 + SUM(Dashboard!J783:J1765)*Query17[Conversion Rate] * SUMPRODUCT((Entries[[Investor Name ]]=Calculations!B763) * (Entries[Deposit Amount]) *(Entries[Time in Fund(Days)]))/SUMPRODUCT(Entries[Deposit Amount],Entries[Time in Fund(Days)])," ")</f>
        <v xml:space="preserve"> </v>
      </c>
    </row>
    <row r="764" spans="2:4" x14ac:dyDescent="0.25">
      <c r="B764" s="6"/>
      <c r="C764" s="2" t="str">
        <f>IF(ISBLANK(Table3[[#This Row],[Investor]])," ",SUMIF(Entries[[Investor Name ]],Calculations!B764,Entries[Deposit Amount]))</f>
        <v xml:space="preserve"> </v>
      </c>
      <c r="D764" s="7" t="str" cm="1">
        <f t="array" aca="1" ref="D764" ca="1">IFERROR(C764 + SUM(Dashboard!J784:J1766)*Query17[Conversion Rate] * SUMPRODUCT((Entries[[Investor Name ]]=Calculations!B764) * (Entries[Deposit Amount]) *(Entries[Time in Fund(Days)]))/SUMPRODUCT(Entries[Deposit Amount],Entries[Time in Fund(Days)])," ")</f>
        <v xml:space="preserve"> </v>
      </c>
    </row>
    <row r="765" spans="2:4" x14ac:dyDescent="0.25">
      <c r="B765" s="6"/>
      <c r="C765" s="2" t="str">
        <f>IF(ISBLANK(Table3[[#This Row],[Investor]])," ",SUMIF(Entries[[Investor Name ]],Calculations!B765,Entries[Deposit Amount]))</f>
        <v xml:space="preserve"> </v>
      </c>
      <c r="D765" s="7" t="str" cm="1">
        <f t="array" aca="1" ref="D765" ca="1">IFERROR(C765 + SUM(Dashboard!J785:J1767)*Query17[Conversion Rate] * SUMPRODUCT((Entries[[Investor Name ]]=Calculations!B765) * (Entries[Deposit Amount]) *(Entries[Time in Fund(Days)]))/SUMPRODUCT(Entries[Deposit Amount],Entries[Time in Fund(Days)])," ")</f>
        <v xml:space="preserve"> </v>
      </c>
    </row>
    <row r="766" spans="2:4" x14ac:dyDescent="0.25">
      <c r="B766" s="6"/>
      <c r="C766" s="2" t="str">
        <f>IF(ISBLANK(Table3[[#This Row],[Investor]])," ",SUMIF(Entries[[Investor Name ]],Calculations!B766,Entries[Deposit Amount]))</f>
        <v xml:space="preserve"> </v>
      </c>
      <c r="D766" s="7" t="str" cm="1">
        <f t="array" aca="1" ref="D766" ca="1">IFERROR(C766 + SUM(Dashboard!J786:J1768)*Query17[Conversion Rate] * SUMPRODUCT((Entries[[Investor Name ]]=Calculations!B766) * (Entries[Deposit Amount]) *(Entries[Time in Fund(Days)]))/SUMPRODUCT(Entries[Deposit Amount],Entries[Time in Fund(Days)])," ")</f>
        <v xml:space="preserve"> </v>
      </c>
    </row>
    <row r="767" spans="2:4" x14ac:dyDescent="0.25">
      <c r="B767" s="6"/>
      <c r="C767" s="2" t="str">
        <f>IF(ISBLANK(Table3[[#This Row],[Investor]])," ",SUMIF(Entries[[Investor Name ]],Calculations!B767,Entries[Deposit Amount]))</f>
        <v xml:space="preserve"> </v>
      </c>
      <c r="D767" s="7" t="str" cm="1">
        <f t="array" aca="1" ref="D767" ca="1">IFERROR(C767 + SUM(Dashboard!J787:J1769)*Query17[Conversion Rate] * SUMPRODUCT((Entries[[Investor Name ]]=Calculations!B767) * (Entries[Deposit Amount]) *(Entries[Time in Fund(Days)]))/SUMPRODUCT(Entries[Deposit Amount],Entries[Time in Fund(Days)])," ")</f>
        <v xml:space="preserve"> </v>
      </c>
    </row>
    <row r="768" spans="2:4" x14ac:dyDescent="0.25">
      <c r="B768" s="6"/>
      <c r="C768" s="2" t="str">
        <f>IF(ISBLANK(Table3[[#This Row],[Investor]])," ",SUMIF(Entries[[Investor Name ]],Calculations!B768,Entries[Deposit Amount]))</f>
        <v xml:space="preserve"> </v>
      </c>
      <c r="D768" s="7" t="str" cm="1">
        <f t="array" aca="1" ref="D768" ca="1">IFERROR(C768 + SUM(Dashboard!J788:J1770)*Query17[Conversion Rate] * SUMPRODUCT((Entries[[Investor Name ]]=Calculations!B768) * (Entries[Deposit Amount]) *(Entries[Time in Fund(Days)]))/SUMPRODUCT(Entries[Deposit Amount],Entries[Time in Fund(Days)])," ")</f>
        <v xml:space="preserve"> </v>
      </c>
    </row>
    <row r="769" spans="2:4" x14ac:dyDescent="0.25">
      <c r="B769" s="6"/>
      <c r="C769" s="2" t="str">
        <f>IF(ISBLANK(Table3[[#This Row],[Investor]])," ",SUMIF(Entries[[Investor Name ]],Calculations!B769,Entries[Deposit Amount]))</f>
        <v xml:space="preserve"> </v>
      </c>
      <c r="D769" s="7" t="str" cm="1">
        <f t="array" aca="1" ref="D769" ca="1">IFERROR(C769 + SUM(Dashboard!J789:J1771)*Query17[Conversion Rate] * SUMPRODUCT((Entries[[Investor Name ]]=Calculations!B769) * (Entries[Deposit Amount]) *(Entries[Time in Fund(Days)]))/SUMPRODUCT(Entries[Deposit Amount],Entries[Time in Fund(Days)])," ")</f>
        <v xml:space="preserve"> </v>
      </c>
    </row>
    <row r="770" spans="2:4" x14ac:dyDescent="0.25">
      <c r="B770" s="6"/>
      <c r="C770" s="2" t="str">
        <f>IF(ISBLANK(Table3[[#This Row],[Investor]])," ",SUMIF(Entries[[Investor Name ]],Calculations!B770,Entries[Deposit Amount]))</f>
        <v xml:space="preserve"> </v>
      </c>
      <c r="D770" s="7" t="str" cm="1">
        <f t="array" aca="1" ref="D770" ca="1">IFERROR(C770 + SUM(Dashboard!J790:J1772)*Query17[Conversion Rate] * SUMPRODUCT((Entries[[Investor Name ]]=Calculations!B770) * (Entries[Deposit Amount]) *(Entries[Time in Fund(Days)]))/SUMPRODUCT(Entries[Deposit Amount],Entries[Time in Fund(Days)])," ")</f>
        <v xml:space="preserve"> </v>
      </c>
    </row>
    <row r="771" spans="2:4" x14ac:dyDescent="0.25">
      <c r="B771" s="6"/>
      <c r="C771" s="2" t="str">
        <f>IF(ISBLANK(Table3[[#This Row],[Investor]])," ",SUMIF(Entries[[Investor Name ]],Calculations!B771,Entries[Deposit Amount]))</f>
        <v xml:space="preserve"> </v>
      </c>
      <c r="D771" s="7" t="str" cm="1">
        <f t="array" aca="1" ref="D771" ca="1">IFERROR(C771 + SUM(Dashboard!J791:J1773)*Query17[Conversion Rate] * SUMPRODUCT((Entries[[Investor Name ]]=Calculations!B771) * (Entries[Deposit Amount]) *(Entries[Time in Fund(Days)]))/SUMPRODUCT(Entries[Deposit Amount],Entries[Time in Fund(Days)])," ")</f>
        <v xml:space="preserve"> </v>
      </c>
    </row>
    <row r="772" spans="2:4" x14ac:dyDescent="0.25">
      <c r="B772" s="6"/>
      <c r="C772" s="2" t="str">
        <f>IF(ISBLANK(Table3[[#This Row],[Investor]])," ",SUMIF(Entries[[Investor Name ]],Calculations!B772,Entries[Deposit Amount]))</f>
        <v xml:space="preserve"> </v>
      </c>
      <c r="D772" s="7" t="str" cm="1">
        <f t="array" aca="1" ref="D772" ca="1">IFERROR(C772 + SUM(Dashboard!J792:J1774)*Query17[Conversion Rate] * SUMPRODUCT((Entries[[Investor Name ]]=Calculations!B772) * (Entries[Deposit Amount]) *(Entries[Time in Fund(Days)]))/SUMPRODUCT(Entries[Deposit Amount],Entries[Time in Fund(Days)])," ")</f>
        <v xml:space="preserve"> </v>
      </c>
    </row>
    <row r="773" spans="2:4" x14ac:dyDescent="0.25">
      <c r="B773" s="6"/>
      <c r="C773" s="2" t="str">
        <f>IF(ISBLANK(Table3[[#This Row],[Investor]])," ",SUMIF(Entries[[Investor Name ]],Calculations!B773,Entries[Deposit Amount]))</f>
        <v xml:space="preserve"> </v>
      </c>
      <c r="D773" s="7" t="str" cm="1">
        <f t="array" aca="1" ref="D773" ca="1">IFERROR(C773 + SUM(Dashboard!J793:J1775)*Query17[Conversion Rate] * SUMPRODUCT((Entries[[Investor Name ]]=Calculations!B773) * (Entries[Deposit Amount]) *(Entries[Time in Fund(Days)]))/SUMPRODUCT(Entries[Deposit Amount],Entries[Time in Fund(Days)])," ")</f>
        <v xml:space="preserve"> </v>
      </c>
    </row>
    <row r="774" spans="2:4" x14ac:dyDescent="0.25">
      <c r="B774" s="6"/>
      <c r="C774" s="2" t="str">
        <f>IF(ISBLANK(Table3[[#This Row],[Investor]])," ",SUMIF(Entries[[Investor Name ]],Calculations!B774,Entries[Deposit Amount]))</f>
        <v xml:space="preserve"> </v>
      </c>
      <c r="D774" s="7" t="str" cm="1">
        <f t="array" aca="1" ref="D774" ca="1">IFERROR(C774 + SUM(Dashboard!J794:J1776)*Query17[Conversion Rate] * SUMPRODUCT((Entries[[Investor Name ]]=Calculations!B774) * (Entries[Deposit Amount]) *(Entries[Time in Fund(Days)]))/SUMPRODUCT(Entries[Deposit Amount],Entries[Time in Fund(Days)])," ")</f>
        <v xml:space="preserve"> </v>
      </c>
    </row>
    <row r="775" spans="2:4" x14ac:dyDescent="0.25">
      <c r="B775" s="6"/>
      <c r="C775" s="2" t="str">
        <f>IF(ISBLANK(Table3[[#This Row],[Investor]])," ",SUMIF(Entries[[Investor Name ]],Calculations!B775,Entries[Deposit Amount]))</f>
        <v xml:space="preserve"> </v>
      </c>
      <c r="D775" s="7" t="str" cm="1">
        <f t="array" aca="1" ref="D775" ca="1">IFERROR(C775 + SUM(Dashboard!J795:J1777)*Query17[Conversion Rate] * SUMPRODUCT((Entries[[Investor Name ]]=Calculations!B775) * (Entries[Deposit Amount]) *(Entries[Time in Fund(Days)]))/SUMPRODUCT(Entries[Deposit Amount],Entries[Time in Fund(Days)])," ")</f>
        <v xml:space="preserve"> </v>
      </c>
    </row>
    <row r="776" spans="2:4" x14ac:dyDescent="0.25">
      <c r="B776" s="6"/>
      <c r="C776" s="2" t="str">
        <f>IF(ISBLANK(Table3[[#This Row],[Investor]])," ",SUMIF(Entries[[Investor Name ]],Calculations!B776,Entries[Deposit Amount]))</f>
        <v xml:space="preserve"> </v>
      </c>
      <c r="D776" s="7" t="str" cm="1">
        <f t="array" aca="1" ref="D776" ca="1">IFERROR(C776 + SUM(Dashboard!J796:J1778)*Query17[Conversion Rate] * SUMPRODUCT((Entries[[Investor Name ]]=Calculations!B776) * (Entries[Deposit Amount]) *(Entries[Time in Fund(Days)]))/SUMPRODUCT(Entries[Deposit Amount],Entries[Time in Fund(Days)])," ")</f>
        <v xml:space="preserve"> </v>
      </c>
    </row>
    <row r="777" spans="2:4" x14ac:dyDescent="0.25">
      <c r="B777" s="6"/>
      <c r="C777" s="2" t="str">
        <f>IF(ISBLANK(Table3[[#This Row],[Investor]])," ",SUMIF(Entries[[Investor Name ]],Calculations!B777,Entries[Deposit Amount]))</f>
        <v xml:space="preserve"> </v>
      </c>
      <c r="D777" s="7" t="str" cm="1">
        <f t="array" aca="1" ref="D777" ca="1">IFERROR(C777 + SUM(Dashboard!J797:J1779)*Query17[Conversion Rate] * SUMPRODUCT((Entries[[Investor Name ]]=Calculations!B777) * (Entries[Deposit Amount]) *(Entries[Time in Fund(Days)]))/SUMPRODUCT(Entries[Deposit Amount],Entries[Time in Fund(Days)])," ")</f>
        <v xml:space="preserve"> </v>
      </c>
    </row>
    <row r="778" spans="2:4" x14ac:dyDescent="0.25">
      <c r="B778" s="6"/>
      <c r="C778" s="2" t="str">
        <f>IF(ISBLANK(Table3[[#This Row],[Investor]])," ",SUMIF(Entries[[Investor Name ]],Calculations!B778,Entries[Deposit Amount]))</f>
        <v xml:space="preserve"> </v>
      </c>
      <c r="D778" s="7" t="str" cm="1">
        <f t="array" aca="1" ref="D778" ca="1">IFERROR(C778 + SUM(Dashboard!J798:J1780)*Query17[Conversion Rate] * SUMPRODUCT((Entries[[Investor Name ]]=Calculations!B778) * (Entries[Deposit Amount]) *(Entries[Time in Fund(Days)]))/SUMPRODUCT(Entries[Deposit Amount],Entries[Time in Fund(Days)])," ")</f>
        <v xml:space="preserve"> </v>
      </c>
    </row>
    <row r="779" spans="2:4" x14ac:dyDescent="0.25">
      <c r="B779" s="6"/>
      <c r="C779" s="2" t="str">
        <f>IF(ISBLANK(Table3[[#This Row],[Investor]])," ",SUMIF(Entries[[Investor Name ]],Calculations!B779,Entries[Deposit Amount]))</f>
        <v xml:space="preserve"> </v>
      </c>
      <c r="D779" s="7" t="str" cm="1">
        <f t="array" aca="1" ref="D779" ca="1">IFERROR(C779 + SUM(Dashboard!J799:J1781)*Query17[Conversion Rate] * SUMPRODUCT((Entries[[Investor Name ]]=Calculations!B779) * (Entries[Deposit Amount]) *(Entries[Time in Fund(Days)]))/SUMPRODUCT(Entries[Deposit Amount],Entries[Time in Fund(Days)])," ")</f>
        <v xml:space="preserve"> </v>
      </c>
    </row>
    <row r="780" spans="2:4" x14ac:dyDescent="0.25">
      <c r="B780" s="6"/>
      <c r="C780" s="2" t="str">
        <f>IF(ISBLANK(Table3[[#This Row],[Investor]])," ",SUMIF(Entries[[Investor Name ]],Calculations!B780,Entries[Deposit Amount]))</f>
        <v xml:space="preserve"> </v>
      </c>
      <c r="D780" s="7" t="str" cm="1">
        <f t="array" aca="1" ref="D780" ca="1">IFERROR(C780 + SUM(Dashboard!J800:J1782)*Query17[Conversion Rate] * SUMPRODUCT((Entries[[Investor Name ]]=Calculations!B780) * (Entries[Deposit Amount]) *(Entries[Time in Fund(Days)]))/SUMPRODUCT(Entries[Deposit Amount],Entries[Time in Fund(Days)])," ")</f>
        <v xml:space="preserve"> </v>
      </c>
    </row>
    <row r="781" spans="2:4" x14ac:dyDescent="0.25">
      <c r="B781" s="6"/>
      <c r="C781" s="2" t="str">
        <f>IF(ISBLANK(Table3[[#This Row],[Investor]])," ",SUMIF(Entries[[Investor Name ]],Calculations!B781,Entries[Deposit Amount]))</f>
        <v xml:space="preserve"> </v>
      </c>
      <c r="D781" s="7" t="str" cm="1">
        <f t="array" aca="1" ref="D781" ca="1">IFERROR(C781 + SUM(Dashboard!J801:J1783)*Query17[Conversion Rate] * SUMPRODUCT((Entries[[Investor Name ]]=Calculations!B781) * (Entries[Deposit Amount]) *(Entries[Time in Fund(Days)]))/SUMPRODUCT(Entries[Deposit Amount],Entries[Time in Fund(Days)])," ")</f>
        <v xml:space="preserve"> </v>
      </c>
    </row>
    <row r="782" spans="2:4" x14ac:dyDescent="0.25">
      <c r="B782" s="6"/>
      <c r="C782" s="2" t="str">
        <f>IF(ISBLANK(Table3[[#This Row],[Investor]])," ",SUMIF(Entries[[Investor Name ]],Calculations!B782,Entries[Deposit Amount]))</f>
        <v xml:space="preserve"> </v>
      </c>
      <c r="D782" s="7" t="str" cm="1">
        <f t="array" aca="1" ref="D782" ca="1">IFERROR(C782 + SUM(Dashboard!J802:J1784)*Query17[Conversion Rate] * SUMPRODUCT((Entries[[Investor Name ]]=Calculations!B782) * (Entries[Deposit Amount]) *(Entries[Time in Fund(Days)]))/SUMPRODUCT(Entries[Deposit Amount],Entries[Time in Fund(Days)])," ")</f>
        <v xml:space="preserve"> </v>
      </c>
    </row>
    <row r="783" spans="2:4" x14ac:dyDescent="0.25">
      <c r="B783" s="6"/>
      <c r="C783" s="2" t="str">
        <f>IF(ISBLANK(Table3[[#This Row],[Investor]])," ",SUMIF(Entries[[Investor Name ]],Calculations!B783,Entries[Deposit Amount]))</f>
        <v xml:space="preserve"> </v>
      </c>
      <c r="D783" s="7" t="str" cm="1">
        <f t="array" aca="1" ref="D783" ca="1">IFERROR(C783 + SUM(Dashboard!J803:J1785)*Query17[Conversion Rate] * SUMPRODUCT((Entries[[Investor Name ]]=Calculations!B783) * (Entries[Deposit Amount]) *(Entries[Time in Fund(Days)]))/SUMPRODUCT(Entries[Deposit Amount],Entries[Time in Fund(Days)])," ")</f>
        <v xml:space="preserve"> </v>
      </c>
    </row>
    <row r="784" spans="2:4" x14ac:dyDescent="0.25">
      <c r="B784" s="6"/>
      <c r="C784" s="2" t="str">
        <f>IF(ISBLANK(Table3[[#This Row],[Investor]])," ",SUMIF(Entries[[Investor Name ]],Calculations!B784,Entries[Deposit Amount]))</f>
        <v xml:space="preserve"> </v>
      </c>
      <c r="D784" s="7" t="str" cm="1">
        <f t="array" aca="1" ref="D784" ca="1">IFERROR(C784 + SUM(Dashboard!J804:J1786)*Query17[Conversion Rate] * SUMPRODUCT((Entries[[Investor Name ]]=Calculations!B784) * (Entries[Deposit Amount]) *(Entries[Time in Fund(Days)]))/SUMPRODUCT(Entries[Deposit Amount],Entries[Time in Fund(Days)])," ")</f>
        <v xml:space="preserve"> </v>
      </c>
    </row>
    <row r="785" spans="2:4" x14ac:dyDescent="0.25">
      <c r="B785" s="6"/>
      <c r="C785" s="2" t="str">
        <f>IF(ISBLANK(Table3[[#This Row],[Investor]])," ",SUMIF(Entries[[Investor Name ]],Calculations!B785,Entries[Deposit Amount]))</f>
        <v xml:space="preserve"> </v>
      </c>
      <c r="D785" s="7" t="str" cm="1">
        <f t="array" aca="1" ref="D785" ca="1">IFERROR(C785 + SUM(Dashboard!J805:J1787)*Query17[Conversion Rate] * SUMPRODUCT((Entries[[Investor Name ]]=Calculations!B785) * (Entries[Deposit Amount]) *(Entries[Time in Fund(Days)]))/SUMPRODUCT(Entries[Deposit Amount],Entries[Time in Fund(Days)])," ")</f>
        <v xml:space="preserve"> </v>
      </c>
    </row>
    <row r="786" spans="2:4" x14ac:dyDescent="0.25">
      <c r="B786" s="6"/>
      <c r="C786" s="2" t="str">
        <f>IF(ISBLANK(Table3[[#This Row],[Investor]])," ",SUMIF(Entries[[Investor Name ]],Calculations!B786,Entries[Deposit Amount]))</f>
        <v xml:space="preserve"> </v>
      </c>
      <c r="D786" s="7" t="str" cm="1">
        <f t="array" aca="1" ref="D786" ca="1">IFERROR(C786 + SUM(Dashboard!J806:J1788)*Query17[Conversion Rate] * SUMPRODUCT((Entries[[Investor Name ]]=Calculations!B786) * (Entries[Deposit Amount]) *(Entries[Time in Fund(Days)]))/SUMPRODUCT(Entries[Deposit Amount],Entries[Time in Fund(Days)])," ")</f>
        <v xml:space="preserve"> </v>
      </c>
    </row>
    <row r="787" spans="2:4" x14ac:dyDescent="0.25">
      <c r="B787" s="6"/>
      <c r="C787" s="2" t="str">
        <f>IF(ISBLANK(Table3[[#This Row],[Investor]])," ",SUMIF(Entries[[Investor Name ]],Calculations!B787,Entries[Deposit Amount]))</f>
        <v xml:space="preserve"> </v>
      </c>
      <c r="D787" s="7" t="str" cm="1">
        <f t="array" aca="1" ref="D787" ca="1">IFERROR(C787 + SUM(Dashboard!J807:J1789)*Query17[Conversion Rate] * SUMPRODUCT((Entries[[Investor Name ]]=Calculations!B787) * (Entries[Deposit Amount]) *(Entries[Time in Fund(Days)]))/SUMPRODUCT(Entries[Deposit Amount],Entries[Time in Fund(Days)])," ")</f>
        <v xml:space="preserve"> </v>
      </c>
    </row>
    <row r="788" spans="2:4" x14ac:dyDescent="0.25">
      <c r="B788" s="6"/>
      <c r="C788" s="2" t="str">
        <f>IF(ISBLANK(Table3[[#This Row],[Investor]])," ",SUMIF(Entries[[Investor Name ]],Calculations!B788,Entries[Deposit Amount]))</f>
        <v xml:space="preserve"> </v>
      </c>
      <c r="D788" s="7" t="str" cm="1">
        <f t="array" aca="1" ref="D788" ca="1">IFERROR(C788 + SUM(Dashboard!J808:J1790)*Query17[Conversion Rate] * SUMPRODUCT((Entries[[Investor Name ]]=Calculations!B788) * (Entries[Deposit Amount]) *(Entries[Time in Fund(Days)]))/SUMPRODUCT(Entries[Deposit Amount],Entries[Time in Fund(Days)])," ")</f>
        <v xml:space="preserve"> </v>
      </c>
    </row>
    <row r="789" spans="2:4" x14ac:dyDescent="0.25">
      <c r="B789" s="6"/>
      <c r="C789" s="2" t="str">
        <f>IF(ISBLANK(Table3[[#This Row],[Investor]])," ",SUMIF(Entries[[Investor Name ]],Calculations!B789,Entries[Deposit Amount]))</f>
        <v xml:space="preserve"> </v>
      </c>
      <c r="D789" s="7" t="str" cm="1">
        <f t="array" aca="1" ref="D789" ca="1">IFERROR(C789 + SUM(Dashboard!J809:J1791)*Query17[Conversion Rate] * SUMPRODUCT((Entries[[Investor Name ]]=Calculations!B789) * (Entries[Deposit Amount]) *(Entries[Time in Fund(Days)]))/SUMPRODUCT(Entries[Deposit Amount],Entries[Time in Fund(Days)])," ")</f>
        <v xml:space="preserve"> </v>
      </c>
    </row>
    <row r="790" spans="2:4" x14ac:dyDescent="0.25">
      <c r="B790" s="6"/>
      <c r="C790" s="2" t="str">
        <f>IF(ISBLANK(Table3[[#This Row],[Investor]])," ",SUMIF(Entries[[Investor Name ]],Calculations!B790,Entries[Deposit Amount]))</f>
        <v xml:space="preserve"> </v>
      </c>
      <c r="D790" s="7" t="str" cm="1">
        <f t="array" aca="1" ref="D790" ca="1">IFERROR(C790 + SUM(Dashboard!J810:J1792)*Query17[Conversion Rate] * SUMPRODUCT((Entries[[Investor Name ]]=Calculations!B790) * (Entries[Deposit Amount]) *(Entries[Time in Fund(Days)]))/SUMPRODUCT(Entries[Deposit Amount],Entries[Time in Fund(Days)])," ")</f>
        <v xml:space="preserve"> </v>
      </c>
    </row>
    <row r="791" spans="2:4" x14ac:dyDescent="0.25">
      <c r="B791" s="6"/>
      <c r="C791" s="2" t="str">
        <f>IF(ISBLANK(Table3[[#This Row],[Investor]])," ",SUMIF(Entries[[Investor Name ]],Calculations!B791,Entries[Deposit Amount]))</f>
        <v xml:space="preserve"> </v>
      </c>
      <c r="D791" s="7" t="str" cm="1">
        <f t="array" aca="1" ref="D791" ca="1">IFERROR(C791 + SUM(Dashboard!J811:J1793)*Query17[Conversion Rate] * SUMPRODUCT((Entries[[Investor Name ]]=Calculations!B791) * (Entries[Deposit Amount]) *(Entries[Time in Fund(Days)]))/SUMPRODUCT(Entries[Deposit Amount],Entries[Time in Fund(Days)])," ")</f>
        <v xml:space="preserve"> </v>
      </c>
    </row>
    <row r="792" spans="2:4" x14ac:dyDescent="0.25">
      <c r="B792" s="6"/>
      <c r="C792" s="2" t="str">
        <f>IF(ISBLANK(Table3[[#This Row],[Investor]])," ",SUMIF(Entries[[Investor Name ]],Calculations!B792,Entries[Deposit Amount]))</f>
        <v xml:space="preserve"> </v>
      </c>
      <c r="D792" s="7" t="str" cm="1">
        <f t="array" aca="1" ref="D792" ca="1">IFERROR(C792 + SUM(Dashboard!J812:J1794)*Query17[Conversion Rate] * SUMPRODUCT((Entries[[Investor Name ]]=Calculations!B792) * (Entries[Deposit Amount]) *(Entries[Time in Fund(Days)]))/SUMPRODUCT(Entries[Deposit Amount],Entries[Time in Fund(Days)])," ")</f>
        <v xml:space="preserve"> </v>
      </c>
    </row>
    <row r="793" spans="2:4" x14ac:dyDescent="0.25">
      <c r="B793" s="6"/>
      <c r="C793" s="2" t="str">
        <f>IF(ISBLANK(Table3[[#This Row],[Investor]])," ",SUMIF(Entries[[Investor Name ]],Calculations!B793,Entries[Deposit Amount]))</f>
        <v xml:space="preserve"> </v>
      </c>
      <c r="D793" s="7" t="str" cm="1">
        <f t="array" aca="1" ref="D793" ca="1">IFERROR(C793 + SUM(Dashboard!J813:J1795)*Query17[Conversion Rate] * SUMPRODUCT((Entries[[Investor Name ]]=Calculations!B793) * (Entries[Deposit Amount]) *(Entries[Time in Fund(Days)]))/SUMPRODUCT(Entries[Deposit Amount],Entries[Time in Fund(Days)])," ")</f>
        <v xml:space="preserve"> </v>
      </c>
    </row>
    <row r="794" spans="2:4" x14ac:dyDescent="0.25">
      <c r="B794" s="6"/>
      <c r="C794" s="2" t="str">
        <f>IF(ISBLANK(Table3[[#This Row],[Investor]])," ",SUMIF(Entries[[Investor Name ]],Calculations!B794,Entries[Deposit Amount]))</f>
        <v xml:space="preserve"> </v>
      </c>
      <c r="D794" s="7" t="str" cm="1">
        <f t="array" aca="1" ref="D794" ca="1">IFERROR(C794 + SUM(Dashboard!J814:J1796)*Query17[Conversion Rate] * SUMPRODUCT((Entries[[Investor Name ]]=Calculations!B794) * (Entries[Deposit Amount]) *(Entries[Time in Fund(Days)]))/SUMPRODUCT(Entries[Deposit Amount],Entries[Time in Fund(Days)])," ")</f>
        <v xml:space="preserve"> </v>
      </c>
    </row>
    <row r="795" spans="2:4" x14ac:dyDescent="0.25">
      <c r="B795" s="6"/>
      <c r="C795" s="2" t="str">
        <f>IF(ISBLANK(Table3[[#This Row],[Investor]])," ",SUMIF(Entries[[Investor Name ]],Calculations!B795,Entries[Deposit Amount]))</f>
        <v xml:space="preserve"> </v>
      </c>
      <c r="D795" s="7" t="str" cm="1">
        <f t="array" aca="1" ref="D795" ca="1">IFERROR(C795 + SUM(Dashboard!J815:J1797)*Query17[Conversion Rate] * SUMPRODUCT((Entries[[Investor Name ]]=Calculations!B795) * (Entries[Deposit Amount]) *(Entries[Time in Fund(Days)]))/SUMPRODUCT(Entries[Deposit Amount],Entries[Time in Fund(Days)])," ")</f>
        <v xml:space="preserve"> </v>
      </c>
    </row>
    <row r="796" spans="2:4" x14ac:dyDescent="0.25">
      <c r="B796" s="6"/>
      <c r="C796" s="2" t="str">
        <f>IF(ISBLANK(Table3[[#This Row],[Investor]])," ",SUMIF(Entries[[Investor Name ]],Calculations!B796,Entries[Deposit Amount]))</f>
        <v xml:space="preserve"> </v>
      </c>
      <c r="D796" s="7" t="str" cm="1">
        <f t="array" aca="1" ref="D796" ca="1">IFERROR(C796 + SUM(Dashboard!J816:J1798)*Query17[Conversion Rate] * SUMPRODUCT((Entries[[Investor Name ]]=Calculations!B796) * (Entries[Deposit Amount]) *(Entries[Time in Fund(Days)]))/SUMPRODUCT(Entries[Deposit Amount],Entries[Time in Fund(Days)])," ")</f>
        <v xml:space="preserve"> </v>
      </c>
    </row>
    <row r="797" spans="2:4" x14ac:dyDescent="0.25">
      <c r="B797" s="6"/>
      <c r="C797" s="2" t="str">
        <f>IF(ISBLANK(Table3[[#This Row],[Investor]])," ",SUMIF(Entries[[Investor Name ]],Calculations!B797,Entries[Deposit Amount]))</f>
        <v xml:space="preserve"> </v>
      </c>
      <c r="D797" s="7" t="str" cm="1">
        <f t="array" aca="1" ref="D797" ca="1">IFERROR(C797 + SUM(Dashboard!J817:J1799)*Query17[Conversion Rate] * SUMPRODUCT((Entries[[Investor Name ]]=Calculations!B797) * (Entries[Deposit Amount]) *(Entries[Time in Fund(Days)]))/SUMPRODUCT(Entries[Deposit Amount],Entries[Time in Fund(Days)])," ")</f>
        <v xml:space="preserve"> </v>
      </c>
    </row>
    <row r="798" spans="2:4" x14ac:dyDescent="0.25">
      <c r="B798" s="6"/>
      <c r="C798" s="2" t="str">
        <f>IF(ISBLANK(Table3[[#This Row],[Investor]])," ",SUMIF(Entries[[Investor Name ]],Calculations!B798,Entries[Deposit Amount]))</f>
        <v xml:space="preserve"> </v>
      </c>
      <c r="D798" s="7" t="str" cm="1">
        <f t="array" aca="1" ref="D798" ca="1">IFERROR(C798 + SUM(Dashboard!J818:J1800)*Query17[Conversion Rate] * SUMPRODUCT((Entries[[Investor Name ]]=Calculations!B798) * (Entries[Deposit Amount]) *(Entries[Time in Fund(Days)]))/SUMPRODUCT(Entries[Deposit Amount],Entries[Time in Fund(Days)])," ")</f>
        <v xml:space="preserve"> </v>
      </c>
    </row>
    <row r="799" spans="2:4" x14ac:dyDescent="0.25">
      <c r="B799" s="6"/>
      <c r="C799" s="2" t="str">
        <f>IF(ISBLANK(Table3[[#This Row],[Investor]])," ",SUMIF(Entries[[Investor Name ]],Calculations!B799,Entries[Deposit Amount]))</f>
        <v xml:space="preserve"> </v>
      </c>
      <c r="D799" s="7" t="str" cm="1">
        <f t="array" aca="1" ref="D799" ca="1">IFERROR(C799 + SUM(Dashboard!J819:J1801)*Query17[Conversion Rate] * SUMPRODUCT((Entries[[Investor Name ]]=Calculations!B799) * (Entries[Deposit Amount]) *(Entries[Time in Fund(Days)]))/SUMPRODUCT(Entries[Deposit Amount],Entries[Time in Fund(Days)])," ")</f>
        <v xml:space="preserve"> </v>
      </c>
    </row>
    <row r="800" spans="2:4" x14ac:dyDescent="0.25">
      <c r="B800" s="6"/>
      <c r="C800" s="2" t="str">
        <f>IF(ISBLANK(Table3[[#This Row],[Investor]])," ",SUMIF(Entries[[Investor Name ]],Calculations!B800,Entries[Deposit Amount]))</f>
        <v xml:space="preserve"> </v>
      </c>
      <c r="D800" s="7" t="str" cm="1">
        <f t="array" aca="1" ref="D800" ca="1">IFERROR(C800 + SUM(Dashboard!J820:J1802)*Query17[Conversion Rate] * SUMPRODUCT((Entries[[Investor Name ]]=Calculations!B800) * (Entries[Deposit Amount]) *(Entries[Time in Fund(Days)]))/SUMPRODUCT(Entries[Deposit Amount],Entries[Time in Fund(Days)])," ")</f>
        <v xml:space="preserve"> </v>
      </c>
    </row>
    <row r="801" spans="2:4" x14ac:dyDescent="0.25">
      <c r="B801" s="6"/>
      <c r="C801" s="2" t="str">
        <f>IF(ISBLANK(Table3[[#This Row],[Investor]])," ",SUMIF(Entries[[Investor Name ]],Calculations!B801,Entries[Deposit Amount]))</f>
        <v xml:space="preserve"> </v>
      </c>
      <c r="D801" s="7" t="str" cm="1">
        <f t="array" aca="1" ref="D801" ca="1">IFERROR(C801 + SUM(Dashboard!J821:J1803)*Query17[Conversion Rate] * SUMPRODUCT((Entries[[Investor Name ]]=Calculations!B801) * (Entries[Deposit Amount]) *(Entries[Time in Fund(Days)]))/SUMPRODUCT(Entries[Deposit Amount],Entries[Time in Fund(Days)])," ")</f>
        <v xml:space="preserve"> </v>
      </c>
    </row>
    <row r="802" spans="2:4" x14ac:dyDescent="0.25">
      <c r="B802" s="6"/>
      <c r="C802" s="2" t="str">
        <f>IF(ISBLANK(Table3[[#This Row],[Investor]])," ",SUMIF(Entries[[Investor Name ]],Calculations!B802,Entries[Deposit Amount]))</f>
        <v xml:space="preserve"> </v>
      </c>
      <c r="D802" s="7" t="str" cm="1">
        <f t="array" aca="1" ref="D802" ca="1">IFERROR(C802 + SUM(Dashboard!J822:J1804)*Query17[Conversion Rate] * SUMPRODUCT((Entries[[Investor Name ]]=Calculations!B802) * (Entries[Deposit Amount]) *(Entries[Time in Fund(Days)]))/SUMPRODUCT(Entries[Deposit Amount],Entries[Time in Fund(Days)])," ")</f>
        <v xml:space="preserve"> </v>
      </c>
    </row>
    <row r="803" spans="2:4" x14ac:dyDescent="0.25">
      <c r="B803" s="6"/>
      <c r="C803" s="2" t="str">
        <f>IF(ISBLANK(Table3[[#This Row],[Investor]])," ",SUMIF(Entries[[Investor Name ]],Calculations!B803,Entries[Deposit Amount]))</f>
        <v xml:space="preserve"> </v>
      </c>
      <c r="D803" s="7" t="str" cm="1">
        <f t="array" aca="1" ref="D803" ca="1">IFERROR(C803 + SUM(Dashboard!J823:J1805)*Query17[Conversion Rate] * SUMPRODUCT((Entries[[Investor Name ]]=Calculations!B803) * (Entries[Deposit Amount]) *(Entries[Time in Fund(Days)]))/SUMPRODUCT(Entries[Deposit Amount],Entries[Time in Fund(Days)])," ")</f>
        <v xml:space="preserve"> </v>
      </c>
    </row>
    <row r="804" spans="2:4" x14ac:dyDescent="0.25">
      <c r="B804" s="6"/>
      <c r="C804" s="2" t="str">
        <f>IF(ISBLANK(Table3[[#This Row],[Investor]])," ",SUMIF(Entries[[Investor Name ]],Calculations!B804,Entries[Deposit Amount]))</f>
        <v xml:space="preserve"> </v>
      </c>
      <c r="D804" s="7" t="str" cm="1">
        <f t="array" aca="1" ref="D804" ca="1">IFERROR(C804 + SUM(Dashboard!J824:J1806)*Query17[Conversion Rate] * SUMPRODUCT((Entries[[Investor Name ]]=Calculations!B804) * (Entries[Deposit Amount]) *(Entries[Time in Fund(Days)]))/SUMPRODUCT(Entries[Deposit Amount],Entries[Time in Fund(Days)])," ")</f>
        <v xml:space="preserve"> </v>
      </c>
    </row>
    <row r="805" spans="2:4" x14ac:dyDescent="0.25">
      <c r="B805" s="6"/>
      <c r="C805" s="2" t="str">
        <f>IF(ISBLANK(Table3[[#This Row],[Investor]])," ",SUMIF(Entries[[Investor Name ]],Calculations!B805,Entries[Deposit Amount]))</f>
        <v xml:space="preserve"> </v>
      </c>
      <c r="D805" s="7" t="str" cm="1">
        <f t="array" aca="1" ref="D805" ca="1">IFERROR(C805 + SUM(Dashboard!J825:J1807)*Query17[Conversion Rate] * SUMPRODUCT((Entries[[Investor Name ]]=Calculations!B805) * (Entries[Deposit Amount]) *(Entries[Time in Fund(Days)]))/SUMPRODUCT(Entries[Deposit Amount],Entries[Time in Fund(Days)])," ")</f>
        <v xml:space="preserve"> </v>
      </c>
    </row>
    <row r="806" spans="2:4" x14ac:dyDescent="0.25">
      <c r="B806" s="6"/>
      <c r="C806" s="2" t="str">
        <f>IF(ISBLANK(Table3[[#This Row],[Investor]])," ",SUMIF(Entries[[Investor Name ]],Calculations!B806,Entries[Deposit Amount]))</f>
        <v xml:space="preserve"> </v>
      </c>
      <c r="D806" s="7" t="str" cm="1">
        <f t="array" aca="1" ref="D806" ca="1">IFERROR(C806 + SUM(Dashboard!J826:J1808)*Query17[Conversion Rate] * SUMPRODUCT((Entries[[Investor Name ]]=Calculations!B806) * (Entries[Deposit Amount]) *(Entries[Time in Fund(Days)]))/SUMPRODUCT(Entries[Deposit Amount],Entries[Time in Fund(Days)])," ")</f>
        <v xml:space="preserve"> </v>
      </c>
    </row>
    <row r="807" spans="2:4" x14ac:dyDescent="0.25">
      <c r="B807" s="6"/>
      <c r="C807" s="2" t="str">
        <f>IF(ISBLANK(Table3[[#This Row],[Investor]])," ",SUMIF(Entries[[Investor Name ]],Calculations!B807,Entries[Deposit Amount]))</f>
        <v xml:space="preserve"> </v>
      </c>
      <c r="D807" s="7" t="str" cm="1">
        <f t="array" aca="1" ref="D807" ca="1">IFERROR(C807 + SUM(Dashboard!J827:J1809)*Query17[Conversion Rate] * SUMPRODUCT((Entries[[Investor Name ]]=Calculations!B807) * (Entries[Deposit Amount]) *(Entries[Time in Fund(Days)]))/SUMPRODUCT(Entries[Deposit Amount],Entries[Time in Fund(Days)])," ")</f>
        <v xml:space="preserve"> </v>
      </c>
    </row>
    <row r="808" spans="2:4" x14ac:dyDescent="0.25">
      <c r="B808" s="6"/>
      <c r="C808" s="2" t="str">
        <f>IF(ISBLANK(Table3[[#This Row],[Investor]])," ",SUMIF(Entries[[Investor Name ]],Calculations!B808,Entries[Deposit Amount]))</f>
        <v xml:space="preserve"> </v>
      </c>
      <c r="D808" s="7" t="str" cm="1">
        <f t="array" aca="1" ref="D808" ca="1">IFERROR(C808 + SUM(Dashboard!J828:J1810)*Query17[Conversion Rate] * SUMPRODUCT((Entries[[Investor Name ]]=Calculations!B808) * (Entries[Deposit Amount]) *(Entries[Time in Fund(Days)]))/SUMPRODUCT(Entries[Deposit Amount],Entries[Time in Fund(Days)])," ")</f>
        <v xml:space="preserve"> </v>
      </c>
    </row>
    <row r="809" spans="2:4" x14ac:dyDescent="0.25">
      <c r="B809" s="6"/>
      <c r="C809" s="2" t="str">
        <f>IF(ISBLANK(Table3[[#This Row],[Investor]])," ",SUMIF(Entries[[Investor Name ]],Calculations!B809,Entries[Deposit Amount]))</f>
        <v xml:space="preserve"> </v>
      </c>
      <c r="D809" s="7" t="str" cm="1">
        <f t="array" aca="1" ref="D809" ca="1">IFERROR(C809 + SUM(Dashboard!J829:J1811)*Query17[Conversion Rate] * SUMPRODUCT((Entries[[Investor Name ]]=Calculations!B809) * (Entries[Deposit Amount]) *(Entries[Time in Fund(Days)]))/SUMPRODUCT(Entries[Deposit Amount],Entries[Time in Fund(Days)])," ")</f>
        <v xml:space="preserve"> </v>
      </c>
    </row>
    <row r="810" spans="2:4" x14ac:dyDescent="0.25">
      <c r="B810" s="6"/>
      <c r="C810" s="2" t="str">
        <f>IF(ISBLANK(Table3[[#This Row],[Investor]])," ",SUMIF(Entries[[Investor Name ]],Calculations!B810,Entries[Deposit Amount]))</f>
        <v xml:space="preserve"> </v>
      </c>
      <c r="D810" s="7" t="str" cm="1">
        <f t="array" aca="1" ref="D810" ca="1">IFERROR(C810 + SUM(Dashboard!J830:J1812)*Query17[Conversion Rate] * SUMPRODUCT((Entries[[Investor Name ]]=Calculations!B810) * (Entries[Deposit Amount]) *(Entries[Time in Fund(Days)]))/SUMPRODUCT(Entries[Deposit Amount],Entries[Time in Fund(Days)])," ")</f>
        <v xml:space="preserve"> </v>
      </c>
    </row>
    <row r="811" spans="2:4" x14ac:dyDescent="0.25">
      <c r="B811" s="6"/>
      <c r="C811" s="2" t="str">
        <f>IF(ISBLANK(Table3[[#This Row],[Investor]])," ",SUMIF(Entries[[Investor Name ]],Calculations!B811,Entries[Deposit Amount]))</f>
        <v xml:space="preserve"> </v>
      </c>
      <c r="D811" s="7" t="str" cm="1">
        <f t="array" aca="1" ref="D811" ca="1">IFERROR(C811 + SUM(Dashboard!J831:J1813)*Query17[Conversion Rate] * SUMPRODUCT((Entries[[Investor Name ]]=Calculations!B811) * (Entries[Deposit Amount]) *(Entries[Time in Fund(Days)]))/SUMPRODUCT(Entries[Deposit Amount],Entries[Time in Fund(Days)])," ")</f>
        <v xml:space="preserve"> </v>
      </c>
    </row>
    <row r="812" spans="2:4" x14ac:dyDescent="0.25">
      <c r="B812" s="6"/>
      <c r="C812" s="2" t="str">
        <f>IF(ISBLANK(Table3[[#This Row],[Investor]])," ",SUMIF(Entries[[Investor Name ]],Calculations!B812,Entries[Deposit Amount]))</f>
        <v xml:space="preserve"> </v>
      </c>
      <c r="D812" s="7" t="str" cm="1">
        <f t="array" aca="1" ref="D812" ca="1">IFERROR(C812 + SUM(Dashboard!J832:J1814)*Query17[Conversion Rate] * SUMPRODUCT((Entries[[Investor Name ]]=Calculations!B812) * (Entries[Deposit Amount]) *(Entries[Time in Fund(Days)]))/SUMPRODUCT(Entries[Deposit Amount],Entries[Time in Fund(Days)])," ")</f>
        <v xml:space="preserve"> </v>
      </c>
    </row>
    <row r="813" spans="2:4" x14ac:dyDescent="0.25">
      <c r="B813" s="6"/>
      <c r="C813" s="2" t="str">
        <f>IF(ISBLANK(Table3[[#This Row],[Investor]])," ",SUMIF(Entries[[Investor Name ]],Calculations!B813,Entries[Deposit Amount]))</f>
        <v xml:space="preserve"> </v>
      </c>
      <c r="D813" s="7" t="str" cm="1">
        <f t="array" aca="1" ref="D813" ca="1">IFERROR(C813 + SUM(Dashboard!J833:J1815)*Query17[Conversion Rate] * SUMPRODUCT((Entries[[Investor Name ]]=Calculations!B813) * (Entries[Deposit Amount]) *(Entries[Time in Fund(Days)]))/SUMPRODUCT(Entries[Deposit Amount],Entries[Time in Fund(Days)])," ")</f>
        <v xml:space="preserve"> </v>
      </c>
    </row>
    <row r="814" spans="2:4" x14ac:dyDescent="0.25">
      <c r="B814" s="6"/>
      <c r="C814" s="2" t="str">
        <f>IF(ISBLANK(Table3[[#This Row],[Investor]])," ",SUMIF(Entries[[Investor Name ]],Calculations!B814,Entries[Deposit Amount]))</f>
        <v xml:space="preserve"> </v>
      </c>
      <c r="D814" s="7" t="str" cm="1">
        <f t="array" aca="1" ref="D814" ca="1">IFERROR(C814 + SUM(Dashboard!J834:J1816)*Query17[Conversion Rate] * SUMPRODUCT((Entries[[Investor Name ]]=Calculations!B814) * (Entries[Deposit Amount]) *(Entries[Time in Fund(Days)]))/SUMPRODUCT(Entries[Deposit Amount],Entries[Time in Fund(Days)])," ")</f>
        <v xml:space="preserve"> </v>
      </c>
    </row>
    <row r="815" spans="2:4" x14ac:dyDescent="0.25">
      <c r="B815" s="6"/>
      <c r="C815" s="2" t="str">
        <f>IF(ISBLANK(Table3[[#This Row],[Investor]])," ",SUMIF(Entries[[Investor Name ]],Calculations!B815,Entries[Deposit Amount]))</f>
        <v xml:space="preserve"> </v>
      </c>
      <c r="D815" s="7" t="str" cm="1">
        <f t="array" aca="1" ref="D815" ca="1">IFERROR(C815 + SUM(Dashboard!J835:J1817)*Query17[Conversion Rate] * SUMPRODUCT((Entries[[Investor Name ]]=Calculations!B815) * (Entries[Deposit Amount]) *(Entries[Time in Fund(Days)]))/SUMPRODUCT(Entries[Deposit Amount],Entries[Time in Fund(Days)])," ")</f>
        <v xml:space="preserve"> </v>
      </c>
    </row>
    <row r="816" spans="2:4" x14ac:dyDescent="0.25">
      <c r="B816" s="6"/>
      <c r="C816" s="2" t="str">
        <f>IF(ISBLANK(Table3[[#This Row],[Investor]])," ",SUMIF(Entries[[Investor Name ]],Calculations!B816,Entries[Deposit Amount]))</f>
        <v xml:space="preserve"> </v>
      </c>
      <c r="D816" s="7" t="str" cm="1">
        <f t="array" aca="1" ref="D816" ca="1">IFERROR(C816 + SUM(Dashboard!J836:J1818)*Query17[Conversion Rate] * SUMPRODUCT((Entries[[Investor Name ]]=Calculations!B816) * (Entries[Deposit Amount]) *(Entries[Time in Fund(Days)]))/SUMPRODUCT(Entries[Deposit Amount],Entries[Time in Fund(Days)])," ")</f>
        <v xml:space="preserve"> </v>
      </c>
    </row>
    <row r="817" spans="2:4" x14ac:dyDescent="0.25">
      <c r="B817" s="6"/>
      <c r="C817" s="2" t="str">
        <f>IF(ISBLANK(Table3[[#This Row],[Investor]])," ",SUMIF(Entries[[Investor Name ]],Calculations!B817,Entries[Deposit Amount]))</f>
        <v xml:space="preserve"> </v>
      </c>
      <c r="D817" s="7" t="str" cm="1">
        <f t="array" aca="1" ref="D817" ca="1">IFERROR(C817 + SUM(Dashboard!J837:J1819)*Query17[Conversion Rate] * SUMPRODUCT((Entries[[Investor Name ]]=Calculations!B817) * (Entries[Deposit Amount]) *(Entries[Time in Fund(Days)]))/SUMPRODUCT(Entries[Deposit Amount],Entries[Time in Fund(Days)])," ")</f>
        <v xml:space="preserve"> </v>
      </c>
    </row>
    <row r="818" spans="2:4" x14ac:dyDescent="0.25">
      <c r="B818" s="6"/>
      <c r="C818" s="2" t="str">
        <f>IF(ISBLANK(Table3[[#This Row],[Investor]])," ",SUMIF(Entries[[Investor Name ]],Calculations!B818,Entries[Deposit Amount]))</f>
        <v xml:space="preserve"> </v>
      </c>
      <c r="D818" s="7" t="str" cm="1">
        <f t="array" aca="1" ref="D818" ca="1">IFERROR(C818 + SUM(Dashboard!J838:J1820)*Query17[Conversion Rate] * SUMPRODUCT((Entries[[Investor Name ]]=Calculations!B818) * (Entries[Deposit Amount]) *(Entries[Time in Fund(Days)]))/SUMPRODUCT(Entries[Deposit Amount],Entries[Time in Fund(Days)])," ")</f>
        <v xml:space="preserve"> </v>
      </c>
    </row>
    <row r="819" spans="2:4" x14ac:dyDescent="0.25">
      <c r="B819" s="6"/>
      <c r="C819" s="2" t="str">
        <f>IF(ISBLANK(Table3[[#This Row],[Investor]])," ",SUMIF(Entries[[Investor Name ]],Calculations!B819,Entries[Deposit Amount]))</f>
        <v xml:space="preserve"> </v>
      </c>
      <c r="D819" s="7" t="str" cm="1">
        <f t="array" aca="1" ref="D819" ca="1">IFERROR(C819 + SUM(Dashboard!J839:J1821)*Query17[Conversion Rate] * SUMPRODUCT((Entries[[Investor Name ]]=Calculations!B819) * (Entries[Deposit Amount]) *(Entries[Time in Fund(Days)]))/SUMPRODUCT(Entries[Deposit Amount],Entries[Time in Fund(Days)])," ")</f>
        <v xml:space="preserve"> </v>
      </c>
    </row>
    <row r="820" spans="2:4" x14ac:dyDescent="0.25">
      <c r="B820" s="6"/>
      <c r="C820" s="2" t="str">
        <f>IF(ISBLANK(Table3[[#This Row],[Investor]])," ",SUMIF(Entries[[Investor Name ]],Calculations!B820,Entries[Deposit Amount]))</f>
        <v xml:space="preserve"> </v>
      </c>
      <c r="D820" s="7" t="str" cm="1">
        <f t="array" aca="1" ref="D820" ca="1">IFERROR(C820 + SUM(Dashboard!J840:J1822)*Query17[Conversion Rate] * SUMPRODUCT((Entries[[Investor Name ]]=Calculations!B820) * (Entries[Deposit Amount]) *(Entries[Time in Fund(Days)]))/SUMPRODUCT(Entries[Deposit Amount],Entries[Time in Fund(Days)])," ")</f>
        <v xml:space="preserve"> </v>
      </c>
    </row>
    <row r="821" spans="2:4" x14ac:dyDescent="0.25">
      <c r="B821" s="6"/>
      <c r="C821" s="2" t="str">
        <f>IF(ISBLANK(Table3[[#This Row],[Investor]])," ",SUMIF(Entries[[Investor Name ]],Calculations!B821,Entries[Deposit Amount]))</f>
        <v xml:space="preserve"> </v>
      </c>
      <c r="D821" s="7" t="str" cm="1">
        <f t="array" aca="1" ref="D821" ca="1">IFERROR(C821 + SUM(Dashboard!J841:J1823)*Query17[Conversion Rate] * SUMPRODUCT((Entries[[Investor Name ]]=Calculations!B821) * (Entries[Deposit Amount]) *(Entries[Time in Fund(Days)]))/SUMPRODUCT(Entries[Deposit Amount],Entries[Time in Fund(Days)])," ")</f>
        <v xml:space="preserve"> </v>
      </c>
    </row>
    <row r="822" spans="2:4" x14ac:dyDescent="0.25">
      <c r="B822" s="6"/>
      <c r="C822" s="2" t="str">
        <f>IF(ISBLANK(Table3[[#This Row],[Investor]])," ",SUMIF(Entries[[Investor Name ]],Calculations!B822,Entries[Deposit Amount]))</f>
        <v xml:space="preserve"> </v>
      </c>
      <c r="D822" s="7" t="str" cm="1">
        <f t="array" aca="1" ref="D822" ca="1">IFERROR(C822 + SUM(Dashboard!J842:J1824)*Query17[Conversion Rate] * SUMPRODUCT((Entries[[Investor Name ]]=Calculations!B822) * (Entries[Deposit Amount]) *(Entries[Time in Fund(Days)]))/SUMPRODUCT(Entries[Deposit Amount],Entries[Time in Fund(Days)])," ")</f>
        <v xml:space="preserve"> </v>
      </c>
    </row>
    <row r="823" spans="2:4" x14ac:dyDescent="0.25">
      <c r="B823" s="6"/>
      <c r="C823" s="2" t="str">
        <f>IF(ISBLANK(Table3[[#This Row],[Investor]])," ",SUMIF(Entries[[Investor Name ]],Calculations!B823,Entries[Deposit Amount]))</f>
        <v xml:space="preserve"> </v>
      </c>
      <c r="D823" s="7" t="str" cm="1">
        <f t="array" aca="1" ref="D823" ca="1">IFERROR(C823 + SUM(Dashboard!J843:J1825)*Query17[Conversion Rate] * SUMPRODUCT((Entries[[Investor Name ]]=Calculations!B823) * (Entries[Deposit Amount]) *(Entries[Time in Fund(Days)]))/SUMPRODUCT(Entries[Deposit Amount],Entries[Time in Fund(Days)])," ")</f>
        <v xml:space="preserve"> </v>
      </c>
    </row>
    <row r="824" spans="2:4" x14ac:dyDescent="0.25">
      <c r="B824" s="6"/>
      <c r="C824" s="2" t="str">
        <f>IF(ISBLANK(Table3[[#This Row],[Investor]])," ",SUMIF(Entries[[Investor Name ]],Calculations!B824,Entries[Deposit Amount]))</f>
        <v xml:space="preserve"> </v>
      </c>
      <c r="D824" s="7" t="str" cm="1">
        <f t="array" aca="1" ref="D824" ca="1">IFERROR(C824 + SUM(Dashboard!J844:J1826)*Query17[Conversion Rate] * SUMPRODUCT((Entries[[Investor Name ]]=Calculations!B824) * (Entries[Deposit Amount]) *(Entries[Time in Fund(Days)]))/SUMPRODUCT(Entries[Deposit Amount],Entries[Time in Fund(Days)])," ")</f>
        <v xml:space="preserve"> </v>
      </c>
    </row>
    <row r="825" spans="2:4" x14ac:dyDescent="0.25">
      <c r="B825" s="6"/>
      <c r="C825" s="2" t="str">
        <f>IF(ISBLANK(Table3[[#This Row],[Investor]])," ",SUMIF(Entries[[Investor Name ]],Calculations!B825,Entries[Deposit Amount]))</f>
        <v xml:space="preserve"> </v>
      </c>
      <c r="D825" s="7" t="str" cm="1">
        <f t="array" aca="1" ref="D825" ca="1">IFERROR(C825 + SUM(Dashboard!J845:J1827)*Query17[Conversion Rate] * SUMPRODUCT((Entries[[Investor Name ]]=Calculations!B825) * (Entries[Deposit Amount]) *(Entries[Time in Fund(Days)]))/SUMPRODUCT(Entries[Deposit Amount],Entries[Time in Fund(Days)])," ")</f>
        <v xml:space="preserve"> </v>
      </c>
    </row>
    <row r="826" spans="2:4" x14ac:dyDescent="0.25">
      <c r="B826" s="6"/>
      <c r="C826" s="2" t="str">
        <f>IF(ISBLANK(Table3[[#This Row],[Investor]])," ",SUMIF(Entries[[Investor Name ]],Calculations!B826,Entries[Deposit Amount]))</f>
        <v xml:space="preserve"> </v>
      </c>
      <c r="D826" s="7" t="str" cm="1">
        <f t="array" aca="1" ref="D826" ca="1">IFERROR(C826 + SUM(Dashboard!J846:J1828)*Query17[Conversion Rate] * SUMPRODUCT((Entries[[Investor Name ]]=Calculations!B826) * (Entries[Deposit Amount]) *(Entries[Time in Fund(Days)]))/SUMPRODUCT(Entries[Deposit Amount],Entries[Time in Fund(Days)])," ")</f>
        <v xml:space="preserve"> </v>
      </c>
    </row>
    <row r="827" spans="2:4" x14ac:dyDescent="0.25">
      <c r="B827" s="6"/>
      <c r="C827" s="2" t="str">
        <f>IF(ISBLANK(Table3[[#This Row],[Investor]])," ",SUMIF(Entries[[Investor Name ]],Calculations!B827,Entries[Deposit Amount]))</f>
        <v xml:space="preserve"> </v>
      </c>
      <c r="D827" s="7" t="str" cm="1">
        <f t="array" aca="1" ref="D827" ca="1">IFERROR(C827 + SUM(Dashboard!J847:J1829)*Query17[Conversion Rate] * SUMPRODUCT((Entries[[Investor Name ]]=Calculations!B827) * (Entries[Deposit Amount]) *(Entries[Time in Fund(Days)]))/SUMPRODUCT(Entries[Deposit Amount],Entries[Time in Fund(Days)])," ")</f>
        <v xml:space="preserve"> </v>
      </c>
    </row>
    <row r="828" spans="2:4" x14ac:dyDescent="0.25">
      <c r="B828" s="6"/>
      <c r="C828" s="2" t="str">
        <f>IF(ISBLANK(Table3[[#This Row],[Investor]])," ",SUMIF(Entries[[Investor Name ]],Calculations!B828,Entries[Deposit Amount]))</f>
        <v xml:space="preserve"> </v>
      </c>
      <c r="D828" s="7" t="str" cm="1">
        <f t="array" aca="1" ref="D828" ca="1">IFERROR(C828 + SUM(Dashboard!J848:J1830)*Query17[Conversion Rate] * SUMPRODUCT((Entries[[Investor Name ]]=Calculations!B828) * (Entries[Deposit Amount]) *(Entries[Time in Fund(Days)]))/SUMPRODUCT(Entries[Deposit Amount],Entries[Time in Fund(Days)])," ")</f>
        <v xml:space="preserve"> </v>
      </c>
    </row>
    <row r="829" spans="2:4" x14ac:dyDescent="0.25">
      <c r="B829" s="6"/>
      <c r="C829" s="2" t="str">
        <f>IF(ISBLANK(Table3[[#This Row],[Investor]])," ",SUMIF(Entries[[Investor Name ]],Calculations!B829,Entries[Deposit Amount]))</f>
        <v xml:space="preserve"> </v>
      </c>
      <c r="D829" s="7" t="str" cm="1">
        <f t="array" aca="1" ref="D829" ca="1">IFERROR(C829 + SUM(Dashboard!J849:J1831)*Query17[Conversion Rate] * SUMPRODUCT((Entries[[Investor Name ]]=Calculations!B829) * (Entries[Deposit Amount]) *(Entries[Time in Fund(Days)]))/SUMPRODUCT(Entries[Deposit Amount],Entries[Time in Fund(Days)])," ")</f>
        <v xml:space="preserve"> </v>
      </c>
    </row>
    <row r="830" spans="2:4" x14ac:dyDescent="0.25">
      <c r="B830" s="6"/>
      <c r="C830" s="2" t="str">
        <f>IF(ISBLANK(Table3[[#This Row],[Investor]])," ",SUMIF(Entries[[Investor Name ]],Calculations!B830,Entries[Deposit Amount]))</f>
        <v xml:space="preserve"> </v>
      </c>
      <c r="D830" s="7" t="str" cm="1">
        <f t="array" aca="1" ref="D830" ca="1">IFERROR(C830 + SUM(Dashboard!J850:J1832)*Query17[Conversion Rate] * SUMPRODUCT((Entries[[Investor Name ]]=Calculations!B830) * (Entries[Deposit Amount]) *(Entries[Time in Fund(Days)]))/SUMPRODUCT(Entries[Deposit Amount],Entries[Time in Fund(Days)])," ")</f>
        <v xml:space="preserve"> </v>
      </c>
    </row>
    <row r="831" spans="2:4" x14ac:dyDescent="0.25">
      <c r="B831" s="6"/>
      <c r="C831" s="2" t="str">
        <f>IF(ISBLANK(Table3[[#This Row],[Investor]])," ",SUMIF(Entries[[Investor Name ]],Calculations!B831,Entries[Deposit Amount]))</f>
        <v xml:space="preserve"> </v>
      </c>
      <c r="D831" s="7" t="str" cm="1">
        <f t="array" aca="1" ref="D831" ca="1">IFERROR(C831 + SUM(Dashboard!J851:J1833)*Query17[Conversion Rate] * SUMPRODUCT((Entries[[Investor Name ]]=Calculations!B831) * (Entries[Deposit Amount]) *(Entries[Time in Fund(Days)]))/SUMPRODUCT(Entries[Deposit Amount],Entries[Time in Fund(Days)])," ")</f>
        <v xml:space="preserve"> </v>
      </c>
    </row>
    <row r="832" spans="2:4" x14ac:dyDescent="0.25">
      <c r="B832" s="6"/>
      <c r="C832" s="2" t="str">
        <f>IF(ISBLANK(Table3[[#This Row],[Investor]])," ",SUMIF(Entries[[Investor Name ]],Calculations!B832,Entries[Deposit Amount]))</f>
        <v xml:space="preserve"> </v>
      </c>
      <c r="D832" s="7" t="str" cm="1">
        <f t="array" aca="1" ref="D832" ca="1">IFERROR(C832 + SUM(Dashboard!J852:J1834)*Query17[Conversion Rate] * SUMPRODUCT((Entries[[Investor Name ]]=Calculations!B832) * (Entries[Deposit Amount]) *(Entries[Time in Fund(Days)]))/SUMPRODUCT(Entries[Deposit Amount],Entries[Time in Fund(Days)])," ")</f>
        <v xml:space="preserve"> </v>
      </c>
    </row>
    <row r="833" spans="2:4" x14ac:dyDescent="0.25">
      <c r="B833" s="6"/>
      <c r="C833" s="2" t="str">
        <f>IF(ISBLANK(Table3[[#This Row],[Investor]])," ",SUMIF(Entries[[Investor Name ]],Calculations!B833,Entries[Deposit Amount]))</f>
        <v xml:space="preserve"> </v>
      </c>
      <c r="D833" s="7" t="str" cm="1">
        <f t="array" aca="1" ref="D833" ca="1">IFERROR(C833 + SUM(Dashboard!J853:J1835)*Query17[Conversion Rate] * SUMPRODUCT((Entries[[Investor Name ]]=Calculations!B833) * (Entries[Deposit Amount]) *(Entries[Time in Fund(Days)]))/SUMPRODUCT(Entries[Deposit Amount],Entries[Time in Fund(Days)])," ")</f>
        <v xml:space="preserve"> </v>
      </c>
    </row>
    <row r="834" spans="2:4" x14ac:dyDescent="0.25">
      <c r="B834" s="6"/>
      <c r="C834" s="2" t="str">
        <f>IF(ISBLANK(Table3[[#This Row],[Investor]])," ",SUMIF(Entries[[Investor Name ]],Calculations!B834,Entries[Deposit Amount]))</f>
        <v xml:space="preserve"> </v>
      </c>
      <c r="D834" s="7" t="str" cm="1">
        <f t="array" aca="1" ref="D834" ca="1">IFERROR(C834 + SUM(Dashboard!J854:J1836)*Query17[Conversion Rate] * SUMPRODUCT((Entries[[Investor Name ]]=Calculations!B834) * (Entries[Deposit Amount]) *(Entries[Time in Fund(Days)]))/SUMPRODUCT(Entries[Deposit Amount],Entries[Time in Fund(Days)])," ")</f>
        <v xml:space="preserve"> </v>
      </c>
    </row>
    <row r="835" spans="2:4" x14ac:dyDescent="0.25">
      <c r="B835" s="6"/>
      <c r="C835" s="2" t="str">
        <f>IF(ISBLANK(Table3[[#This Row],[Investor]])," ",SUMIF(Entries[[Investor Name ]],Calculations!B835,Entries[Deposit Amount]))</f>
        <v xml:space="preserve"> </v>
      </c>
      <c r="D835" s="7" t="str" cm="1">
        <f t="array" aca="1" ref="D835" ca="1">IFERROR(C835 + SUM(Dashboard!J855:J1837)*Query17[Conversion Rate] * SUMPRODUCT((Entries[[Investor Name ]]=Calculations!B835) * (Entries[Deposit Amount]) *(Entries[Time in Fund(Days)]))/SUMPRODUCT(Entries[Deposit Amount],Entries[Time in Fund(Days)])," ")</f>
        <v xml:space="preserve"> </v>
      </c>
    </row>
    <row r="836" spans="2:4" x14ac:dyDescent="0.25">
      <c r="B836" s="6"/>
      <c r="C836" s="2" t="str">
        <f>IF(ISBLANK(Table3[[#This Row],[Investor]])," ",SUMIF(Entries[[Investor Name ]],Calculations!B836,Entries[Deposit Amount]))</f>
        <v xml:space="preserve"> </v>
      </c>
      <c r="D836" s="7" t="str" cm="1">
        <f t="array" aca="1" ref="D836" ca="1">IFERROR(C836 + SUM(Dashboard!J856:J1838)*Query17[Conversion Rate] * SUMPRODUCT((Entries[[Investor Name ]]=Calculations!B836) * (Entries[Deposit Amount]) *(Entries[Time in Fund(Days)]))/SUMPRODUCT(Entries[Deposit Amount],Entries[Time in Fund(Days)])," ")</f>
        <v xml:space="preserve"> </v>
      </c>
    </row>
    <row r="837" spans="2:4" x14ac:dyDescent="0.25">
      <c r="B837" s="6"/>
      <c r="C837" s="2" t="str">
        <f>IF(ISBLANK(Table3[[#This Row],[Investor]])," ",SUMIF(Entries[[Investor Name ]],Calculations!B837,Entries[Deposit Amount]))</f>
        <v xml:space="preserve"> </v>
      </c>
      <c r="D837" s="7" t="str" cm="1">
        <f t="array" aca="1" ref="D837" ca="1">IFERROR(C837 + SUM(Dashboard!J857:J1839)*Query17[Conversion Rate] * SUMPRODUCT((Entries[[Investor Name ]]=Calculations!B837) * (Entries[Deposit Amount]) *(Entries[Time in Fund(Days)]))/SUMPRODUCT(Entries[Deposit Amount],Entries[Time in Fund(Days)])," ")</f>
        <v xml:space="preserve"> </v>
      </c>
    </row>
    <row r="838" spans="2:4" x14ac:dyDescent="0.25">
      <c r="B838" s="6"/>
      <c r="C838" s="2" t="str">
        <f>IF(ISBLANK(Table3[[#This Row],[Investor]])," ",SUMIF(Entries[[Investor Name ]],Calculations!B838,Entries[Deposit Amount]))</f>
        <v xml:space="preserve"> </v>
      </c>
      <c r="D838" s="7" t="str" cm="1">
        <f t="array" aca="1" ref="D838" ca="1">IFERROR(C838 + SUM(Dashboard!J858:J1840)*Query17[Conversion Rate] * SUMPRODUCT((Entries[[Investor Name ]]=Calculations!B838) * (Entries[Deposit Amount]) *(Entries[Time in Fund(Days)]))/SUMPRODUCT(Entries[Deposit Amount],Entries[Time in Fund(Days)])," ")</f>
        <v xml:space="preserve"> </v>
      </c>
    </row>
    <row r="839" spans="2:4" x14ac:dyDescent="0.25">
      <c r="B839" s="6"/>
      <c r="C839" s="2" t="str">
        <f>IF(ISBLANK(Table3[[#This Row],[Investor]])," ",SUMIF(Entries[[Investor Name ]],Calculations!B839,Entries[Deposit Amount]))</f>
        <v xml:space="preserve"> </v>
      </c>
      <c r="D839" s="7" t="str" cm="1">
        <f t="array" aca="1" ref="D839" ca="1">IFERROR(C839 + SUM(Dashboard!J859:J1841)*Query17[Conversion Rate] * SUMPRODUCT((Entries[[Investor Name ]]=Calculations!B839) * (Entries[Deposit Amount]) *(Entries[Time in Fund(Days)]))/SUMPRODUCT(Entries[Deposit Amount],Entries[Time in Fund(Days)])," ")</f>
        <v xml:space="preserve"> </v>
      </c>
    </row>
    <row r="840" spans="2:4" x14ac:dyDescent="0.25">
      <c r="B840" s="6"/>
      <c r="C840" s="2" t="str">
        <f>IF(ISBLANK(Table3[[#This Row],[Investor]])," ",SUMIF(Entries[[Investor Name ]],Calculations!B840,Entries[Deposit Amount]))</f>
        <v xml:space="preserve"> </v>
      </c>
      <c r="D840" s="7" t="str" cm="1">
        <f t="array" aca="1" ref="D840" ca="1">IFERROR(C840 + SUM(Dashboard!J860:J1842)*Query17[Conversion Rate] * SUMPRODUCT((Entries[[Investor Name ]]=Calculations!B840) * (Entries[Deposit Amount]) *(Entries[Time in Fund(Days)]))/SUMPRODUCT(Entries[Deposit Amount],Entries[Time in Fund(Days)])," ")</f>
        <v xml:space="preserve"> </v>
      </c>
    </row>
    <row r="841" spans="2:4" x14ac:dyDescent="0.25">
      <c r="B841" s="6"/>
      <c r="C841" s="2" t="str">
        <f>IF(ISBLANK(Table3[[#This Row],[Investor]])," ",SUMIF(Entries[[Investor Name ]],Calculations!B841,Entries[Deposit Amount]))</f>
        <v xml:space="preserve"> </v>
      </c>
      <c r="D841" s="7" t="str" cm="1">
        <f t="array" aca="1" ref="D841" ca="1">IFERROR(C841 + SUM(Dashboard!J861:J1843)*Query17[Conversion Rate] * SUMPRODUCT((Entries[[Investor Name ]]=Calculations!B841) * (Entries[Deposit Amount]) *(Entries[Time in Fund(Days)]))/SUMPRODUCT(Entries[Deposit Amount],Entries[Time in Fund(Days)])," ")</f>
        <v xml:space="preserve"> </v>
      </c>
    </row>
    <row r="842" spans="2:4" x14ac:dyDescent="0.25">
      <c r="B842" s="6"/>
      <c r="C842" s="2" t="str">
        <f>IF(ISBLANK(Table3[[#This Row],[Investor]])," ",SUMIF(Entries[[Investor Name ]],Calculations!B842,Entries[Deposit Amount]))</f>
        <v xml:space="preserve"> </v>
      </c>
      <c r="D842" s="7" t="str" cm="1">
        <f t="array" aca="1" ref="D842" ca="1">IFERROR(C842 + SUM(Dashboard!J862:J1844)*Query17[Conversion Rate] * SUMPRODUCT((Entries[[Investor Name ]]=Calculations!B842) * (Entries[Deposit Amount]) *(Entries[Time in Fund(Days)]))/SUMPRODUCT(Entries[Deposit Amount],Entries[Time in Fund(Days)])," ")</f>
        <v xml:space="preserve"> </v>
      </c>
    </row>
    <row r="843" spans="2:4" x14ac:dyDescent="0.25">
      <c r="B843" s="6"/>
      <c r="C843" s="2" t="str">
        <f>IF(ISBLANK(Table3[[#This Row],[Investor]])," ",SUMIF(Entries[[Investor Name ]],Calculations!B843,Entries[Deposit Amount]))</f>
        <v xml:space="preserve"> </v>
      </c>
      <c r="D843" s="7" t="str" cm="1">
        <f t="array" aca="1" ref="D843" ca="1">IFERROR(C843 + SUM(Dashboard!J863:J1845)*Query17[Conversion Rate] * SUMPRODUCT((Entries[[Investor Name ]]=Calculations!B843) * (Entries[Deposit Amount]) *(Entries[Time in Fund(Days)]))/SUMPRODUCT(Entries[Deposit Amount],Entries[Time in Fund(Days)])," ")</f>
        <v xml:space="preserve"> </v>
      </c>
    </row>
    <row r="844" spans="2:4" x14ac:dyDescent="0.25">
      <c r="B844" s="6"/>
      <c r="C844" s="2" t="str">
        <f>IF(ISBLANK(Table3[[#This Row],[Investor]])," ",SUMIF(Entries[[Investor Name ]],Calculations!B844,Entries[Deposit Amount]))</f>
        <v xml:space="preserve"> </v>
      </c>
      <c r="D844" s="7" t="str" cm="1">
        <f t="array" aca="1" ref="D844" ca="1">IFERROR(C844 + SUM(Dashboard!J864:J1846)*Query17[Conversion Rate] * SUMPRODUCT((Entries[[Investor Name ]]=Calculations!B844) * (Entries[Deposit Amount]) *(Entries[Time in Fund(Days)]))/SUMPRODUCT(Entries[Deposit Amount],Entries[Time in Fund(Days)])," ")</f>
        <v xml:space="preserve"> </v>
      </c>
    </row>
    <row r="845" spans="2:4" x14ac:dyDescent="0.25">
      <c r="B845" s="6"/>
      <c r="C845" s="2" t="str">
        <f>IF(ISBLANK(Table3[[#This Row],[Investor]])," ",SUMIF(Entries[[Investor Name ]],Calculations!B845,Entries[Deposit Amount]))</f>
        <v xml:space="preserve"> </v>
      </c>
      <c r="D845" s="7" t="str" cm="1">
        <f t="array" aca="1" ref="D845" ca="1">IFERROR(C845 + SUM(Dashboard!J865:J1847)*Query17[Conversion Rate] * SUMPRODUCT((Entries[[Investor Name ]]=Calculations!B845) * (Entries[Deposit Amount]) *(Entries[Time in Fund(Days)]))/SUMPRODUCT(Entries[Deposit Amount],Entries[Time in Fund(Days)])," ")</f>
        <v xml:space="preserve"> </v>
      </c>
    </row>
    <row r="846" spans="2:4" x14ac:dyDescent="0.25">
      <c r="B846" s="6"/>
      <c r="C846" s="2" t="str">
        <f>IF(ISBLANK(Table3[[#This Row],[Investor]])," ",SUMIF(Entries[[Investor Name ]],Calculations!B846,Entries[Deposit Amount]))</f>
        <v xml:space="preserve"> </v>
      </c>
      <c r="D846" s="7" t="str" cm="1">
        <f t="array" aca="1" ref="D846" ca="1">IFERROR(C846 + SUM(Dashboard!J866:J1848)*Query17[Conversion Rate] * SUMPRODUCT((Entries[[Investor Name ]]=Calculations!B846) * (Entries[Deposit Amount]) *(Entries[Time in Fund(Days)]))/SUMPRODUCT(Entries[Deposit Amount],Entries[Time in Fund(Days)])," ")</f>
        <v xml:space="preserve"> </v>
      </c>
    </row>
    <row r="847" spans="2:4" x14ac:dyDescent="0.25">
      <c r="B847" s="6"/>
      <c r="C847" s="2" t="str">
        <f>IF(ISBLANK(Table3[[#This Row],[Investor]])," ",SUMIF(Entries[[Investor Name ]],Calculations!B847,Entries[Deposit Amount]))</f>
        <v xml:space="preserve"> </v>
      </c>
      <c r="D847" s="7" t="str" cm="1">
        <f t="array" aca="1" ref="D847" ca="1">IFERROR(C847 + SUM(Dashboard!J867:J1849)*Query17[Conversion Rate] * SUMPRODUCT((Entries[[Investor Name ]]=Calculations!B847) * (Entries[Deposit Amount]) *(Entries[Time in Fund(Days)]))/SUMPRODUCT(Entries[Deposit Amount],Entries[Time in Fund(Days)])," ")</f>
        <v xml:space="preserve"> </v>
      </c>
    </row>
    <row r="848" spans="2:4" x14ac:dyDescent="0.25">
      <c r="B848" s="6"/>
      <c r="C848" s="2" t="str">
        <f>IF(ISBLANK(Table3[[#This Row],[Investor]])," ",SUMIF(Entries[[Investor Name ]],Calculations!B848,Entries[Deposit Amount]))</f>
        <v xml:space="preserve"> </v>
      </c>
      <c r="D848" s="7" t="str" cm="1">
        <f t="array" aca="1" ref="D848" ca="1">IFERROR(C848 + SUM(Dashboard!J868:J1850)*Query17[Conversion Rate] * SUMPRODUCT((Entries[[Investor Name ]]=Calculations!B848) * (Entries[Deposit Amount]) *(Entries[Time in Fund(Days)]))/SUMPRODUCT(Entries[Deposit Amount],Entries[Time in Fund(Days)])," ")</f>
        <v xml:space="preserve"> </v>
      </c>
    </row>
    <row r="849" spans="2:4" x14ac:dyDescent="0.25">
      <c r="B849" s="6"/>
      <c r="C849" s="2" t="str">
        <f>IF(ISBLANK(Table3[[#This Row],[Investor]])," ",SUMIF(Entries[[Investor Name ]],Calculations!B849,Entries[Deposit Amount]))</f>
        <v xml:space="preserve"> </v>
      </c>
      <c r="D849" s="7" t="str" cm="1">
        <f t="array" aca="1" ref="D849" ca="1">IFERROR(C849 + SUM(Dashboard!J869:J1851)*Query17[Conversion Rate] * SUMPRODUCT((Entries[[Investor Name ]]=Calculations!B849) * (Entries[Deposit Amount]) *(Entries[Time in Fund(Days)]))/SUMPRODUCT(Entries[Deposit Amount],Entries[Time in Fund(Days)])," ")</f>
        <v xml:space="preserve"> </v>
      </c>
    </row>
    <row r="850" spans="2:4" x14ac:dyDescent="0.25">
      <c r="B850" s="6"/>
      <c r="C850" s="2" t="str">
        <f>IF(ISBLANK(Table3[[#This Row],[Investor]])," ",SUMIF(Entries[[Investor Name ]],Calculations!B850,Entries[Deposit Amount]))</f>
        <v xml:space="preserve"> </v>
      </c>
      <c r="D850" s="7" t="str" cm="1">
        <f t="array" aca="1" ref="D850" ca="1">IFERROR(C850 + SUM(Dashboard!J870:J1852)*Query17[Conversion Rate] * SUMPRODUCT((Entries[[Investor Name ]]=Calculations!B850) * (Entries[Deposit Amount]) *(Entries[Time in Fund(Days)]))/SUMPRODUCT(Entries[Deposit Amount],Entries[Time in Fund(Days)])," ")</f>
        <v xml:space="preserve"> </v>
      </c>
    </row>
    <row r="851" spans="2:4" x14ac:dyDescent="0.25">
      <c r="B851" s="6"/>
      <c r="C851" s="2" t="str">
        <f>IF(ISBLANK(Table3[[#This Row],[Investor]])," ",SUMIF(Entries[[Investor Name ]],Calculations!B851,Entries[Deposit Amount]))</f>
        <v xml:space="preserve"> </v>
      </c>
      <c r="D851" s="7" t="str" cm="1">
        <f t="array" aca="1" ref="D851" ca="1">IFERROR(C851 + SUM(Dashboard!J871:J1853)*Query17[Conversion Rate] * SUMPRODUCT((Entries[[Investor Name ]]=Calculations!B851) * (Entries[Deposit Amount]) *(Entries[Time in Fund(Days)]))/SUMPRODUCT(Entries[Deposit Amount],Entries[Time in Fund(Days)])," ")</f>
        <v xml:space="preserve"> </v>
      </c>
    </row>
    <row r="852" spans="2:4" x14ac:dyDescent="0.25">
      <c r="B852" s="6"/>
      <c r="C852" s="2" t="str">
        <f>IF(ISBLANK(Table3[[#This Row],[Investor]])," ",SUMIF(Entries[[Investor Name ]],Calculations!B852,Entries[Deposit Amount]))</f>
        <v xml:space="preserve"> </v>
      </c>
      <c r="D852" s="7" t="str" cm="1">
        <f t="array" aca="1" ref="D852" ca="1">IFERROR(C852 + SUM(Dashboard!J872:J1854)*Query17[Conversion Rate] * SUMPRODUCT((Entries[[Investor Name ]]=Calculations!B852) * (Entries[Deposit Amount]) *(Entries[Time in Fund(Days)]))/SUMPRODUCT(Entries[Deposit Amount],Entries[Time in Fund(Days)])," ")</f>
        <v xml:space="preserve"> </v>
      </c>
    </row>
    <row r="853" spans="2:4" x14ac:dyDescent="0.25">
      <c r="B853" s="6"/>
      <c r="C853" s="2" t="str">
        <f>IF(ISBLANK(Table3[[#This Row],[Investor]])," ",SUMIF(Entries[[Investor Name ]],Calculations!B853,Entries[Deposit Amount]))</f>
        <v xml:space="preserve"> </v>
      </c>
      <c r="D853" s="7" t="str" cm="1">
        <f t="array" aca="1" ref="D853" ca="1">IFERROR(C853 + SUM(Dashboard!J873:J1855)*Query17[Conversion Rate] * SUMPRODUCT((Entries[[Investor Name ]]=Calculations!B853) * (Entries[Deposit Amount]) *(Entries[Time in Fund(Days)]))/SUMPRODUCT(Entries[Deposit Amount],Entries[Time in Fund(Days)])," ")</f>
        <v xml:space="preserve"> </v>
      </c>
    </row>
    <row r="854" spans="2:4" x14ac:dyDescent="0.25">
      <c r="B854" s="6"/>
      <c r="C854" s="2" t="str">
        <f>IF(ISBLANK(Table3[[#This Row],[Investor]])," ",SUMIF(Entries[[Investor Name ]],Calculations!B854,Entries[Deposit Amount]))</f>
        <v xml:space="preserve"> </v>
      </c>
      <c r="D854" s="7" t="str" cm="1">
        <f t="array" aca="1" ref="D854" ca="1">IFERROR(C854 + SUM(Dashboard!J874:J1856)*Query17[Conversion Rate] * SUMPRODUCT((Entries[[Investor Name ]]=Calculations!B854) * (Entries[Deposit Amount]) *(Entries[Time in Fund(Days)]))/SUMPRODUCT(Entries[Deposit Amount],Entries[Time in Fund(Days)])," ")</f>
        <v xml:space="preserve"> </v>
      </c>
    </row>
    <row r="855" spans="2:4" x14ac:dyDescent="0.25">
      <c r="B855" s="6"/>
      <c r="C855" s="2" t="str">
        <f>IF(ISBLANK(Table3[[#This Row],[Investor]])," ",SUMIF(Entries[[Investor Name ]],Calculations!B855,Entries[Deposit Amount]))</f>
        <v xml:space="preserve"> </v>
      </c>
      <c r="D855" s="7" t="str" cm="1">
        <f t="array" aca="1" ref="D855" ca="1">IFERROR(C855 + SUM(Dashboard!J875:J1857)*Query17[Conversion Rate] * SUMPRODUCT((Entries[[Investor Name ]]=Calculations!B855) * (Entries[Deposit Amount]) *(Entries[Time in Fund(Days)]))/SUMPRODUCT(Entries[Deposit Amount],Entries[Time in Fund(Days)])," ")</f>
        <v xml:space="preserve"> </v>
      </c>
    </row>
    <row r="856" spans="2:4" x14ac:dyDescent="0.25">
      <c r="B856" s="6"/>
      <c r="C856" s="2" t="str">
        <f>IF(ISBLANK(Table3[[#This Row],[Investor]])," ",SUMIF(Entries[[Investor Name ]],Calculations!B856,Entries[Deposit Amount]))</f>
        <v xml:space="preserve"> </v>
      </c>
      <c r="D856" s="7" t="str" cm="1">
        <f t="array" aca="1" ref="D856" ca="1">IFERROR(C856 + SUM(Dashboard!J876:J1858)*Query17[Conversion Rate] * SUMPRODUCT((Entries[[Investor Name ]]=Calculations!B856) * (Entries[Deposit Amount]) *(Entries[Time in Fund(Days)]))/SUMPRODUCT(Entries[Deposit Amount],Entries[Time in Fund(Days)])," ")</f>
        <v xml:space="preserve"> </v>
      </c>
    </row>
    <row r="857" spans="2:4" x14ac:dyDescent="0.25">
      <c r="B857" s="6"/>
      <c r="C857" s="2" t="str">
        <f>IF(ISBLANK(Table3[[#This Row],[Investor]])," ",SUMIF(Entries[[Investor Name ]],Calculations!B857,Entries[Deposit Amount]))</f>
        <v xml:space="preserve"> </v>
      </c>
      <c r="D857" s="7" t="str" cm="1">
        <f t="array" aca="1" ref="D857" ca="1">IFERROR(C857 + SUM(Dashboard!J877:J1859)*Query17[Conversion Rate] * SUMPRODUCT((Entries[[Investor Name ]]=Calculations!B857) * (Entries[Deposit Amount]) *(Entries[Time in Fund(Days)]))/SUMPRODUCT(Entries[Deposit Amount],Entries[Time in Fund(Days)])," ")</f>
        <v xml:space="preserve"> </v>
      </c>
    </row>
    <row r="858" spans="2:4" x14ac:dyDescent="0.25">
      <c r="B858" s="6"/>
      <c r="C858" s="2" t="str">
        <f>IF(ISBLANK(Table3[[#This Row],[Investor]])," ",SUMIF(Entries[[Investor Name ]],Calculations!B858,Entries[Deposit Amount]))</f>
        <v xml:space="preserve"> </v>
      </c>
      <c r="D858" s="7" t="str" cm="1">
        <f t="array" aca="1" ref="D858" ca="1">IFERROR(C858 + SUM(Dashboard!J878:J1860)*Query17[Conversion Rate] * SUMPRODUCT((Entries[[Investor Name ]]=Calculations!B858) * (Entries[Deposit Amount]) *(Entries[Time in Fund(Days)]))/SUMPRODUCT(Entries[Deposit Amount],Entries[Time in Fund(Days)])," ")</f>
        <v xml:space="preserve"> </v>
      </c>
    </row>
    <row r="859" spans="2:4" x14ac:dyDescent="0.25">
      <c r="B859" s="6"/>
      <c r="C859" s="2" t="str">
        <f>IF(ISBLANK(Table3[[#This Row],[Investor]])," ",SUMIF(Entries[[Investor Name ]],Calculations!B859,Entries[Deposit Amount]))</f>
        <v xml:space="preserve"> </v>
      </c>
      <c r="D859" s="7" t="str" cm="1">
        <f t="array" aca="1" ref="D859" ca="1">IFERROR(C859 + SUM(Dashboard!J879:J1861)*Query17[Conversion Rate] * SUMPRODUCT((Entries[[Investor Name ]]=Calculations!B859) * (Entries[Deposit Amount]) *(Entries[Time in Fund(Days)]))/SUMPRODUCT(Entries[Deposit Amount],Entries[Time in Fund(Days)])," ")</f>
        <v xml:space="preserve"> </v>
      </c>
    </row>
    <row r="860" spans="2:4" x14ac:dyDescent="0.25">
      <c r="B860" s="6"/>
      <c r="C860" s="2" t="str">
        <f>IF(ISBLANK(Table3[[#This Row],[Investor]])," ",SUMIF(Entries[[Investor Name ]],Calculations!B860,Entries[Deposit Amount]))</f>
        <v xml:space="preserve"> </v>
      </c>
      <c r="D860" s="7" t="str" cm="1">
        <f t="array" aca="1" ref="D860" ca="1">IFERROR(C860 + SUM(Dashboard!J880:J1862)*Query17[Conversion Rate] * SUMPRODUCT((Entries[[Investor Name ]]=Calculations!B860) * (Entries[Deposit Amount]) *(Entries[Time in Fund(Days)]))/SUMPRODUCT(Entries[Deposit Amount],Entries[Time in Fund(Days)])," ")</f>
        <v xml:space="preserve"> </v>
      </c>
    </row>
    <row r="861" spans="2:4" x14ac:dyDescent="0.25">
      <c r="B861" s="6"/>
      <c r="C861" s="2" t="str">
        <f>IF(ISBLANK(Table3[[#This Row],[Investor]])," ",SUMIF(Entries[[Investor Name ]],Calculations!B861,Entries[Deposit Amount]))</f>
        <v xml:space="preserve"> </v>
      </c>
      <c r="D861" s="7" t="str" cm="1">
        <f t="array" aca="1" ref="D861" ca="1">IFERROR(C861 + SUM(Dashboard!J881:J1863)*Query17[Conversion Rate] * SUMPRODUCT((Entries[[Investor Name ]]=Calculations!B861) * (Entries[Deposit Amount]) *(Entries[Time in Fund(Days)]))/SUMPRODUCT(Entries[Deposit Amount],Entries[Time in Fund(Days)])," ")</f>
        <v xml:space="preserve"> </v>
      </c>
    </row>
    <row r="862" spans="2:4" x14ac:dyDescent="0.25">
      <c r="B862" s="6"/>
      <c r="C862" s="2" t="str">
        <f>IF(ISBLANK(Table3[[#This Row],[Investor]])," ",SUMIF(Entries[[Investor Name ]],Calculations!B862,Entries[Deposit Amount]))</f>
        <v xml:space="preserve"> </v>
      </c>
      <c r="D862" s="7" t="str" cm="1">
        <f t="array" aca="1" ref="D862" ca="1">IFERROR(C862 + SUM(Dashboard!J882:J1864)*Query17[Conversion Rate] * SUMPRODUCT((Entries[[Investor Name ]]=Calculations!B862) * (Entries[Deposit Amount]) *(Entries[Time in Fund(Days)]))/SUMPRODUCT(Entries[Deposit Amount],Entries[Time in Fund(Days)])," ")</f>
        <v xml:space="preserve"> </v>
      </c>
    </row>
    <row r="863" spans="2:4" x14ac:dyDescent="0.25">
      <c r="B863" s="6"/>
      <c r="C863" s="2" t="str">
        <f>IF(ISBLANK(Table3[[#This Row],[Investor]])," ",SUMIF(Entries[[Investor Name ]],Calculations!B863,Entries[Deposit Amount]))</f>
        <v xml:space="preserve"> </v>
      </c>
      <c r="D863" s="7" t="str" cm="1">
        <f t="array" aca="1" ref="D863" ca="1">IFERROR(C863 + SUM(Dashboard!J883:J1865)*Query17[Conversion Rate] * SUMPRODUCT((Entries[[Investor Name ]]=Calculations!B863) * (Entries[Deposit Amount]) *(Entries[Time in Fund(Days)]))/SUMPRODUCT(Entries[Deposit Amount],Entries[Time in Fund(Days)])," ")</f>
        <v xml:space="preserve"> </v>
      </c>
    </row>
    <row r="864" spans="2:4" x14ac:dyDescent="0.25">
      <c r="B864" s="6"/>
      <c r="C864" s="2" t="str">
        <f>IF(ISBLANK(Table3[[#This Row],[Investor]])," ",SUMIF(Entries[[Investor Name ]],Calculations!B864,Entries[Deposit Amount]))</f>
        <v xml:space="preserve"> </v>
      </c>
      <c r="D864" s="7" t="str" cm="1">
        <f t="array" aca="1" ref="D864" ca="1">IFERROR(C864 + SUM(Dashboard!J884:J1866)*Query17[Conversion Rate] * SUMPRODUCT((Entries[[Investor Name ]]=Calculations!B864) * (Entries[Deposit Amount]) *(Entries[Time in Fund(Days)]))/SUMPRODUCT(Entries[Deposit Amount],Entries[Time in Fund(Days)])," ")</f>
        <v xml:space="preserve"> </v>
      </c>
    </row>
    <row r="865" spans="2:4" x14ac:dyDescent="0.25">
      <c r="B865" s="6"/>
      <c r="C865" s="2" t="str">
        <f>IF(ISBLANK(Table3[[#This Row],[Investor]])," ",SUMIF(Entries[[Investor Name ]],Calculations!B865,Entries[Deposit Amount]))</f>
        <v xml:space="preserve"> </v>
      </c>
      <c r="D865" s="7" t="str" cm="1">
        <f t="array" aca="1" ref="D865" ca="1">IFERROR(C865 + SUM(Dashboard!J885:J1867)*Query17[Conversion Rate] * SUMPRODUCT((Entries[[Investor Name ]]=Calculations!B865) * (Entries[Deposit Amount]) *(Entries[Time in Fund(Days)]))/SUMPRODUCT(Entries[Deposit Amount],Entries[Time in Fund(Days)])," ")</f>
        <v xml:space="preserve"> </v>
      </c>
    </row>
    <row r="866" spans="2:4" x14ac:dyDescent="0.25">
      <c r="B866" s="6"/>
      <c r="C866" s="2" t="str">
        <f>IF(ISBLANK(Table3[[#This Row],[Investor]])," ",SUMIF(Entries[[Investor Name ]],Calculations!B866,Entries[Deposit Amount]))</f>
        <v xml:space="preserve"> </v>
      </c>
      <c r="D866" s="7" t="str" cm="1">
        <f t="array" aca="1" ref="D866" ca="1">IFERROR(C866 + SUM(Dashboard!J886:J1868)*Query17[Conversion Rate] * SUMPRODUCT((Entries[[Investor Name ]]=Calculations!B866) * (Entries[Deposit Amount]) *(Entries[Time in Fund(Days)]))/SUMPRODUCT(Entries[Deposit Amount],Entries[Time in Fund(Days)])," ")</f>
        <v xml:space="preserve"> </v>
      </c>
    </row>
    <row r="867" spans="2:4" x14ac:dyDescent="0.25">
      <c r="B867" s="6"/>
      <c r="C867" s="2" t="str">
        <f>IF(ISBLANK(Table3[[#This Row],[Investor]])," ",SUMIF(Entries[[Investor Name ]],Calculations!B867,Entries[Deposit Amount]))</f>
        <v xml:space="preserve"> </v>
      </c>
      <c r="D867" s="7" t="str" cm="1">
        <f t="array" aca="1" ref="D867" ca="1">IFERROR(C867 + SUM(Dashboard!J887:J1869)*Query17[Conversion Rate] * SUMPRODUCT((Entries[[Investor Name ]]=Calculations!B867) * (Entries[Deposit Amount]) *(Entries[Time in Fund(Days)]))/SUMPRODUCT(Entries[Deposit Amount],Entries[Time in Fund(Days)])," ")</f>
        <v xml:space="preserve"> </v>
      </c>
    </row>
    <row r="868" spans="2:4" x14ac:dyDescent="0.25">
      <c r="B868" s="6"/>
      <c r="C868" s="2" t="str">
        <f>IF(ISBLANK(Table3[[#This Row],[Investor]])," ",SUMIF(Entries[[Investor Name ]],Calculations!B868,Entries[Deposit Amount]))</f>
        <v xml:space="preserve"> </v>
      </c>
      <c r="D868" s="7" t="str" cm="1">
        <f t="array" aca="1" ref="D868" ca="1">IFERROR(C868 + SUM(Dashboard!J888:J1870)*Query17[Conversion Rate] * SUMPRODUCT((Entries[[Investor Name ]]=Calculations!B868) * (Entries[Deposit Amount]) *(Entries[Time in Fund(Days)]))/SUMPRODUCT(Entries[Deposit Amount],Entries[Time in Fund(Days)])," ")</f>
        <v xml:space="preserve"> </v>
      </c>
    </row>
    <row r="869" spans="2:4" x14ac:dyDescent="0.25">
      <c r="B869" s="6"/>
      <c r="C869" s="2" t="str">
        <f>IF(ISBLANK(Table3[[#This Row],[Investor]])," ",SUMIF(Entries[[Investor Name ]],Calculations!B869,Entries[Deposit Amount]))</f>
        <v xml:space="preserve"> </v>
      </c>
      <c r="D869" s="7" t="str" cm="1">
        <f t="array" aca="1" ref="D869" ca="1">IFERROR(C869 + SUM(Dashboard!J889:J1871)*Query17[Conversion Rate] * SUMPRODUCT((Entries[[Investor Name ]]=Calculations!B869) * (Entries[Deposit Amount]) *(Entries[Time in Fund(Days)]))/SUMPRODUCT(Entries[Deposit Amount],Entries[Time in Fund(Days)])," ")</f>
        <v xml:space="preserve"> </v>
      </c>
    </row>
    <row r="870" spans="2:4" x14ac:dyDescent="0.25">
      <c r="B870" s="6"/>
      <c r="C870" s="2" t="str">
        <f>IF(ISBLANK(Table3[[#This Row],[Investor]])," ",SUMIF(Entries[[Investor Name ]],Calculations!B870,Entries[Deposit Amount]))</f>
        <v xml:space="preserve"> </v>
      </c>
      <c r="D870" s="7" t="str" cm="1">
        <f t="array" aca="1" ref="D870" ca="1">IFERROR(C870 + SUM(Dashboard!J890:J1872)*Query17[Conversion Rate] * SUMPRODUCT((Entries[[Investor Name ]]=Calculations!B870) * (Entries[Deposit Amount]) *(Entries[Time in Fund(Days)]))/SUMPRODUCT(Entries[Deposit Amount],Entries[Time in Fund(Days)])," ")</f>
        <v xml:space="preserve"> </v>
      </c>
    </row>
    <row r="871" spans="2:4" x14ac:dyDescent="0.25">
      <c r="B871" s="6"/>
      <c r="C871" s="2" t="str">
        <f>IF(ISBLANK(Table3[[#This Row],[Investor]])," ",SUMIF(Entries[[Investor Name ]],Calculations!B871,Entries[Deposit Amount]))</f>
        <v xml:space="preserve"> </v>
      </c>
      <c r="D871" s="7" t="str" cm="1">
        <f t="array" aca="1" ref="D871" ca="1">IFERROR(C871 + SUM(Dashboard!J891:J1873)*Query17[Conversion Rate] * SUMPRODUCT((Entries[[Investor Name ]]=Calculations!B871) * (Entries[Deposit Amount]) *(Entries[Time in Fund(Days)]))/SUMPRODUCT(Entries[Deposit Amount],Entries[Time in Fund(Days)])," ")</f>
        <v xml:space="preserve"> </v>
      </c>
    </row>
    <row r="872" spans="2:4" x14ac:dyDescent="0.25">
      <c r="B872" s="6"/>
      <c r="C872" s="2" t="str">
        <f>IF(ISBLANK(Table3[[#This Row],[Investor]])," ",SUMIF(Entries[[Investor Name ]],Calculations!B872,Entries[Deposit Amount]))</f>
        <v xml:space="preserve"> </v>
      </c>
      <c r="D872" s="7" t="str" cm="1">
        <f t="array" aca="1" ref="D872" ca="1">IFERROR(C872 + SUM(Dashboard!J892:J1874)*Query17[Conversion Rate] * SUMPRODUCT((Entries[[Investor Name ]]=Calculations!B872) * (Entries[Deposit Amount]) *(Entries[Time in Fund(Days)]))/SUMPRODUCT(Entries[Deposit Amount],Entries[Time in Fund(Days)])," ")</f>
        <v xml:space="preserve"> </v>
      </c>
    </row>
    <row r="873" spans="2:4" x14ac:dyDescent="0.25">
      <c r="B873" s="6"/>
      <c r="C873" s="2" t="str">
        <f>IF(ISBLANK(Table3[[#This Row],[Investor]])," ",SUMIF(Entries[[Investor Name ]],Calculations!B873,Entries[Deposit Amount]))</f>
        <v xml:space="preserve"> </v>
      </c>
      <c r="D873" s="7" t="str" cm="1">
        <f t="array" aca="1" ref="D873" ca="1">IFERROR(C873 + SUM(Dashboard!J893:J1875)*Query17[Conversion Rate] * SUMPRODUCT((Entries[[Investor Name ]]=Calculations!B873) * (Entries[Deposit Amount]) *(Entries[Time in Fund(Days)]))/SUMPRODUCT(Entries[Deposit Amount],Entries[Time in Fund(Days)])," ")</f>
        <v xml:space="preserve"> </v>
      </c>
    </row>
    <row r="874" spans="2:4" x14ac:dyDescent="0.25">
      <c r="B874" s="6"/>
      <c r="C874" s="2" t="str">
        <f>IF(ISBLANK(Table3[[#This Row],[Investor]])," ",SUMIF(Entries[[Investor Name ]],Calculations!B874,Entries[Deposit Amount]))</f>
        <v xml:space="preserve"> </v>
      </c>
      <c r="D874" s="7" t="str" cm="1">
        <f t="array" aca="1" ref="D874" ca="1">IFERROR(C874 + SUM(Dashboard!J894:J1876)*Query17[Conversion Rate] * SUMPRODUCT((Entries[[Investor Name ]]=Calculations!B874) * (Entries[Deposit Amount]) *(Entries[Time in Fund(Days)]))/SUMPRODUCT(Entries[Deposit Amount],Entries[Time in Fund(Days)])," ")</f>
        <v xml:space="preserve"> </v>
      </c>
    </row>
    <row r="875" spans="2:4" x14ac:dyDescent="0.25">
      <c r="B875" s="6"/>
      <c r="C875" s="2" t="str">
        <f>IF(ISBLANK(Table3[[#This Row],[Investor]])," ",SUMIF(Entries[[Investor Name ]],Calculations!B875,Entries[Deposit Amount]))</f>
        <v xml:space="preserve"> </v>
      </c>
      <c r="D875" s="7" t="str" cm="1">
        <f t="array" aca="1" ref="D875" ca="1">IFERROR(C875 + SUM(Dashboard!J895:J1877)*Query17[Conversion Rate] * SUMPRODUCT((Entries[[Investor Name ]]=Calculations!B875) * (Entries[Deposit Amount]) *(Entries[Time in Fund(Days)]))/SUMPRODUCT(Entries[Deposit Amount],Entries[Time in Fund(Days)])," ")</f>
        <v xml:space="preserve"> </v>
      </c>
    </row>
    <row r="876" spans="2:4" x14ac:dyDescent="0.25">
      <c r="B876" s="6"/>
      <c r="C876" s="2" t="str">
        <f>IF(ISBLANK(Table3[[#This Row],[Investor]])," ",SUMIF(Entries[[Investor Name ]],Calculations!B876,Entries[Deposit Amount]))</f>
        <v xml:space="preserve"> </v>
      </c>
      <c r="D876" s="7" t="str" cm="1">
        <f t="array" aca="1" ref="D876" ca="1">IFERROR(C876 + SUM(Dashboard!J896:J1878)*Query17[Conversion Rate] * SUMPRODUCT((Entries[[Investor Name ]]=Calculations!B876) * (Entries[Deposit Amount]) *(Entries[Time in Fund(Days)]))/SUMPRODUCT(Entries[Deposit Amount],Entries[Time in Fund(Days)])," ")</f>
        <v xml:space="preserve"> </v>
      </c>
    </row>
    <row r="877" spans="2:4" x14ac:dyDescent="0.25">
      <c r="B877" s="6"/>
      <c r="C877" s="2" t="str">
        <f>IF(ISBLANK(Table3[[#This Row],[Investor]])," ",SUMIF(Entries[[Investor Name ]],Calculations!B877,Entries[Deposit Amount]))</f>
        <v xml:space="preserve"> </v>
      </c>
      <c r="D877" s="7" t="str" cm="1">
        <f t="array" aca="1" ref="D877" ca="1">IFERROR(C877 + SUM(Dashboard!J897:J1879)*Query17[Conversion Rate] * SUMPRODUCT((Entries[[Investor Name ]]=Calculations!B877) * (Entries[Deposit Amount]) *(Entries[Time in Fund(Days)]))/SUMPRODUCT(Entries[Deposit Amount],Entries[Time in Fund(Days)])," ")</f>
        <v xml:space="preserve"> </v>
      </c>
    </row>
    <row r="878" spans="2:4" x14ac:dyDescent="0.25">
      <c r="B878" s="6"/>
      <c r="C878" s="2" t="str">
        <f>IF(ISBLANK(Table3[[#This Row],[Investor]])," ",SUMIF(Entries[[Investor Name ]],Calculations!B878,Entries[Deposit Amount]))</f>
        <v xml:space="preserve"> </v>
      </c>
      <c r="D878" s="7" t="str" cm="1">
        <f t="array" aca="1" ref="D878" ca="1">IFERROR(C878 + SUM(Dashboard!J898:J1880)*Query17[Conversion Rate] * SUMPRODUCT((Entries[[Investor Name ]]=Calculations!B878) * (Entries[Deposit Amount]) *(Entries[Time in Fund(Days)]))/SUMPRODUCT(Entries[Deposit Amount],Entries[Time in Fund(Days)])," ")</f>
        <v xml:space="preserve"> </v>
      </c>
    </row>
    <row r="879" spans="2:4" x14ac:dyDescent="0.25">
      <c r="B879" s="6"/>
      <c r="C879" s="2" t="str">
        <f>IF(ISBLANK(Table3[[#This Row],[Investor]])," ",SUMIF(Entries[[Investor Name ]],Calculations!B879,Entries[Deposit Amount]))</f>
        <v xml:space="preserve"> </v>
      </c>
      <c r="D879" s="7" t="str" cm="1">
        <f t="array" aca="1" ref="D879" ca="1">IFERROR(C879 + SUM(Dashboard!J899:J1881)*Query17[Conversion Rate] * SUMPRODUCT((Entries[[Investor Name ]]=Calculations!B879) * (Entries[Deposit Amount]) *(Entries[Time in Fund(Days)]))/SUMPRODUCT(Entries[Deposit Amount],Entries[Time in Fund(Days)])," ")</f>
        <v xml:space="preserve"> </v>
      </c>
    </row>
    <row r="880" spans="2:4" x14ac:dyDescent="0.25">
      <c r="B880" s="6"/>
      <c r="C880" s="2" t="str">
        <f>IF(ISBLANK(Table3[[#This Row],[Investor]])," ",SUMIF(Entries[[Investor Name ]],Calculations!B880,Entries[Deposit Amount]))</f>
        <v xml:space="preserve"> </v>
      </c>
      <c r="D880" s="7" t="str" cm="1">
        <f t="array" aca="1" ref="D880" ca="1">IFERROR(C880 + SUM(Dashboard!J900:J1882)*Query17[Conversion Rate] * SUMPRODUCT((Entries[[Investor Name ]]=Calculations!B880) * (Entries[Deposit Amount]) *(Entries[Time in Fund(Days)]))/SUMPRODUCT(Entries[Deposit Amount],Entries[Time in Fund(Days)])," ")</f>
        <v xml:space="preserve"> </v>
      </c>
    </row>
    <row r="881" spans="2:4" x14ac:dyDescent="0.25">
      <c r="B881" s="6"/>
      <c r="C881" s="2" t="str">
        <f>IF(ISBLANK(Table3[[#This Row],[Investor]])," ",SUMIF(Entries[[Investor Name ]],Calculations!B881,Entries[Deposit Amount]))</f>
        <v xml:space="preserve"> </v>
      </c>
      <c r="D881" s="7" t="str" cm="1">
        <f t="array" aca="1" ref="D881" ca="1">IFERROR(C881 + SUM(Dashboard!J901:J1883)*Query17[Conversion Rate] * SUMPRODUCT((Entries[[Investor Name ]]=Calculations!B881) * (Entries[Deposit Amount]) *(Entries[Time in Fund(Days)]))/SUMPRODUCT(Entries[Deposit Amount],Entries[Time in Fund(Days)])," ")</f>
        <v xml:space="preserve"> </v>
      </c>
    </row>
    <row r="882" spans="2:4" x14ac:dyDescent="0.25">
      <c r="B882" s="6"/>
      <c r="C882" s="2" t="str">
        <f>IF(ISBLANK(Table3[[#This Row],[Investor]])," ",SUMIF(Entries[[Investor Name ]],Calculations!B882,Entries[Deposit Amount]))</f>
        <v xml:space="preserve"> </v>
      </c>
      <c r="D882" s="7" t="str" cm="1">
        <f t="array" aca="1" ref="D882" ca="1">IFERROR(C882 + SUM(Dashboard!J902:J1884)*Query17[Conversion Rate] * SUMPRODUCT((Entries[[Investor Name ]]=Calculations!B882) * (Entries[Deposit Amount]) *(Entries[Time in Fund(Days)]))/SUMPRODUCT(Entries[Deposit Amount],Entries[Time in Fund(Days)])," ")</f>
        <v xml:space="preserve"> </v>
      </c>
    </row>
    <row r="883" spans="2:4" x14ac:dyDescent="0.25">
      <c r="B883" s="6"/>
      <c r="C883" s="2" t="str">
        <f>IF(ISBLANK(Table3[[#This Row],[Investor]])," ",SUMIF(Entries[[Investor Name ]],Calculations!B883,Entries[Deposit Amount]))</f>
        <v xml:space="preserve"> </v>
      </c>
      <c r="D883" s="7" t="str" cm="1">
        <f t="array" aca="1" ref="D883" ca="1">IFERROR(C883 + SUM(Dashboard!J903:J1885)*Query17[Conversion Rate] * SUMPRODUCT((Entries[[Investor Name ]]=Calculations!B883) * (Entries[Deposit Amount]) *(Entries[Time in Fund(Days)]))/SUMPRODUCT(Entries[Deposit Amount],Entries[Time in Fund(Days)])," ")</f>
        <v xml:space="preserve"> </v>
      </c>
    </row>
    <row r="884" spans="2:4" x14ac:dyDescent="0.25">
      <c r="B884" s="6"/>
      <c r="C884" s="2" t="str">
        <f>IF(ISBLANK(Table3[[#This Row],[Investor]])," ",SUMIF(Entries[[Investor Name ]],Calculations!B884,Entries[Deposit Amount]))</f>
        <v xml:space="preserve"> </v>
      </c>
      <c r="D884" s="7" t="str" cm="1">
        <f t="array" aca="1" ref="D884" ca="1">IFERROR(C884 + SUM(Dashboard!J904:J1886)*Query17[Conversion Rate] * SUMPRODUCT((Entries[[Investor Name ]]=Calculations!B884) * (Entries[Deposit Amount]) *(Entries[Time in Fund(Days)]))/SUMPRODUCT(Entries[Deposit Amount],Entries[Time in Fund(Days)])," ")</f>
        <v xml:space="preserve"> </v>
      </c>
    </row>
    <row r="885" spans="2:4" x14ac:dyDescent="0.25">
      <c r="B885" s="6"/>
      <c r="C885" s="2" t="str">
        <f>IF(ISBLANK(Table3[[#This Row],[Investor]])," ",SUMIF(Entries[[Investor Name ]],Calculations!B885,Entries[Deposit Amount]))</f>
        <v xml:space="preserve"> </v>
      </c>
      <c r="D885" s="7" t="str" cm="1">
        <f t="array" aca="1" ref="D885" ca="1">IFERROR(C885 + SUM(Dashboard!J905:J1887)*Query17[Conversion Rate] * SUMPRODUCT((Entries[[Investor Name ]]=Calculations!B885) * (Entries[Deposit Amount]) *(Entries[Time in Fund(Days)]))/SUMPRODUCT(Entries[Deposit Amount],Entries[Time in Fund(Days)])," ")</f>
        <v xml:space="preserve"> </v>
      </c>
    </row>
    <row r="886" spans="2:4" x14ac:dyDescent="0.25">
      <c r="B886" s="6"/>
      <c r="C886" s="2" t="str">
        <f>IF(ISBLANK(Table3[[#This Row],[Investor]])," ",SUMIF(Entries[[Investor Name ]],Calculations!B886,Entries[Deposit Amount]))</f>
        <v xml:space="preserve"> </v>
      </c>
      <c r="D886" s="7" t="str" cm="1">
        <f t="array" aca="1" ref="D886" ca="1">IFERROR(C886 + SUM(Dashboard!J906:J1888)*Query17[Conversion Rate] * SUMPRODUCT((Entries[[Investor Name ]]=Calculations!B886) * (Entries[Deposit Amount]) *(Entries[Time in Fund(Days)]))/SUMPRODUCT(Entries[Deposit Amount],Entries[Time in Fund(Days)])," ")</f>
        <v xml:space="preserve"> </v>
      </c>
    </row>
    <row r="887" spans="2:4" x14ac:dyDescent="0.25">
      <c r="B887" s="6"/>
      <c r="C887" s="2" t="str">
        <f>IF(ISBLANK(Table3[[#This Row],[Investor]])," ",SUMIF(Entries[[Investor Name ]],Calculations!B887,Entries[Deposit Amount]))</f>
        <v xml:space="preserve"> </v>
      </c>
      <c r="D887" s="7" t="str" cm="1">
        <f t="array" aca="1" ref="D887" ca="1">IFERROR(C887 + SUM(Dashboard!J907:J1889)*Query17[Conversion Rate] * SUMPRODUCT((Entries[[Investor Name ]]=Calculations!B887) * (Entries[Deposit Amount]) *(Entries[Time in Fund(Days)]))/SUMPRODUCT(Entries[Deposit Amount],Entries[Time in Fund(Days)])," ")</f>
        <v xml:space="preserve"> </v>
      </c>
    </row>
    <row r="888" spans="2:4" x14ac:dyDescent="0.25">
      <c r="B888" s="6"/>
      <c r="C888" s="2" t="str">
        <f>IF(ISBLANK(Table3[[#This Row],[Investor]])," ",SUMIF(Entries[[Investor Name ]],Calculations!B888,Entries[Deposit Amount]))</f>
        <v xml:space="preserve"> </v>
      </c>
      <c r="D888" s="7" t="str" cm="1">
        <f t="array" aca="1" ref="D888" ca="1">IFERROR(C888 + SUM(Dashboard!J908:J1890)*Query17[Conversion Rate] * SUMPRODUCT((Entries[[Investor Name ]]=Calculations!B888) * (Entries[Deposit Amount]) *(Entries[Time in Fund(Days)]))/SUMPRODUCT(Entries[Deposit Amount],Entries[Time in Fund(Days)])," ")</f>
        <v xml:space="preserve"> </v>
      </c>
    </row>
    <row r="889" spans="2:4" x14ac:dyDescent="0.25">
      <c r="B889" s="6"/>
      <c r="C889" s="2" t="str">
        <f>IF(ISBLANK(Table3[[#This Row],[Investor]])," ",SUMIF(Entries[[Investor Name ]],Calculations!B889,Entries[Deposit Amount]))</f>
        <v xml:space="preserve"> </v>
      </c>
      <c r="D889" s="7" t="str" cm="1">
        <f t="array" aca="1" ref="D889" ca="1">IFERROR(C889 + SUM(Dashboard!J909:J1891)*Query17[Conversion Rate] * SUMPRODUCT((Entries[[Investor Name ]]=Calculations!B889) * (Entries[Deposit Amount]) *(Entries[Time in Fund(Days)]))/SUMPRODUCT(Entries[Deposit Amount],Entries[Time in Fund(Days)])," ")</f>
        <v xml:space="preserve"> </v>
      </c>
    </row>
    <row r="890" spans="2:4" x14ac:dyDescent="0.25">
      <c r="B890" s="6"/>
      <c r="C890" s="2" t="str">
        <f>IF(ISBLANK(Table3[[#This Row],[Investor]])," ",SUMIF(Entries[[Investor Name ]],Calculations!B890,Entries[Deposit Amount]))</f>
        <v xml:space="preserve"> </v>
      </c>
      <c r="D890" s="7" t="str" cm="1">
        <f t="array" aca="1" ref="D890" ca="1">IFERROR(C890 + SUM(Dashboard!J910:J1892)*Query17[Conversion Rate] * SUMPRODUCT((Entries[[Investor Name ]]=Calculations!B890) * (Entries[Deposit Amount]) *(Entries[Time in Fund(Days)]))/SUMPRODUCT(Entries[Deposit Amount],Entries[Time in Fund(Days)])," ")</f>
        <v xml:space="preserve"> </v>
      </c>
    </row>
    <row r="891" spans="2:4" x14ac:dyDescent="0.25">
      <c r="B891" s="6"/>
      <c r="C891" s="2" t="str">
        <f>IF(ISBLANK(Table3[[#This Row],[Investor]])," ",SUMIF(Entries[[Investor Name ]],Calculations!B891,Entries[Deposit Amount]))</f>
        <v xml:space="preserve"> </v>
      </c>
      <c r="D891" s="7" t="str" cm="1">
        <f t="array" aca="1" ref="D891" ca="1">IFERROR(C891 + SUM(Dashboard!J911:J1893)*Query17[Conversion Rate] * SUMPRODUCT((Entries[[Investor Name ]]=Calculations!B891) * (Entries[Deposit Amount]) *(Entries[Time in Fund(Days)]))/SUMPRODUCT(Entries[Deposit Amount],Entries[Time in Fund(Days)])," ")</f>
        <v xml:space="preserve"> </v>
      </c>
    </row>
    <row r="892" spans="2:4" x14ac:dyDescent="0.25">
      <c r="B892" s="6"/>
      <c r="C892" s="2" t="str">
        <f>IF(ISBLANK(Table3[[#This Row],[Investor]])," ",SUMIF(Entries[[Investor Name ]],Calculations!B892,Entries[Deposit Amount]))</f>
        <v xml:space="preserve"> </v>
      </c>
      <c r="D892" s="7" t="str" cm="1">
        <f t="array" aca="1" ref="D892" ca="1">IFERROR(C892 + SUM(Dashboard!J912:J1894)*Query17[Conversion Rate] * SUMPRODUCT((Entries[[Investor Name ]]=Calculations!B892) * (Entries[Deposit Amount]) *(Entries[Time in Fund(Days)]))/SUMPRODUCT(Entries[Deposit Amount],Entries[Time in Fund(Days)])," ")</f>
        <v xml:space="preserve"> </v>
      </c>
    </row>
    <row r="893" spans="2:4" x14ac:dyDescent="0.25">
      <c r="B893" s="6"/>
      <c r="C893" s="2" t="str">
        <f>IF(ISBLANK(Table3[[#This Row],[Investor]])," ",SUMIF(Entries[[Investor Name ]],Calculations!B893,Entries[Deposit Amount]))</f>
        <v xml:space="preserve"> </v>
      </c>
      <c r="D893" s="7" t="str" cm="1">
        <f t="array" aca="1" ref="D893" ca="1">IFERROR(C893 + SUM(Dashboard!J913:J1895)*Query17[Conversion Rate] * SUMPRODUCT((Entries[[Investor Name ]]=Calculations!B893) * (Entries[Deposit Amount]) *(Entries[Time in Fund(Days)]))/SUMPRODUCT(Entries[Deposit Amount],Entries[Time in Fund(Days)])," ")</f>
        <v xml:space="preserve"> </v>
      </c>
    </row>
    <row r="894" spans="2:4" x14ac:dyDescent="0.25">
      <c r="B894" s="6"/>
      <c r="C894" s="2" t="str">
        <f>IF(ISBLANK(Table3[[#This Row],[Investor]])," ",SUMIF(Entries[[Investor Name ]],Calculations!B894,Entries[Deposit Amount]))</f>
        <v xml:space="preserve"> </v>
      </c>
      <c r="D894" s="7" t="str" cm="1">
        <f t="array" aca="1" ref="D894" ca="1">IFERROR(C894 + SUM(Dashboard!J914:J1896)*Query17[Conversion Rate] * SUMPRODUCT((Entries[[Investor Name ]]=Calculations!B894) * (Entries[Deposit Amount]) *(Entries[Time in Fund(Days)]))/SUMPRODUCT(Entries[Deposit Amount],Entries[Time in Fund(Days)])," ")</f>
        <v xml:space="preserve"> </v>
      </c>
    </row>
    <row r="895" spans="2:4" x14ac:dyDescent="0.25">
      <c r="B895" s="6"/>
      <c r="C895" s="2" t="str">
        <f>IF(ISBLANK(Table3[[#This Row],[Investor]])," ",SUMIF(Entries[[Investor Name ]],Calculations!B895,Entries[Deposit Amount]))</f>
        <v xml:space="preserve"> </v>
      </c>
      <c r="D895" s="7" t="str" cm="1">
        <f t="array" aca="1" ref="D895" ca="1">IFERROR(C895 + SUM(Dashboard!J915:J1897)*Query17[Conversion Rate] * SUMPRODUCT((Entries[[Investor Name ]]=Calculations!B895) * (Entries[Deposit Amount]) *(Entries[Time in Fund(Days)]))/SUMPRODUCT(Entries[Deposit Amount],Entries[Time in Fund(Days)])," ")</f>
        <v xml:space="preserve"> </v>
      </c>
    </row>
    <row r="896" spans="2:4" x14ac:dyDescent="0.25">
      <c r="B896" s="6"/>
      <c r="C896" s="2" t="str">
        <f>IF(ISBLANK(Table3[[#This Row],[Investor]])," ",SUMIF(Entries[[Investor Name ]],Calculations!B896,Entries[Deposit Amount]))</f>
        <v xml:space="preserve"> </v>
      </c>
      <c r="D896" s="7" t="str" cm="1">
        <f t="array" aca="1" ref="D896" ca="1">IFERROR(C896 + SUM(Dashboard!J916:J1898)*Query17[Conversion Rate] * SUMPRODUCT((Entries[[Investor Name ]]=Calculations!B896) * (Entries[Deposit Amount]) *(Entries[Time in Fund(Days)]))/SUMPRODUCT(Entries[Deposit Amount],Entries[Time in Fund(Days)])," ")</f>
        <v xml:space="preserve"> </v>
      </c>
    </row>
    <row r="897" spans="2:4" x14ac:dyDescent="0.25">
      <c r="B897" s="6"/>
      <c r="C897" s="2" t="str">
        <f>IF(ISBLANK(Table3[[#This Row],[Investor]])," ",SUMIF(Entries[[Investor Name ]],Calculations!B897,Entries[Deposit Amount]))</f>
        <v xml:space="preserve"> </v>
      </c>
      <c r="D897" s="7" t="str" cm="1">
        <f t="array" aca="1" ref="D897" ca="1">IFERROR(C897 + SUM(Dashboard!J917:J1899)*Query17[Conversion Rate] * SUMPRODUCT((Entries[[Investor Name ]]=Calculations!B897) * (Entries[Deposit Amount]) *(Entries[Time in Fund(Days)]))/SUMPRODUCT(Entries[Deposit Amount],Entries[Time in Fund(Days)])," ")</f>
        <v xml:space="preserve"> </v>
      </c>
    </row>
    <row r="898" spans="2:4" x14ac:dyDescent="0.25">
      <c r="B898" s="6"/>
      <c r="C898" s="2" t="str">
        <f>IF(ISBLANK(Table3[[#This Row],[Investor]])," ",SUMIF(Entries[[Investor Name ]],Calculations!B898,Entries[Deposit Amount]))</f>
        <v xml:space="preserve"> </v>
      </c>
      <c r="D898" s="7" t="str" cm="1">
        <f t="array" aca="1" ref="D898" ca="1">IFERROR(C898 + SUM(Dashboard!J918:J1900)*Query17[Conversion Rate] * SUMPRODUCT((Entries[[Investor Name ]]=Calculations!B898) * (Entries[Deposit Amount]) *(Entries[Time in Fund(Days)]))/SUMPRODUCT(Entries[Deposit Amount],Entries[Time in Fund(Days)])," ")</f>
        <v xml:space="preserve"> </v>
      </c>
    </row>
    <row r="899" spans="2:4" x14ac:dyDescent="0.25">
      <c r="B899" s="6"/>
      <c r="C899" s="2" t="str">
        <f>IF(ISBLANK(Table3[[#This Row],[Investor]])," ",SUMIF(Entries[[Investor Name ]],Calculations!B899,Entries[Deposit Amount]))</f>
        <v xml:space="preserve"> </v>
      </c>
      <c r="D899" s="7" t="str" cm="1">
        <f t="array" aca="1" ref="D899" ca="1">IFERROR(C899 + SUM(Dashboard!J919:J1901)*Query17[Conversion Rate] * SUMPRODUCT((Entries[[Investor Name ]]=Calculations!B899) * (Entries[Deposit Amount]) *(Entries[Time in Fund(Days)]))/SUMPRODUCT(Entries[Deposit Amount],Entries[Time in Fund(Days)])," ")</f>
        <v xml:space="preserve"> </v>
      </c>
    </row>
    <row r="900" spans="2:4" x14ac:dyDescent="0.25">
      <c r="B900" s="6"/>
      <c r="C900" s="2" t="str">
        <f>IF(ISBLANK(Table3[[#This Row],[Investor]])," ",SUMIF(Entries[[Investor Name ]],Calculations!B900,Entries[Deposit Amount]))</f>
        <v xml:space="preserve"> </v>
      </c>
      <c r="D900" s="7" t="str" cm="1">
        <f t="array" aca="1" ref="D900" ca="1">IFERROR(C900 + SUM(Dashboard!J920:J1902)*Query17[Conversion Rate] * SUMPRODUCT((Entries[[Investor Name ]]=Calculations!B900) * (Entries[Deposit Amount]) *(Entries[Time in Fund(Days)]))/SUMPRODUCT(Entries[Deposit Amount],Entries[Time in Fund(Days)])," ")</f>
        <v xml:space="preserve"> </v>
      </c>
    </row>
    <row r="901" spans="2:4" x14ac:dyDescent="0.25">
      <c r="B901" s="6"/>
      <c r="C901" s="2" t="str">
        <f>IF(ISBLANK(Table3[[#This Row],[Investor]])," ",SUMIF(Entries[[Investor Name ]],Calculations!B901,Entries[Deposit Amount]))</f>
        <v xml:space="preserve"> </v>
      </c>
      <c r="D901" s="7" t="str" cm="1">
        <f t="array" aca="1" ref="D901" ca="1">IFERROR(C901 + SUM(Dashboard!J921:J1903)*Query17[Conversion Rate] * SUMPRODUCT((Entries[[Investor Name ]]=Calculations!B901) * (Entries[Deposit Amount]) *(Entries[Time in Fund(Days)]))/SUMPRODUCT(Entries[Deposit Amount],Entries[Time in Fund(Days)])," ")</f>
        <v xml:space="preserve"> </v>
      </c>
    </row>
    <row r="902" spans="2:4" x14ac:dyDescent="0.25">
      <c r="B902" s="6"/>
      <c r="C902" s="2" t="str">
        <f>IF(ISBLANK(Table3[[#This Row],[Investor]])," ",SUMIF(Entries[[Investor Name ]],Calculations!B902,Entries[Deposit Amount]))</f>
        <v xml:space="preserve"> </v>
      </c>
      <c r="D902" s="7" t="str" cm="1">
        <f t="array" aca="1" ref="D902" ca="1">IFERROR(C902 + SUM(Dashboard!J922:J1904)*Query17[Conversion Rate] * SUMPRODUCT((Entries[[Investor Name ]]=Calculations!B902) * (Entries[Deposit Amount]) *(Entries[Time in Fund(Days)]))/SUMPRODUCT(Entries[Deposit Amount],Entries[Time in Fund(Days)])," ")</f>
        <v xml:space="preserve"> </v>
      </c>
    </row>
    <row r="903" spans="2:4" x14ac:dyDescent="0.25">
      <c r="B903" s="6"/>
      <c r="C903" s="2" t="str">
        <f>IF(ISBLANK(Table3[[#This Row],[Investor]])," ",SUMIF(Entries[[Investor Name ]],Calculations!B903,Entries[Deposit Amount]))</f>
        <v xml:space="preserve"> </v>
      </c>
      <c r="D903" s="7" t="str" cm="1">
        <f t="array" aca="1" ref="D903" ca="1">IFERROR(C903 + SUM(Dashboard!J923:J1905)*Query17[Conversion Rate] * SUMPRODUCT((Entries[[Investor Name ]]=Calculations!B903) * (Entries[Deposit Amount]) *(Entries[Time in Fund(Days)]))/SUMPRODUCT(Entries[Deposit Amount],Entries[Time in Fund(Days)])," ")</f>
        <v xml:space="preserve"> </v>
      </c>
    </row>
    <row r="904" spans="2:4" x14ac:dyDescent="0.25">
      <c r="B904" s="6"/>
      <c r="C904" s="2" t="str">
        <f>IF(ISBLANK(Table3[[#This Row],[Investor]])," ",SUMIF(Entries[[Investor Name ]],Calculations!B904,Entries[Deposit Amount]))</f>
        <v xml:space="preserve"> </v>
      </c>
      <c r="D904" s="7" t="str" cm="1">
        <f t="array" aca="1" ref="D904" ca="1">IFERROR(C904 + SUM(Dashboard!J924:J1906)*Query17[Conversion Rate] * SUMPRODUCT((Entries[[Investor Name ]]=Calculations!B904) * (Entries[Deposit Amount]) *(Entries[Time in Fund(Days)]))/SUMPRODUCT(Entries[Deposit Amount],Entries[Time in Fund(Days)])," ")</f>
        <v xml:space="preserve"> </v>
      </c>
    </row>
    <row r="905" spans="2:4" x14ac:dyDescent="0.25">
      <c r="B905" s="6"/>
      <c r="C905" s="2" t="str">
        <f>IF(ISBLANK(Table3[[#This Row],[Investor]])," ",SUMIF(Entries[[Investor Name ]],Calculations!B905,Entries[Deposit Amount]))</f>
        <v xml:space="preserve"> </v>
      </c>
      <c r="D905" s="7" t="str" cm="1">
        <f t="array" aca="1" ref="D905" ca="1">IFERROR(C905 + SUM(Dashboard!J925:J1907)*Query17[Conversion Rate] * SUMPRODUCT((Entries[[Investor Name ]]=Calculations!B905) * (Entries[Deposit Amount]) *(Entries[Time in Fund(Days)]))/SUMPRODUCT(Entries[Deposit Amount],Entries[Time in Fund(Days)])," ")</f>
        <v xml:space="preserve"> </v>
      </c>
    </row>
    <row r="906" spans="2:4" x14ac:dyDescent="0.25">
      <c r="B906" s="6"/>
      <c r="C906" s="2" t="str">
        <f>IF(ISBLANK(Table3[[#This Row],[Investor]])," ",SUMIF(Entries[[Investor Name ]],Calculations!B906,Entries[Deposit Amount]))</f>
        <v xml:space="preserve"> </v>
      </c>
      <c r="D906" s="7" t="str" cm="1">
        <f t="array" aca="1" ref="D906" ca="1">IFERROR(C906 + SUM(Dashboard!J926:J1908)*Query17[Conversion Rate] * SUMPRODUCT((Entries[[Investor Name ]]=Calculations!B906) * (Entries[Deposit Amount]) *(Entries[Time in Fund(Days)]))/SUMPRODUCT(Entries[Deposit Amount],Entries[Time in Fund(Days)])," ")</f>
        <v xml:space="preserve"> </v>
      </c>
    </row>
    <row r="907" spans="2:4" x14ac:dyDescent="0.25">
      <c r="B907" s="6"/>
      <c r="C907" s="2" t="str">
        <f>IF(ISBLANK(Table3[[#This Row],[Investor]])," ",SUMIF(Entries[[Investor Name ]],Calculations!B907,Entries[Deposit Amount]))</f>
        <v xml:space="preserve"> </v>
      </c>
      <c r="D907" s="7" t="str" cm="1">
        <f t="array" aca="1" ref="D907" ca="1">IFERROR(C907 + SUM(Dashboard!J927:J1909)*Query17[Conversion Rate] * SUMPRODUCT((Entries[[Investor Name ]]=Calculations!B907) * (Entries[Deposit Amount]) *(Entries[Time in Fund(Days)]))/SUMPRODUCT(Entries[Deposit Amount],Entries[Time in Fund(Days)])," ")</f>
        <v xml:space="preserve"> </v>
      </c>
    </row>
    <row r="908" spans="2:4" x14ac:dyDescent="0.25">
      <c r="B908" s="6"/>
      <c r="C908" s="2" t="str">
        <f>IF(ISBLANK(Table3[[#This Row],[Investor]])," ",SUMIF(Entries[[Investor Name ]],Calculations!B908,Entries[Deposit Amount]))</f>
        <v xml:space="preserve"> </v>
      </c>
      <c r="D908" s="7" t="str" cm="1">
        <f t="array" aca="1" ref="D908" ca="1">IFERROR(C908 + SUM(Dashboard!J928:J1910)*Query17[Conversion Rate] * SUMPRODUCT((Entries[[Investor Name ]]=Calculations!B908) * (Entries[Deposit Amount]) *(Entries[Time in Fund(Days)]))/SUMPRODUCT(Entries[Deposit Amount],Entries[Time in Fund(Days)])," ")</f>
        <v xml:space="preserve"> </v>
      </c>
    </row>
    <row r="909" spans="2:4" x14ac:dyDescent="0.25">
      <c r="B909" s="6"/>
      <c r="C909" s="2" t="str">
        <f>IF(ISBLANK(Table3[[#This Row],[Investor]])," ",SUMIF(Entries[[Investor Name ]],Calculations!B909,Entries[Deposit Amount]))</f>
        <v xml:space="preserve"> </v>
      </c>
      <c r="D909" s="7" t="str" cm="1">
        <f t="array" aca="1" ref="D909" ca="1">IFERROR(C909 + SUM(Dashboard!J929:J1911)*Query17[Conversion Rate] * SUMPRODUCT((Entries[[Investor Name ]]=Calculations!B909) * (Entries[Deposit Amount]) *(Entries[Time in Fund(Days)]))/SUMPRODUCT(Entries[Deposit Amount],Entries[Time in Fund(Days)])," ")</f>
        <v xml:space="preserve"> </v>
      </c>
    </row>
    <row r="910" spans="2:4" x14ac:dyDescent="0.25">
      <c r="B910" s="6"/>
      <c r="C910" s="2" t="str">
        <f>IF(ISBLANK(Table3[[#This Row],[Investor]])," ",SUMIF(Entries[[Investor Name ]],Calculations!B910,Entries[Deposit Amount]))</f>
        <v xml:space="preserve"> </v>
      </c>
      <c r="D910" s="7" t="str" cm="1">
        <f t="array" aca="1" ref="D910" ca="1">IFERROR(C910 + SUM(Dashboard!J930:J1912)*Query17[Conversion Rate] * SUMPRODUCT((Entries[[Investor Name ]]=Calculations!B910) * (Entries[Deposit Amount]) *(Entries[Time in Fund(Days)]))/SUMPRODUCT(Entries[Deposit Amount],Entries[Time in Fund(Days)])," ")</f>
        <v xml:space="preserve"> </v>
      </c>
    </row>
    <row r="911" spans="2:4" x14ac:dyDescent="0.25">
      <c r="B911" s="6"/>
      <c r="C911" s="2" t="str">
        <f>IF(ISBLANK(Table3[[#This Row],[Investor]])," ",SUMIF(Entries[[Investor Name ]],Calculations!B911,Entries[Deposit Amount]))</f>
        <v xml:space="preserve"> </v>
      </c>
      <c r="D911" s="7" t="str" cm="1">
        <f t="array" aca="1" ref="D911" ca="1">IFERROR(C911 + SUM(Dashboard!J931:J1913)*Query17[Conversion Rate] * SUMPRODUCT((Entries[[Investor Name ]]=Calculations!B911) * (Entries[Deposit Amount]) *(Entries[Time in Fund(Days)]))/SUMPRODUCT(Entries[Deposit Amount],Entries[Time in Fund(Days)])," ")</f>
        <v xml:space="preserve"> </v>
      </c>
    </row>
    <row r="912" spans="2:4" x14ac:dyDescent="0.25">
      <c r="B912" s="6"/>
      <c r="C912" s="2" t="str">
        <f>IF(ISBLANK(Table3[[#This Row],[Investor]])," ",SUMIF(Entries[[Investor Name ]],Calculations!B912,Entries[Deposit Amount]))</f>
        <v xml:space="preserve"> </v>
      </c>
      <c r="D912" s="7" t="str" cm="1">
        <f t="array" aca="1" ref="D912" ca="1">IFERROR(C912 + SUM(Dashboard!J932:J1914)*Query17[Conversion Rate] * SUMPRODUCT((Entries[[Investor Name ]]=Calculations!B912) * (Entries[Deposit Amount]) *(Entries[Time in Fund(Days)]))/SUMPRODUCT(Entries[Deposit Amount],Entries[Time in Fund(Days)])," ")</f>
        <v xml:space="preserve"> </v>
      </c>
    </row>
    <row r="913" spans="2:4" x14ac:dyDescent="0.25">
      <c r="B913" s="6"/>
      <c r="C913" s="2" t="str">
        <f>IF(ISBLANK(Table3[[#This Row],[Investor]])," ",SUMIF(Entries[[Investor Name ]],Calculations!B913,Entries[Deposit Amount]))</f>
        <v xml:space="preserve"> </v>
      </c>
      <c r="D913" s="7" t="str" cm="1">
        <f t="array" aca="1" ref="D913" ca="1">IFERROR(C913 + SUM(Dashboard!J933:J1915)*Query17[Conversion Rate] * SUMPRODUCT((Entries[[Investor Name ]]=Calculations!B913) * (Entries[Deposit Amount]) *(Entries[Time in Fund(Days)]))/SUMPRODUCT(Entries[Deposit Amount],Entries[Time in Fund(Days)])," ")</f>
        <v xml:space="preserve"> </v>
      </c>
    </row>
    <row r="914" spans="2:4" x14ac:dyDescent="0.25">
      <c r="B914" s="6"/>
      <c r="C914" s="2" t="str">
        <f>IF(ISBLANK(Table3[[#This Row],[Investor]])," ",SUMIF(Entries[[Investor Name ]],Calculations!B914,Entries[Deposit Amount]))</f>
        <v xml:space="preserve"> </v>
      </c>
      <c r="D914" s="7" t="str" cm="1">
        <f t="array" aca="1" ref="D914" ca="1">IFERROR(C914 + SUM(Dashboard!J934:J1916)*Query17[Conversion Rate] * SUMPRODUCT((Entries[[Investor Name ]]=Calculations!B914) * (Entries[Deposit Amount]) *(Entries[Time in Fund(Days)]))/SUMPRODUCT(Entries[Deposit Amount],Entries[Time in Fund(Days)])," ")</f>
        <v xml:space="preserve"> </v>
      </c>
    </row>
    <row r="915" spans="2:4" x14ac:dyDescent="0.25">
      <c r="B915" s="6"/>
      <c r="C915" s="2" t="str">
        <f>IF(ISBLANK(Table3[[#This Row],[Investor]])," ",SUMIF(Entries[[Investor Name ]],Calculations!B915,Entries[Deposit Amount]))</f>
        <v xml:space="preserve"> </v>
      </c>
      <c r="D915" s="7" t="str" cm="1">
        <f t="array" aca="1" ref="D915" ca="1">IFERROR(C915 + SUM(Dashboard!J935:J1917)*Query17[Conversion Rate] * SUMPRODUCT((Entries[[Investor Name ]]=Calculations!B915) * (Entries[Deposit Amount]) *(Entries[Time in Fund(Days)]))/SUMPRODUCT(Entries[Deposit Amount],Entries[Time in Fund(Days)])," ")</f>
        <v xml:space="preserve"> </v>
      </c>
    </row>
    <row r="916" spans="2:4" x14ac:dyDescent="0.25">
      <c r="B916" s="6"/>
      <c r="C916" s="2" t="str">
        <f>IF(ISBLANK(Table3[[#This Row],[Investor]])," ",SUMIF(Entries[[Investor Name ]],Calculations!B916,Entries[Deposit Amount]))</f>
        <v xml:space="preserve"> </v>
      </c>
      <c r="D916" s="7" t="str" cm="1">
        <f t="array" aca="1" ref="D916" ca="1">IFERROR(C916 + SUM(Dashboard!J936:J1918)*Query17[Conversion Rate] * SUMPRODUCT((Entries[[Investor Name ]]=Calculations!B916) * (Entries[Deposit Amount]) *(Entries[Time in Fund(Days)]))/SUMPRODUCT(Entries[Deposit Amount],Entries[Time in Fund(Days)])," ")</f>
        <v xml:space="preserve"> </v>
      </c>
    </row>
    <row r="917" spans="2:4" x14ac:dyDescent="0.25">
      <c r="B917" s="6"/>
      <c r="C917" s="2" t="str">
        <f>IF(ISBLANK(Table3[[#This Row],[Investor]])," ",SUMIF(Entries[[Investor Name ]],Calculations!B917,Entries[Deposit Amount]))</f>
        <v xml:space="preserve"> </v>
      </c>
      <c r="D917" s="7" t="str" cm="1">
        <f t="array" aca="1" ref="D917" ca="1">IFERROR(C917 + SUM(Dashboard!J937:J1919)*Query17[Conversion Rate] * SUMPRODUCT((Entries[[Investor Name ]]=Calculations!B917) * (Entries[Deposit Amount]) *(Entries[Time in Fund(Days)]))/SUMPRODUCT(Entries[Deposit Amount],Entries[Time in Fund(Days)])," ")</f>
        <v xml:space="preserve"> </v>
      </c>
    </row>
    <row r="918" spans="2:4" x14ac:dyDescent="0.25">
      <c r="B918" s="6"/>
      <c r="C918" s="2" t="str">
        <f>IF(ISBLANK(Table3[[#This Row],[Investor]])," ",SUMIF(Entries[[Investor Name ]],Calculations!B918,Entries[Deposit Amount]))</f>
        <v xml:space="preserve"> </v>
      </c>
      <c r="D918" s="7" t="str" cm="1">
        <f t="array" aca="1" ref="D918" ca="1">IFERROR(C918 + SUM(Dashboard!J938:J1920)*Query17[Conversion Rate] * SUMPRODUCT((Entries[[Investor Name ]]=Calculations!B918) * (Entries[Deposit Amount]) *(Entries[Time in Fund(Days)]))/SUMPRODUCT(Entries[Deposit Amount],Entries[Time in Fund(Days)])," ")</f>
        <v xml:space="preserve"> </v>
      </c>
    </row>
    <row r="919" spans="2:4" x14ac:dyDescent="0.25">
      <c r="B919" s="6"/>
      <c r="C919" s="2" t="str">
        <f>IF(ISBLANK(Table3[[#This Row],[Investor]])," ",SUMIF(Entries[[Investor Name ]],Calculations!B919,Entries[Deposit Amount]))</f>
        <v xml:space="preserve"> </v>
      </c>
      <c r="D919" s="7" t="str" cm="1">
        <f t="array" aca="1" ref="D919" ca="1">IFERROR(C919 + SUM(Dashboard!J939:J1921)*Query17[Conversion Rate] * SUMPRODUCT((Entries[[Investor Name ]]=Calculations!B919) * (Entries[Deposit Amount]) *(Entries[Time in Fund(Days)]))/SUMPRODUCT(Entries[Deposit Amount],Entries[Time in Fund(Days)])," ")</f>
        <v xml:space="preserve"> </v>
      </c>
    </row>
    <row r="920" spans="2:4" x14ac:dyDescent="0.25">
      <c r="B920" s="6"/>
      <c r="C920" s="2" t="str">
        <f>IF(ISBLANK(Table3[[#This Row],[Investor]])," ",SUMIF(Entries[[Investor Name ]],Calculations!B920,Entries[Deposit Amount]))</f>
        <v xml:space="preserve"> </v>
      </c>
      <c r="D920" s="7" t="str" cm="1">
        <f t="array" aca="1" ref="D920" ca="1">IFERROR(C920 + SUM(Dashboard!J940:J1922)*Query17[Conversion Rate] * SUMPRODUCT((Entries[[Investor Name ]]=Calculations!B920) * (Entries[Deposit Amount]) *(Entries[Time in Fund(Days)]))/SUMPRODUCT(Entries[Deposit Amount],Entries[Time in Fund(Days)])," ")</f>
        <v xml:space="preserve"> </v>
      </c>
    </row>
    <row r="921" spans="2:4" x14ac:dyDescent="0.25">
      <c r="B921" s="6"/>
      <c r="C921" s="2" t="str">
        <f>IF(ISBLANK(Table3[[#This Row],[Investor]])," ",SUMIF(Entries[[Investor Name ]],Calculations!B921,Entries[Deposit Amount]))</f>
        <v xml:space="preserve"> </v>
      </c>
      <c r="D921" s="7" t="str" cm="1">
        <f t="array" aca="1" ref="D921" ca="1">IFERROR(C921 + SUM(Dashboard!J941:J1923)*Query17[Conversion Rate] * SUMPRODUCT((Entries[[Investor Name ]]=Calculations!B921) * (Entries[Deposit Amount]) *(Entries[Time in Fund(Days)]))/SUMPRODUCT(Entries[Deposit Amount],Entries[Time in Fund(Days)])," ")</f>
        <v xml:space="preserve"> </v>
      </c>
    </row>
    <row r="922" spans="2:4" x14ac:dyDescent="0.25">
      <c r="B922" s="6"/>
      <c r="C922" s="2" t="str">
        <f>IF(ISBLANK(Table3[[#This Row],[Investor]])," ",SUMIF(Entries[[Investor Name ]],Calculations!B922,Entries[Deposit Amount]))</f>
        <v xml:space="preserve"> </v>
      </c>
      <c r="D922" s="7" t="str" cm="1">
        <f t="array" aca="1" ref="D922" ca="1">IFERROR(C922 + SUM(Dashboard!J942:J1924)*Query17[Conversion Rate] * SUMPRODUCT((Entries[[Investor Name ]]=Calculations!B922) * (Entries[Deposit Amount]) *(Entries[Time in Fund(Days)]))/SUMPRODUCT(Entries[Deposit Amount],Entries[Time in Fund(Days)])," ")</f>
        <v xml:space="preserve"> </v>
      </c>
    </row>
    <row r="923" spans="2:4" x14ac:dyDescent="0.25">
      <c r="B923" s="6"/>
      <c r="C923" s="2" t="str">
        <f>IF(ISBLANK(Table3[[#This Row],[Investor]])," ",SUMIF(Entries[[Investor Name ]],Calculations!B923,Entries[Deposit Amount]))</f>
        <v xml:space="preserve"> </v>
      </c>
      <c r="D923" s="7" t="str" cm="1">
        <f t="array" aca="1" ref="D923" ca="1">IFERROR(C923 + SUM(Dashboard!J943:J1925)*Query17[Conversion Rate] * SUMPRODUCT((Entries[[Investor Name ]]=Calculations!B923) * (Entries[Deposit Amount]) *(Entries[Time in Fund(Days)]))/SUMPRODUCT(Entries[Deposit Amount],Entries[Time in Fund(Days)])," ")</f>
        <v xml:space="preserve"> </v>
      </c>
    </row>
    <row r="924" spans="2:4" x14ac:dyDescent="0.25">
      <c r="B924" s="6"/>
      <c r="C924" s="2" t="str">
        <f>IF(ISBLANK(Table3[[#This Row],[Investor]])," ",SUMIF(Entries[[Investor Name ]],Calculations!B924,Entries[Deposit Amount]))</f>
        <v xml:space="preserve"> </v>
      </c>
      <c r="D924" s="7" t="str" cm="1">
        <f t="array" aca="1" ref="D924" ca="1">IFERROR(C924 + SUM(Dashboard!J944:J1926)*Query17[Conversion Rate] * SUMPRODUCT((Entries[[Investor Name ]]=Calculations!B924) * (Entries[Deposit Amount]) *(Entries[Time in Fund(Days)]))/SUMPRODUCT(Entries[Deposit Amount],Entries[Time in Fund(Days)])," ")</f>
        <v xml:space="preserve"> </v>
      </c>
    </row>
    <row r="925" spans="2:4" x14ac:dyDescent="0.25">
      <c r="B925" s="6"/>
      <c r="C925" s="2" t="str">
        <f>IF(ISBLANK(Table3[[#This Row],[Investor]])," ",SUMIF(Entries[[Investor Name ]],Calculations!B925,Entries[Deposit Amount]))</f>
        <v xml:space="preserve"> </v>
      </c>
      <c r="D925" s="7" t="str" cm="1">
        <f t="array" aca="1" ref="D925" ca="1">IFERROR(C925 + SUM(Dashboard!J945:J1927)*Query17[Conversion Rate] * SUMPRODUCT((Entries[[Investor Name ]]=Calculations!B925) * (Entries[Deposit Amount]) *(Entries[Time in Fund(Days)]))/SUMPRODUCT(Entries[Deposit Amount],Entries[Time in Fund(Days)])," ")</f>
        <v xml:space="preserve"> </v>
      </c>
    </row>
    <row r="926" spans="2:4" x14ac:dyDescent="0.25">
      <c r="B926" s="6"/>
      <c r="C926" s="2" t="str">
        <f>IF(ISBLANK(Table3[[#This Row],[Investor]])," ",SUMIF(Entries[[Investor Name ]],Calculations!B926,Entries[Deposit Amount]))</f>
        <v xml:space="preserve"> </v>
      </c>
      <c r="D926" s="7" t="str" cm="1">
        <f t="array" aca="1" ref="D926" ca="1">IFERROR(C926 + SUM(Dashboard!J946:J1928)*Query17[Conversion Rate] * SUMPRODUCT((Entries[[Investor Name ]]=Calculations!B926) * (Entries[Deposit Amount]) *(Entries[Time in Fund(Days)]))/SUMPRODUCT(Entries[Deposit Amount],Entries[Time in Fund(Days)])," ")</f>
        <v xml:space="preserve"> </v>
      </c>
    </row>
    <row r="927" spans="2:4" x14ac:dyDescent="0.25">
      <c r="B927" s="6"/>
      <c r="C927" s="2" t="str">
        <f>IF(ISBLANK(Table3[[#This Row],[Investor]])," ",SUMIF(Entries[[Investor Name ]],Calculations!B927,Entries[Deposit Amount]))</f>
        <v xml:space="preserve"> </v>
      </c>
      <c r="D927" s="7" t="str" cm="1">
        <f t="array" aca="1" ref="D927" ca="1">IFERROR(C927 + SUM(Dashboard!J947:J1929)*Query17[Conversion Rate] * SUMPRODUCT((Entries[[Investor Name ]]=Calculations!B927) * (Entries[Deposit Amount]) *(Entries[Time in Fund(Days)]))/SUMPRODUCT(Entries[Deposit Amount],Entries[Time in Fund(Days)])," ")</f>
        <v xml:space="preserve"> </v>
      </c>
    </row>
    <row r="928" spans="2:4" x14ac:dyDescent="0.25">
      <c r="B928" s="6"/>
      <c r="C928" s="2" t="str">
        <f>IF(ISBLANK(Table3[[#This Row],[Investor]])," ",SUMIF(Entries[[Investor Name ]],Calculations!B928,Entries[Deposit Amount]))</f>
        <v xml:space="preserve"> </v>
      </c>
      <c r="D928" s="7" t="str" cm="1">
        <f t="array" aca="1" ref="D928" ca="1">IFERROR(C928 + SUM(Dashboard!J948:J1930)*Query17[Conversion Rate] * SUMPRODUCT((Entries[[Investor Name ]]=Calculations!B928) * (Entries[Deposit Amount]) *(Entries[Time in Fund(Days)]))/SUMPRODUCT(Entries[Deposit Amount],Entries[Time in Fund(Days)])," ")</f>
        <v xml:space="preserve"> </v>
      </c>
    </row>
    <row r="929" spans="2:4" x14ac:dyDescent="0.25">
      <c r="B929" s="6"/>
      <c r="C929" s="2" t="str">
        <f>IF(ISBLANK(Table3[[#This Row],[Investor]])," ",SUMIF(Entries[[Investor Name ]],Calculations!B929,Entries[Deposit Amount]))</f>
        <v xml:space="preserve"> </v>
      </c>
      <c r="D929" s="7" t="str" cm="1">
        <f t="array" aca="1" ref="D929" ca="1">IFERROR(C929 + SUM(Dashboard!J949:J1931)*Query17[Conversion Rate] * SUMPRODUCT((Entries[[Investor Name ]]=Calculations!B929) * (Entries[Deposit Amount]) *(Entries[Time in Fund(Days)]))/SUMPRODUCT(Entries[Deposit Amount],Entries[Time in Fund(Days)])," ")</f>
        <v xml:space="preserve"> </v>
      </c>
    </row>
    <row r="930" spans="2:4" x14ac:dyDescent="0.25">
      <c r="B930" s="6"/>
      <c r="C930" s="2" t="str">
        <f>IF(ISBLANK(Table3[[#This Row],[Investor]])," ",SUMIF(Entries[[Investor Name ]],Calculations!B930,Entries[Deposit Amount]))</f>
        <v xml:space="preserve"> </v>
      </c>
      <c r="D930" s="7" t="str" cm="1">
        <f t="array" aca="1" ref="D930" ca="1">IFERROR(C930 + SUM(Dashboard!J950:J1932)*Query17[Conversion Rate] * SUMPRODUCT((Entries[[Investor Name ]]=Calculations!B930) * (Entries[Deposit Amount]) *(Entries[Time in Fund(Days)]))/SUMPRODUCT(Entries[Deposit Amount],Entries[Time in Fund(Days)])," ")</f>
        <v xml:space="preserve"> </v>
      </c>
    </row>
    <row r="931" spans="2:4" x14ac:dyDescent="0.25">
      <c r="B931" s="6"/>
      <c r="C931" s="2" t="str">
        <f>IF(ISBLANK(Table3[[#This Row],[Investor]])," ",SUMIF(Entries[[Investor Name ]],Calculations!B931,Entries[Deposit Amount]))</f>
        <v xml:space="preserve"> </v>
      </c>
      <c r="D931" s="7" t="str" cm="1">
        <f t="array" aca="1" ref="D931" ca="1">IFERROR(C931 + SUM(Dashboard!J951:J1933)*Query17[Conversion Rate] * SUMPRODUCT((Entries[[Investor Name ]]=Calculations!B931) * (Entries[Deposit Amount]) *(Entries[Time in Fund(Days)]))/SUMPRODUCT(Entries[Deposit Amount],Entries[Time in Fund(Days)])," ")</f>
        <v xml:space="preserve"> </v>
      </c>
    </row>
    <row r="932" spans="2:4" x14ac:dyDescent="0.25">
      <c r="B932" s="6"/>
      <c r="C932" s="2" t="str">
        <f>IF(ISBLANK(Table3[[#This Row],[Investor]])," ",SUMIF(Entries[[Investor Name ]],Calculations!B932,Entries[Deposit Amount]))</f>
        <v xml:space="preserve"> </v>
      </c>
      <c r="D932" s="7" t="str" cm="1">
        <f t="array" aca="1" ref="D932" ca="1">IFERROR(C932 + SUM(Dashboard!J952:J1934)*Query17[Conversion Rate] * SUMPRODUCT((Entries[[Investor Name ]]=Calculations!B932) * (Entries[Deposit Amount]) *(Entries[Time in Fund(Days)]))/SUMPRODUCT(Entries[Deposit Amount],Entries[Time in Fund(Days)])," ")</f>
        <v xml:space="preserve"> </v>
      </c>
    </row>
    <row r="933" spans="2:4" x14ac:dyDescent="0.25">
      <c r="B933" s="6"/>
      <c r="C933" s="2" t="str">
        <f>IF(ISBLANK(Table3[[#This Row],[Investor]])," ",SUMIF(Entries[[Investor Name ]],Calculations!B933,Entries[Deposit Amount]))</f>
        <v xml:space="preserve"> </v>
      </c>
      <c r="D933" s="7" t="str" cm="1">
        <f t="array" aca="1" ref="D933" ca="1">IFERROR(C933 + SUM(Dashboard!J953:J1935)*Query17[Conversion Rate] * SUMPRODUCT((Entries[[Investor Name ]]=Calculations!B933) * (Entries[Deposit Amount]) *(Entries[Time in Fund(Days)]))/SUMPRODUCT(Entries[Deposit Amount],Entries[Time in Fund(Days)])," ")</f>
        <v xml:space="preserve"> </v>
      </c>
    </row>
    <row r="934" spans="2:4" x14ac:dyDescent="0.25">
      <c r="B934" s="6"/>
      <c r="C934" s="2" t="str">
        <f>IF(ISBLANK(Table3[[#This Row],[Investor]])," ",SUMIF(Entries[[Investor Name ]],Calculations!B934,Entries[Deposit Amount]))</f>
        <v xml:space="preserve"> </v>
      </c>
      <c r="D934" s="7" t="str" cm="1">
        <f t="array" aca="1" ref="D934" ca="1">IFERROR(C934 + SUM(Dashboard!J954:J1936)*Query17[Conversion Rate] * SUMPRODUCT((Entries[[Investor Name ]]=Calculations!B934) * (Entries[Deposit Amount]) *(Entries[Time in Fund(Days)]))/SUMPRODUCT(Entries[Deposit Amount],Entries[Time in Fund(Days)])," ")</f>
        <v xml:space="preserve"> </v>
      </c>
    </row>
    <row r="935" spans="2:4" x14ac:dyDescent="0.25">
      <c r="B935" s="6"/>
      <c r="C935" s="2" t="str">
        <f>IF(ISBLANK(Table3[[#This Row],[Investor]])," ",SUMIF(Entries[[Investor Name ]],Calculations!B935,Entries[Deposit Amount]))</f>
        <v xml:space="preserve"> </v>
      </c>
      <c r="D935" s="7" t="str" cm="1">
        <f t="array" aca="1" ref="D935" ca="1">IFERROR(C935 + SUM(Dashboard!J955:J1937)*Query17[Conversion Rate] * SUMPRODUCT((Entries[[Investor Name ]]=Calculations!B935) * (Entries[Deposit Amount]) *(Entries[Time in Fund(Days)]))/SUMPRODUCT(Entries[Deposit Amount],Entries[Time in Fund(Days)])," ")</f>
        <v xml:space="preserve"> </v>
      </c>
    </row>
    <row r="936" spans="2:4" x14ac:dyDescent="0.25">
      <c r="B936" s="6"/>
      <c r="C936" s="2" t="str">
        <f>IF(ISBLANK(Table3[[#This Row],[Investor]])," ",SUMIF(Entries[[Investor Name ]],Calculations!B936,Entries[Deposit Amount]))</f>
        <v xml:space="preserve"> </v>
      </c>
      <c r="D936" s="7" t="str" cm="1">
        <f t="array" aca="1" ref="D936" ca="1">IFERROR(C936 + SUM(Dashboard!J956:J1938)*Query17[Conversion Rate] * SUMPRODUCT((Entries[[Investor Name ]]=Calculations!B936) * (Entries[Deposit Amount]) *(Entries[Time in Fund(Days)]))/SUMPRODUCT(Entries[Deposit Amount],Entries[Time in Fund(Days)])," ")</f>
        <v xml:space="preserve"> </v>
      </c>
    </row>
    <row r="937" spans="2:4" x14ac:dyDescent="0.25">
      <c r="B937" s="6"/>
      <c r="C937" s="2" t="str">
        <f>IF(ISBLANK(Table3[[#This Row],[Investor]])," ",SUMIF(Entries[[Investor Name ]],Calculations!B937,Entries[Deposit Amount]))</f>
        <v xml:space="preserve"> </v>
      </c>
      <c r="D937" s="7" t="str" cm="1">
        <f t="array" aca="1" ref="D937" ca="1">IFERROR(C937 + SUM(Dashboard!J957:J1939)*Query17[Conversion Rate] * SUMPRODUCT((Entries[[Investor Name ]]=Calculations!B937) * (Entries[Deposit Amount]) *(Entries[Time in Fund(Days)]))/SUMPRODUCT(Entries[Deposit Amount],Entries[Time in Fund(Days)])," ")</f>
        <v xml:space="preserve"> </v>
      </c>
    </row>
    <row r="938" spans="2:4" x14ac:dyDescent="0.25">
      <c r="B938" s="6"/>
      <c r="C938" s="2" t="str">
        <f>IF(ISBLANK(Table3[[#This Row],[Investor]])," ",SUMIF(Entries[[Investor Name ]],Calculations!B938,Entries[Deposit Amount]))</f>
        <v xml:space="preserve"> </v>
      </c>
      <c r="D938" s="7" t="str" cm="1">
        <f t="array" aca="1" ref="D938" ca="1">IFERROR(C938 + SUM(Dashboard!J958:J1940)*Query17[Conversion Rate] * SUMPRODUCT((Entries[[Investor Name ]]=Calculations!B938) * (Entries[Deposit Amount]) *(Entries[Time in Fund(Days)]))/SUMPRODUCT(Entries[Deposit Amount],Entries[Time in Fund(Days)])," ")</f>
        <v xml:space="preserve"> </v>
      </c>
    </row>
    <row r="939" spans="2:4" x14ac:dyDescent="0.25">
      <c r="B939" s="6"/>
      <c r="C939" s="2" t="str">
        <f>IF(ISBLANK(Table3[[#This Row],[Investor]])," ",SUMIF(Entries[[Investor Name ]],Calculations!B939,Entries[Deposit Amount]))</f>
        <v xml:space="preserve"> </v>
      </c>
      <c r="D939" s="7" t="str" cm="1">
        <f t="array" aca="1" ref="D939" ca="1">IFERROR(C939 + SUM(Dashboard!J959:J1941)*Query17[Conversion Rate] * SUMPRODUCT((Entries[[Investor Name ]]=Calculations!B939) * (Entries[Deposit Amount]) *(Entries[Time in Fund(Days)]))/SUMPRODUCT(Entries[Deposit Amount],Entries[Time in Fund(Days)])," ")</f>
        <v xml:space="preserve"> </v>
      </c>
    </row>
    <row r="940" spans="2:4" x14ac:dyDescent="0.25">
      <c r="B940" s="6"/>
      <c r="C940" s="2" t="str">
        <f>IF(ISBLANK(Table3[[#This Row],[Investor]])," ",SUMIF(Entries[[Investor Name ]],Calculations!B940,Entries[Deposit Amount]))</f>
        <v xml:space="preserve"> </v>
      </c>
      <c r="D940" s="7" t="str" cm="1">
        <f t="array" aca="1" ref="D940" ca="1">IFERROR(C940 + SUM(Dashboard!J960:J1942)*Query17[Conversion Rate] * SUMPRODUCT((Entries[[Investor Name ]]=Calculations!B940) * (Entries[Deposit Amount]) *(Entries[Time in Fund(Days)]))/SUMPRODUCT(Entries[Deposit Amount],Entries[Time in Fund(Days)])," ")</f>
        <v xml:space="preserve"> </v>
      </c>
    </row>
    <row r="941" spans="2:4" x14ac:dyDescent="0.25">
      <c r="B941" s="6"/>
      <c r="C941" s="2" t="str">
        <f>IF(ISBLANK(Table3[[#This Row],[Investor]])," ",SUMIF(Entries[[Investor Name ]],Calculations!B941,Entries[Deposit Amount]))</f>
        <v xml:space="preserve"> </v>
      </c>
      <c r="D941" s="7" t="str" cm="1">
        <f t="array" aca="1" ref="D941" ca="1">IFERROR(C941 + SUM(Dashboard!J961:J1943)*Query17[Conversion Rate] * SUMPRODUCT((Entries[[Investor Name ]]=Calculations!B941) * (Entries[Deposit Amount]) *(Entries[Time in Fund(Days)]))/SUMPRODUCT(Entries[Deposit Amount],Entries[Time in Fund(Days)])," ")</f>
        <v xml:space="preserve"> </v>
      </c>
    </row>
    <row r="942" spans="2:4" x14ac:dyDescent="0.25">
      <c r="B942" s="6"/>
      <c r="C942" s="2" t="str">
        <f>IF(ISBLANK(Table3[[#This Row],[Investor]])," ",SUMIF(Entries[[Investor Name ]],Calculations!B942,Entries[Deposit Amount]))</f>
        <v xml:space="preserve"> </v>
      </c>
      <c r="D942" s="7" t="str" cm="1">
        <f t="array" aca="1" ref="D942" ca="1">IFERROR(C942 + SUM(Dashboard!J962:J1944)*Query17[Conversion Rate] * SUMPRODUCT((Entries[[Investor Name ]]=Calculations!B942) * (Entries[Deposit Amount]) *(Entries[Time in Fund(Days)]))/SUMPRODUCT(Entries[Deposit Amount],Entries[Time in Fund(Days)])," ")</f>
        <v xml:space="preserve"> </v>
      </c>
    </row>
    <row r="943" spans="2:4" x14ac:dyDescent="0.25">
      <c r="B943" s="6"/>
      <c r="C943" s="2" t="str">
        <f>IF(ISBLANK(Table3[[#This Row],[Investor]])," ",SUMIF(Entries[[Investor Name ]],Calculations!B943,Entries[Deposit Amount]))</f>
        <v xml:space="preserve"> </v>
      </c>
      <c r="D943" s="7" t="str" cm="1">
        <f t="array" aca="1" ref="D943" ca="1">IFERROR(C943 + SUM(Dashboard!J963:J1945)*Query17[Conversion Rate] * SUMPRODUCT((Entries[[Investor Name ]]=Calculations!B943) * (Entries[Deposit Amount]) *(Entries[Time in Fund(Days)]))/SUMPRODUCT(Entries[Deposit Amount],Entries[Time in Fund(Days)])," ")</f>
        <v xml:space="preserve"> </v>
      </c>
    </row>
    <row r="944" spans="2:4" x14ac:dyDescent="0.25">
      <c r="B944" s="6"/>
      <c r="C944" s="2" t="str">
        <f>IF(ISBLANK(Table3[[#This Row],[Investor]])," ",SUMIF(Entries[[Investor Name ]],Calculations!B944,Entries[Deposit Amount]))</f>
        <v xml:space="preserve"> </v>
      </c>
      <c r="D944" s="7" t="str" cm="1">
        <f t="array" aca="1" ref="D944" ca="1">IFERROR(C944 + SUM(Dashboard!J964:J1946)*Query17[Conversion Rate] * SUMPRODUCT((Entries[[Investor Name ]]=Calculations!B944) * (Entries[Deposit Amount]) *(Entries[Time in Fund(Days)]))/SUMPRODUCT(Entries[Deposit Amount],Entries[Time in Fund(Days)])," ")</f>
        <v xml:space="preserve"> </v>
      </c>
    </row>
    <row r="945" spans="2:4" x14ac:dyDescent="0.25">
      <c r="B945" s="6"/>
      <c r="C945" s="2" t="str">
        <f>IF(ISBLANK(Table3[[#This Row],[Investor]])," ",SUMIF(Entries[[Investor Name ]],Calculations!B945,Entries[Deposit Amount]))</f>
        <v xml:space="preserve"> </v>
      </c>
      <c r="D945" s="7" t="str" cm="1">
        <f t="array" aca="1" ref="D945" ca="1">IFERROR(C945 + SUM(Dashboard!J965:J1947)*Query17[Conversion Rate] * SUMPRODUCT((Entries[[Investor Name ]]=Calculations!B945) * (Entries[Deposit Amount]) *(Entries[Time in Fund(Days)]))/SUMPRODUCT(Entries[Deposit Amount],Entries[Time in Fund(Days)])," ")</f>
        <v xml:space="preserve"> </v>
      </c>
    </row>
    <row r="946" spans="2:4" x14ac:dyDescent="0.25">
      <c r="B946" s="6"/>
      <c r="C946" s="2" t="str">
        <f>IF(ISBLANK(Table3[[#This Row],[Investor]])," ",SUMIF(Entries[[Investor Name ]],Calculations!B946,Entries[Deposit Amount]))</f>
        <v xml:space="preserve"> </v>
      </c>
      <c r="D946" s="7" t="str" cm="1">
        <f t="array" aca="1" ref="D946" ca="1">IFERROR(C946 + SUM(Dashboard!J966:J1948)*Query17[Conversion Rate] * SUMPRODUCT((Entries[[Investor Name ]]=Calculations!B946) * (Entries[Deposit Amount]) *(Entries[Time in Fund(Days)]))/SUMPRODUCT(Entries[Deposit Amount],Entries[Time in Fund(Days)])," ")</f>
        <v xml:space="preserve"> </v>
      </c>
    </row>
    <row r="947" spans="2:4" x14ac:dyDescent="0.25">
      <c r="B947" s="6"/>
      <c r="C947" s="2" t="str">
        <f>IF(ISBLANK(Table3[[#This Row],[Investor]])," ",SUMIF(Entries[[Investor Name ]],Calculations!B947,Entries[Deposit Amount]))</f>
        <v xml:space="preserve"> </v>
      </c>
      <c r="D947" s="7" t="str" cm="1">
        <f t="array" aca="1" ref="D947" ca="1">IFERROR(C947 + SUM(Dashboard!J967:J1949)*Query17[Conversion Rate] * SUMPRODUCT((Entries[[Investor Name ]]=Calculations!B947) * (Entries[Deposit Amount]) *(Entries[Time in Fund(Days)]))/SUMPRODUCT(Entries[Deposit Amount],Entries[Time in Fund(Days)])," ")</f>
        <v xml:space="preserve"> </v>
      </c>
    </row>
    <row r="948" spans="2:4" x14ac:dyDescent="0.25">
      <c r="B948" s="6"/>
      <c r="C948" s="2" t="str">
        <f>IF(ISBLANK(Table3[[#This Row],[Investor]])," ",SUMIF(Entries[[Investor Name ]],Calculations!B948,Entries[Deposit Amount]))</f>
        <v xml:space="preserve"> </v>
      </c>
      <c r="D948" s="7" t="str" cm="1">
        <f t="array" aca="1" ref="D948" ca="1">IFERROR(C948 + SUM(Dashboard!J968:J1950)*Query17[Conversion Rate] * SUMPRODUCT((Entries[[Investor Name ]]=Calculations!B948) * (Entries[Deposit Amount]) *(Entries[Time in Fund(Days)]))/SUMPRODUCT(Entries[Deposit Amount],Entries[Time in Fund(Days)])," ")</f>
        <v xml:space="preserve"> </v>
      </c>
    </row>
    <row r="949" spans="2:4" x14ac:dyDescent="0.25">
      <c r="B949" s="6"/>
      <c r="C949" s="2" t="str">
        <f>IF(ISBLANK(Table3[[#This Row],[Investor]])," ",SUMIF(Entries[[Investor Name ]],Calculations!B949,Entries[Deposit Amount]))</f>
        <v xml:space="preserve"> </v>
      </c>
      <c r="D949" s="7" t="str" cm="1">
        <f t="array" aca="1" ref="D949" ca="1">IFERROR(C949 + SUM(Dashboard!J969:J1951)*Query17[Conversion Rate] * SUMPRODUCT((Entries[[Investor Name ]]=Calculations!B949) * (Entries[Deposit Amount]) *(Entries[Time in Fund(Days)]))/SUMPRODUCT(Entries[Deposit Amount],Entries[Time in Fund(Days)])," ")</f>
        <v xml:space="preserve"> </v>
      </c>
    </row>
    <row r="950" spans="2:4" x14ac:dyDescent="0.25">
      <c r="B950" s="6"/>
      <c r="C950" s="2" t="str">
        <f>IF(ISBLANK(Table3[[#This Row],[Investor]])," ",SUMIF(Entries[[Investor Name ]],Calculations!B950,Entries[Deposit Amount]))</f>
        <v xml:space="preserve"> </v>
      </c>
      <c r="D950" s="7" t="str" cm="1">
        <f t="array" aca="1" ref="D950" ca="1">IFERROR(C950 + SUM(Dashboard!J970:J1952)*Query17[Conversion Rate] * SUMPRODUCT((Entries[[Investor Name ]]=Calculations!B950) * (Entries[Deposit Amount]) *(Entries[Time in Fund(Days)]))/SUMPRODUCT(Entries[Deposit Amount],Entries[Time in Fund(Days)])," ")</f>
        <v xml:space="preserve"> </v>
      </c>
    </row>
    <row r="951" spans="2:4" x14ac:dyDescent="0.25">
      <c r="B951" s="6"/>
      <c r="C951" s="2" t="str">
        <f>IF(ISBLANK(Table3[[#This Row],[Investor]])," ",SUMIF(Entries[[Investor Name ]],Calculations!B951,Entries[Deposit Amount]))</f>
        <v xml:space="preserve"> </v>
      </c>
      <c r="D951" s="7" t="str" cm="1">
        <f t="array" aca="1" ref="D951" ca="1">IFERROR(C951 + SUM(Dashboard!J971:J1953)*Query17[Conversion Rate] * SUMPRODUCT((Entries[[Investor Name ]]=Calculations!B951) * (Entries[Deposit Amount]) *(Entries[Time in Fund(Days)]))/SUMPRODUCT(Entries[Deposit Amount],Entries[Time in Fund(Days)])," ")</f>
        <v xml:space="preserve"> </v>
      </c>
    </row>
    <row r="952" spans="2:4" x14ac:dyDescent="0.25">
      <c r="B952" s="6"/>
      <c r="C952" s="2" t="str">
        <f>IF(ISBLANK(Table3[[#This Row],[Investor]])," ",SUMIF(Entries[[Investor Name ]],Calculations!B952,Entries[Deposit Amount]))</f>
        <v xml:space="preserve"> </v>
      </c>
      <c r="D952" s="7" t="str" cm="1">
        <f t="array" aca="1" ref="D952" ca="1">IFERROR(C952 + SUM(Dashboard!J972:J1954)*Query17[Conversion Rate] * SUMPRODUCT((Entries[[Investor Name ]]=Calculations!B952) * (Entries[Deposit Amount]) *(Entries[Time in Fund(Days)]))/SUMPRODUCT(Entries[Deposit Amount],Entries[Time in Fund(Days)])," ")</f>
        <v xml:space="preserve"> </v>
      </c>
    </row>
    <row r="953" spans="2:4" x14ac:dyDescent="0.25">
      <c r="B953" s="6"/>
      <c r="C953" s="2" t="str">
        <f>IF(ISBLANK(Table3[[#This Row],[Investor]])," ",SUMIF(Entries[[Investor Name ]],Calculations!B953,Entries[Deposit Amount]))</f>
        <v xml:space="preserve"> </v>
      </c>
      <c r="D953" s="7" t="str" cm="1">
        <f t="array" aca="1" ref="D953" ca="1">IFERROR(C953 + SUM(Dashboard!J973:J1955)*Query17[Conversion Rate] * SUMPRODUCT((Entries[[Investor Name ]]=Calculations!B953) * (Entries[Deposit Amount]) *(Entries[Time in Fund(Days)]))/SUMPRODUCT(Entries[Deposit Amount],Entries[Time in Fund(Days)])," ")</f>
        <v xml:space="preserve"> </v>
      </c>
    </row>
    <row r="954" spans="2:4" x14ac:dyDescent="0.25">
      <c r="B954" s="6"/>
      <c r="C954" s="2" t="str">
        <f>IF(ISBLANK(Table3[[#This Row],[Investor]])," ",SUMIF(Entries[[Investor Name ]],Calculations!B954,Entries[Deposit Amount]))</f>
        <v xml:space="preserve"> </v>
      </c>
      <c r="D954" s="7" t="str" cm="1">
        <f t="array" aca="1" ref="D954" ca="1">IFERROR(C954 + SUM(Dashboard!J974:J1956)*Query17[Conversion Rate] * SUMPRODUCT((Entries[[Investor Name ]]=Calculations!B954) * (Entries[Deposit Amount]) *(Entries[Time in Fund(Days)]))/SUMPRODUCT(Entries[Deposit Amount],Entries[Time in Fund(Days)])," ")</f>
        <v xml:space="preserve"> </v>
      </c>
    </row>
    <row r="955" spans="2:4" x14ac:dyDescent="0.25">
      <c r="B955" s="6"/>
      <c r="C955" s="2" t="str">
        <f>IF(ISBLANK(Table3[[#This Row],[Investor]])," ",SUMIF(Entries[[Investor Name ]],Calculations!B955,Entries[Deposit Amount]))</f>
        <v xml:space="preserve"> </v>
      </c>
      <c r="D955" s="7" t="str" cm="1">
        <f t="array" aca="1" ref="D955" ca="1">IFERROR(C955 + SUM(Dashboard!J975:J1957)*Query17[Conversion Rate] * SUMPRODUCT((Entries[[Investor Name ]]=Calculations!B955) * (Entries[Deposit Amount]) *(Entries[Time in Fund(Days)]))/SUMPRODUCT(Entries[Deposit Amount],Entries[Time in Fund(Days)])," ")</f>
        <v xml:space="preserve"> </v>
      </c>
    </row>
    <row r="956" spans="2:4" x14ac:dyDescent="0.25">
      <c r="B956" s="6"/>
      <c r="C956" s="2" t="str">
        <f>IF(ISBLANK(Table3[[#This Row],[Investor]])," ",SUMIF(Entries[[Investor Name ]],Calculations!B956,Entries[Deposit Amount]))</f>
        <v xml:space="preserve"> </v>
      </c>
      <c r="D956" s="7" t="str" cm="1">
        <f t="array" aca="1" ref="D956" ca="1">IFERROR(C956 + SUM(Dashboard!J976:J1958)*Query17[Conversion Rate] * SUMPRODUCT((Entries[[Investor Name ]]=Calculations!B956) * (Entries[Deposit Amount]) *(Entries[Time in Fund(Days)]))/SUMPRODUCT(Entries[Deposit Amount],Entries[Time in Fund(Days)])," ")</f>
        <v xml:space="preserve"> </v>
      </c>
    </row>
    <row r="957" spans="2:4" x14ac:dyDescent="0.25">
      <c r="B957" s="6"/>
      <c r="C957" s="2" t="str">
        <f>IF(ISBLANK(Table3[[#This Row],[Investor]])," ",SUMIF(Entries[[Investor Name ]],Calculations!B957,Entries[Deposit Amount]))</f>
        <v xml:space="preserve"> </v>
      </c>
      <c r="D957" s="7" t="str" cm="1">
        <f t="array" aca="1" ref="D957" ca="1">IFERROR(C957 + SUM(Dashboard!J977:J1959)*Query17[Conversion Rate] * SUMPRODUCT((Entries[[Investor Name ]]=Calculations!B957) * (Entries[Deposit Amount]) *(Entries[Time in Fund(Days)]))/SUMPRODUCT(Entries[Deposit Amount],Entries[Time in Fund(Days)])," ")</f>
        <v xml:space="preserve"> </v>
      </c>
    </row>
    <row r="958" spans="2:4" x14ac:dyDescent="0.25">
      <c r="B958" s="6"/>
      <c r="C958" s="2" t="str">
        <f>IF(ISBLANK(Table3[[#This Row],[Investor]])," ",SUMIF(Entries[[Investor Name ]],Calculations!B958,Entries[Deposit Amount]))</f>
        <v xml:space="preserve"> </v>
      </c>
      <c r="D958" s="7" t="str" cm="1">
        <f t="array" aca="1" ref="D958" ca="1">IFERROR(C958 + SUM(Dashboard!J978:J1960)*Query17[Conversion Rate] * SUMPRODUCT((Entries[[Investor Name ]]=Calculations!B958) * (Entries[Deposit Amount]) *(Entries[Time in Fund(Days)]))/SUMPRODUCT(Entries[Deposit Amount],Entries[Time in Fund(Days)])," ")</f>
        <v xml:space="preserve"> </v>
      </c>
    </row>
    <row r="959" spans="2:4" x14ac:dyDescent="0.25">
      <c r="B959" s="6"/>
      <c r="C959" s="2" t="str">
        <f>IF(ISBLANK(Table3[[#This Row],[Investor]])," ",SUMIF(Entries[[Investor Name ]],Calculations!B959,Entries[Deposit Amount]))</f>
        <v xml:space="preserve"> </v>
      </c>
      <c r="D959" s="7" t="str" cm="1">
        <f t="array" aca="1" ref="D959" ca="1">IFERROR(C959 + SUM(Dashboard!J979:J1961)*Query17[Conversion Rate] * SUMPRODUCT((Entries[[Investor Name ]]=Calculations!B959) * (Entries[Deposit Amount]) *(Entries[Time in Fund(Days)]))/SUMPRODUCT(Entries[Deposit Amount],Entries[Time in Fund(Days)])," ")</f>
        <v xml:space="preserve"> </v>
      </c>
    </row>
    <row r="960" spans="2:4" x14ac:dyDescent="0.25">
      <c r="B960" s="6"/>
      <c r="C960" s="2" t="str">
        <f>IF(ISBLANK(Table3[[#This Row],[Investor]])," ",SUMIF(Entries[[Investor Name ]],Calculations!B960,Entries[Deposit Amount]))</f>
        <v xml:space="preserve"> </v>
      </c>
      <c r="D960" s="7" t="str" cm="1">
        <f t="array" aca="1" ref="D960" ca="1">IFERROR(C960 + SUM(Dashboard!J980:J1962)*Query17[Conversion Rate] * SUMPRODUCT((Entries[[Investor Name ]]=Calculations!B960) * (Entries[Deposit Amount]) *(Entries[Time in Fund(Days)]))/SUMPRODUCT(Entries[Deposit Amount],Entries[Time in Fund(Days)])," ")</f>
        <v xml:space="preserve"> </v>
      </c>
    </row>
    <row r="961" spans="2:4" x14ac:dyDescent="0.25">
      <c r="B961" s="6"/>
      <c r="C961" s="2" t="str">
        <f>IF(ISBLANK(Table3[[#This Row],[Investor]])," ",SUMIF(Entries[[Investor Name ]],Calculations!B961,Entries[Deposit Amount]))</f>
        <v xml:space="preserve"> </v>
      </c>
      <c r="D961" s="7" t="str" cm="1">
        <f t="array" aca="1" ref="D961" ca="1">IFERROR(C961 + SUM(Dashboard!J981:J1963)*Query17[Conversion Rate] * SUMPRODUCT((Entries[[Investor Name ]]=Calculations!B961) * (Entries[Deposit Amount]) *(Entries[Time in Fund(Days)]))/SUMPRODUCT(Entries[Deposit Amount],Entries[Time in Fund(Days)])," ")</f>
        <v xml:space="preserve"> </v>
      </c>
    </row>
    <row r="962" spans="2:4" x14ac:dyDescent="0.25">
      <c r="B962" s="6"/>
      <c r="C962" s="2" t="str">
        <f>IF(ISBLANK(Table3[[#This Row],[Investor]])," ",SUMIF(Entries[[Investor Name ]],Calculations!B962,Entries[Deposit Amount]))</f>
        <v xml:space="preserve"> </v>
      </c>
      <c r="D962" s="7" t="str" cm="1">
        <f t="array" aca="1" ref="D962" ca="1">IFERROR(C962 + SUM(Dashboard!J982:J1964)*Query17[Conversion Rate] * SUMPRODUCT((Entries[[Investor Name ]]=Calculations!B962) * (Entries[Deposit Amount]) *(Entries[Time in Fund(Days)]))/SUMPRODUCT(Entries[Deposit Amount],Entries[Time in Fund(Days)])," ")</f>
        <v xml:space="preserve"> </v>
      </c>
    </row>
    <row r="963" spans="2:4" x14ac:dyDescent="0.25">
      <c r="B963" s="6"/>
      <c r="C963" s="2" t="str">
        <f>IF(ISBLANK(Table3[[#This Row],[Investor]])," ",SUMIF(Entries[[Investor Name ]],Calculations!B963,Entries[Deposit Amount]))</f>
        <v xml:space="preserve"> </v>
      </c>
      <c r="D963" s="7" t="str" cm="1">
        <f t="array" aca="1" ref="D963" ca="1">IFERROR(C963 + SUM(Dashboard!J983:J1965)*Query17[Conversion Rate] * SUMPRODUCT((Entries[[Investor Name ]]=Calculations!B963) * (Entries[Deposit Amount]) *(Entries[Time in Fund(Days)]))/SUMPRODUCT(Entries[Deposit Amount],Entries[Time in Fund(Days)])," ")</f>
        <v xml:space="preserve"> </v>
      </c>
    </row>
    <row r="964" spans="2:4" x14ac:dyDescent="0.25">
      <c r="B964" s="6"/>
      <c r="C964" s="2" t="str">
        <f>IF(ISBLANK(Table3[[#This Row],[Investor]])," ",SUMIF(Entries[[Investor Name ]],Calculations!B964,Entries[Deposit Amount]))</f>
        <v xml:space="preserve"> </v>
      </c>
      <c r="D964" s="7" t="str" cm="1">
        <f t="array" aca="1" ref="D964" ca="1">IFERROR(C964 + SUM(Dashboard!J984:J1966)*Query17[Conversion Rate] * SUMPRODUCT((Entries[[Investor Name ]]=Calculations!B964) * (Entries[Deposit Amount]) *(Entries[Time in Fund(Days)]))/SUMPRODUCT(Entries[Deposit Amount],Entries[Time in Fund(Days)])," ")</f>
        <v xml:space="preserve"> </v>
      </c>
    </row>
    <row r="965" spans="2:4" x14ac:dyDescent="0.25">
      <c r="B965" s="6"/>
      <c r="C965" s="2" t="str">
        <f>IF(ISBLANK(Table3[[#This Row],[Investor]])," ",SUMIF(Entries[[Investor Name ]],Calculations!B965,Entries[Deposit Amount]))</f>
        <v xml:space="preserve"> </v>
      </c>
      <c r="D965" s="7" t="str" cm="1">
        <f t="array" aca="1" ref="D965" ca="1">IFERROR(C965 + SUM(Dashboard!J985:J1967)*Query17[Conversion Rate] * SUMPRODUCT((Entries[[Investor Name ]]=Calculations!B965) * (Entries[Deposit Amount]) *(Entries[Time in Fund(Days)]))/SUMPRODUCT(Entries[Deposit Amount],Entries[Time in Fund(Days)])," ")</f>
        <v xml:space="preserve"> </v>
      </c>
    </row>
    <row r="966" spans="2:4" x14ac:dyDescent="0.25">
      <c r="B966" s="6"/>
      <c r="C966" s="2" t="str">
        <f>IF(ISBLANK(Table3[[#This Row],[Investor]])," ",SUMIF(Entries[[Investor Name ]],Calculations!B966,Entries[Deposit Amount]))</f>
        <v xml:space="preserve"> </v>
      </c>
      <c r="D966" s="7" t="str" cm="1">
        <f t="array" aca="1" ref="D966" ca="1">IFERROR(C966 + SUM(Dashboard!J986:J1968)*Query17[Conversion Rate] * SUMPRODUCT((Entries[[Investor Name ]]=Calculations!B966) * (Entries[Deposit Amount]) *(Entries[Time in Fund(Days)]))/SUMPRODUCT(Entries[Deposit Amount],Entries[Time in Fund(Days)])," ")</f>
        <v xml:space="preserve"> </v>
      </c>
    </row>
    <row r="967" spans="2:4" x14ac:dyDescent="0.25">
      <c r="B967" s="6"/>
      <c r="C967" s="2" t="str">
        <f>IF(ISBLANK(Table3[[#This Row],[Investor]])," ",SUMIF(Entries[[Investor Name ]],Calculations!B967,Entries[Deposit Amount]))</f>
        <v xml:space="preserve"> </v>
      </c>
      <c r="D967" s="7" t="str" cm="1">
        <f t="array" aca="1" ref="D967" ca="1">IFERROR(C967 + SUM(Dashboard!J987:J1969)*Query17[Conversion Rate] * SUMPRODUCT((Entries[[Investor Name ]]=Calculations!B967) * (Entries[Deposit Amount]) *(Entries[Time in Fund(Days)]))/SUMPRODUCT(Entries[Deposit Amount],Entries[Time in Fund(Days)])," ")</f>
        <v xml:space="preserve"> </v>
      </c>
    </row>
    <row r="968" spans="2:4" x14ac:dyDescent="0.25">
      <c r="B968" s="6"/>
      <c r="C968" s="2" t="str">
        <f>IF(ISBLANK(Table3[[#This Row],[Investor]])," ",SUMIF(Entries[[Investor Name ]],Calculations!B968,Entries[Deposit Amount]))</f>
        <v xml:space="preserve"> </v>
      </c>
      <c r="D968" s="7" t="str" cm="1">
        <f t="array" aca="1" ref="D968" ca="1">IFERROR(C968 + SUM(Dashboard!J988:J1970)*Query17[Conversion Rate] * SUMPRODUCT((Entries[[Investor Name ]]=Calculations!B968) * (Entries[Deposit Amount]) *(Entries[Time in Fund(Days)]))/SUMPRODUCT(Entries[Deposit Amount],Entries[Time in Fund(Days)])," ")</f>
        <v xml:space="preserve"> </v>
      </c>
    </row>
    <row r="969" spans="2:4" x14ac:dyDescent="0.25">
      <c r="B969" s="6"/>
      <c r="C969" s="2" t="str">
        <f>IF(ISBLANK(Table3[[#This Row],[Investor]])," ",SUMIF(Entries[[Investor Name ]],Calculations!B969,Entries[Deposit Amount]))</f>
        <v xml:space="preserve"> </v>
      </c>
      <c r="D969" s="7" t="str" cm="1">
        <f t="array" aca="1" ref="D969" ca="1">IFERROR(C969 + SUM(Dashboard!J989:J1971)*Query17[Conversion Rate] * SUMPRODUCT((Entries[[Investor Name ]]=Calculations!B969) * (Entries[Deposit Amount]) *(Entries[Time in Fund(Days)]))/SUMPRODUCT(Entries[Deposit Amount],Entries[Time in Fund(Days)])," ")</f>
        <v xml:space="preserve"> </v>
      </c>
    </row>
    <row r="970" spans="2:4" x14ac:dyDescent="0.25">
      <c r="B970" s="6"/>
      <c r="C970" s="2" t="str">
        <f>IF(ISBLANK(Table3[[#This Row],[Investor]])," ",SUMIF(Entries[[Investor Name ]],Calculations!B970,Entries[Deposit Amount]))</f>
        <v xml:space="preserve"> </v>
      </c>
      <c r="D970" s="7" t="str" cm="1">
        <f t="array" aca="1" ref="D970" ca="1">IFERROR(C970 + SUM(Dashboard!J990:J1972)*Query17[Conversion Rate] * SUMPRODUCT((Entries[[Investor Name ]]=Calculations!B970) * (Entries[Deposit Amount]) *(Entries[Time in Fund(Days)]))/SUMPRODUCT(Entries[Deposit Amount],Entries[Time in Fund(Days)])," ")</f>
        <v xml:space="preserve"> </v>
      </c>
    </row>
    <row r="971" spans="2:4" x14ac:dyDescent="0.25">
      <c r="B971" s="6"/>
      <c r="C971" s="2" t="str">
        <f>IF(ISBLANK(Table3[[#This Row],[Investor]])," ",SUMIF(Entries[[Investor Name ]],Calculations!B971,Entries[Deposit Amount]))</f>
        <v xml:space="preserve"> </v>
      </c>
      <c r="D971" s="7" t="str" cm="1">
        <f t="array" aca="1" ref="D971" ca="1">IFERROR(C971 + SUM(Dashboard!J991:J1973)*Query17[Conversion Rate] * SUMPRODUCT((Entries[[Investor Name ]]=Calculations!B971) * (Entries[Deposit Amount]) *(Entries[Time in Fund(Days)]))/SUMPRODUCT(Entries[Deposit Amount],Entries[Time in Fund(Days)])," ")</f>
        <v xml:space="preserve"> </v>
      </c>
    </row>
    <row r="972" spans="2:4" x14ac:dyDescent="0.25">
      <c r="B972" s="6"/>
      <c r="C972" s="2" t="str">
        <f>IF(ISBLANK(Table3[[#This Row],[Investor]])," ",SUMIF(Entries[[Investor Name ]],Calculations!B972,Entries[Deposit Amount]))</f>
        <v xml:space="preserve"> </v>
      </c>
      <c r="D972" s="7" t="str" cm="1">
        <f t="array" aca="1" ref="D972" ca="1">IFERROR(C972 + SUM(Dashboard!J992:J1974)*Query17[Conversion Rate] * SUMPRODUCT((Entries[[Investor Name ]]=Calculations!B972) * (Entries[Deposit Amount]) *(Entries[Time in Fund(Days)]))/SUMPRODUCT(Entries[Deposit Amount],Entries[Time in Fund(Days)])," ")</f>
        <v xml:space="preserve"> </v>
      </c>
    </row>
    <row r="973" spans="2:4" x14ac:dyDescent="0.25">
      <c r="B973" s="6"/>
      <c r="C973" s="2" t="str">
        <f>IF(ISBLANK(Table3[[#This Row],[Investor]])," ",SUMIF(Entries[[Investor Name ]],Calculations!B973,Entries[Deposit Amount]))</f>
        <v xml:space="preserve"> </v>
      </c>
      <c r="D973" s="7" t="str" cm="1">
        <f t="array" aca="1" ref="D973" ca="1">IFERROR(C973 + SUM(Dashboard!J993:J1975)*Query17[Conversion Rate] * SUMPRODUCT((Entries[[Investor Name ]]=Calculations!B973) * (Entries[Deposit Amount]) *(Entries[Time in Fund(Days)]))/SUMPRODUCT(Entries[Deposit Amount],Entries[Time in Fund(Days)])," ")</f>
        <v xml:space="preserve"> </v>
      </c>
    </row>
    <row r="974" spans="2:4" x14ac:dyDescent="0.25">
      <c r="B974" s="6"/>
      <c r="C974" s="2" t="str">
        <f>IF(ISBLANK(Table3[[#This Row],[Investor]])," ",SUMIF(Entries[[Investor Name ]],Calculations!B974,Entries[Deposit Amount]))</f>
        <v xml:space="preserve"> </v>
      </c>
      <c r="D974" s="7" t="str" cm="1">
        <f t="array" aca="1" ref="D974" ca="1">IFERROR(C974 + SUM(Dashboard!J994:J1976)*Query17[Conversion Rate] * SUMPRODUCT((Entries[[Investor Name ]]=Calculations!B974) * (Entries[Deposit Amount]) *(Entries[Time in Fund(Days)]))/SUMPRODUCT(Entries[Deposit Amount],Entries[Time in Fund(Days)])," ")</f>
        <v xml:space="preserve"> </v>
      </c>
    </row>
    <row r="975" spans="2:4" x14ac:dyDescent="0.25">
      <c r="B975" s="6"/>
      <c r="C975" s="2" t="str">
        <f>IF(ISBLANK(Table3[[#This Row],[Investor]])," ",SUMIF(Entries[[Investor Name ]],Calculations!B975,Entries[Deposit Amount]))</f>
        <v xml:space="preserve"> </v>
      </c>
      <c r="D975" s="7" t="str" cm="1">
        <f t="array" aca="1" ref="D975" ca="1">IFERROR(C975 + SUM(Dashboard!J995:J1977)*Query17[Conversion Rate] * SUMPRODUCT((Entries[[Investor Name ]]=Calculations!B975) * (Entries[Deposit Amount]) *(Entries[Time in Fund(Days)]))/SUMPRODUCT(Entries[Deposit Amount],Entries[Time in Fund(Days)])," ")</f>
        <v xml:space="preserve"> </v>
      </c>
    </row>
    <row r="976" spans="2:4" x14ac:dyDescent="0.25">
      <c r="B976" s="6"/>
      <c r="C976" s="2" t="str">
        <f>IF(ISBLANK(Table3[[#This Row],[Investor]])," ",SUMIF(Entries[[Investor Name ]],Calculations!B976,Entries[Deposit Amount]))</f>
        <v xml:space="preserve"> </v>
      </c>
      <c r="D976" s="7" t="str" cm="1">
        <f t="array" aca="1" ref="D976" ca="1">IFERROR(C976 + SUM(Dashboard!J996:J1978)*Query17[Conversion Rate] * SUMPRODUCT((Entries[[Investor Name ]]=Calculations!B976) * (Entries[Deposit Amount]) *(Entries[Time in Fund(Days)]))/SUMPRODUCT(Entries[Deposit Amount],Entries[Time in Fund(Days)])," ")</f>
        <v xml:space="preserve"> </v>
      </c>
    </row>
    <row r="977" spans="2:4" x14ac:dyDescent="0.25">
      <c r="B977" s="6"/>
      <c r="C977" s="2" t="str">
        <f>IF(ISBLANK(Table3[[#This Row],[Investor]])," ",SUMIF(Entries[[Investor Name ]],Calculations!B977,Entries[Deposit Amount]))</f>
        <v xml:space="preserve"> </v>
      </c>
      <c r="D977" s="7" t="str" cm="1">
        <f t="array" aca="1" ref="D977" ca="1">IFERROR(C977 + SUM(Dashboard!J997:J1979)*Query17[Conversion Rate] * SUMPRODUCT((Entries[[Investor Name ]]=Calculations!B977) * (Entries[Deposit Amount]) *(Entries[Time in Fund(Days)]))/SUMPRODUCT(Entries[Deposit Amount],Entries[Time in Fund(Days)])," ")</f>
        <v xml:space="preserve"> </v>
      </c>
    </row>
    <row r="978" spans="2:4" x14ac:dyDescent="0.25">
      <c r="B978" s="6"/>
      <c r="C978" s="2" t="str">
        <f>IF(ISBLANK(Table3[[#This Row],[Investor]])," ",SUMIF(Entries[[Investor Name ]],Calculations!B978,Entries[Deposit Amount]))</f>
        <v xml:space="preserve"> </v>
      </c>
      <c r="D978" s="7" t="str" cm="1">
        <f t="array" aca="1" ref="D978" ca="1">IFERROR(C978 + SUM(Dashboard!J998:J1980)*Query17[Conversion Rate] * SUMPRODUCT((Entries[[Investor Name ]]=Calculations!B978) * (Entries[Deposit Amount]) *(Entries[Time in Fund(Days)]))/SUMPRODUCT(Entries[Deposit Amount],Entries[Time in Fund(Days)])," ")</f>
        <v xml:space="preserve"> </v>
      </c>
    </row>
    <row r="979" spans="2:4" x14ac:dyDescent="0.25">
      <c r="B979" s="6"/>
      <c r="C979" s="2" t="str">
        <f>IF(ISBLANK(Table3[[#This Row],[Investor]])," ",SUMIF(Entries[[Investor Name ]],Calculations!B979,Entries[Deposit Amount]))</f>
        <v xml:space="preserve"> </v>
      </c>
      <c r="D979" s="7" t="str" cm="1">
        <f t="array" aca="1" ref="D979" ca="1">IFERROR(C979 + SUM(Dashboard!J999:J1981)*Query17[Conversion Rate] * SUMPRODUCT((Entries[[Investor Name ]]=Calculations!B979) * (Entries[Deposit Amount]) *(Entries[Time in Fund(Days)]))/SUMPRODUCT(Entries[Deposit Amount],Entries[Time in Fund(Days)])," ")</f>
        <v xml:space="preserve"> </v>
      </c>
    </row>
    <row r="980" spans="2:4" x14ac:dyDescent="0.25">
      <c r="B980" s="6"/>
      <c r="C980" s="2" t="str">
        <f>IF(ISBLANK(Table3[[#This Row],[Investor]])," ",SUMIF(Entries[[Investor Name ]],Calculations!B980,Entries[Deposit Amount]))</f>
        <v xml:space="preserve"> </v>
      </c>
      <c r="D980" s="7" t="str" cm="1">
        <f t="array" aca="1" ref="D980" ca="1">IFERROR(C980 + SUM(Dashboard!J1000:J1982)*Query17[Conversion Rate] * SUMPRODUCT((Entries[[Investor Name ]]=Calculations!B980) * (Entries[Deposit Amount]) *(Entries[Time in Fund(Days)]))/SUMPRODUCT(Entries[Deposit Amount],Entries[Time in Fund(Days)])," ")</f>
        <v xml:space="preserve"> </v>
      </c>
    </row>
    <row r="981" spans="2:4" x14ac:dyDescent="0.25">
      <c r="B981" s="6"/>
      <c r="C981" s="2" t="str">
        <f>IF(ISBLANK(Table3[[#This Row],[Investor]])," ",SUMIF(Entries[[Investor Name ]],Calculations!B981,Entries[Deposit Amount]))</f>
        <v xml:space="preserve"> </v>
      </c>
      <c r="D981" s="7" t="str" cm="1">
        <f t="array" aca="1" ref="D981" ca="1">IFERROR(C981 + SUM(Dashboard!J1001:J1983)*Query17[Conversion Rate] * SUMPRODUCT((Entries[[Investor Name ]]=Calculations!B981) * (Entries[Deposit Amount]) *(Entries[Time in Fund(Days)]))/SUMPRODUCT(Entries[Deposit Amount],Entries[Time in Fund(Days)])," ")</f>
        <v xml:space="preserve"> </v>
      </c>
    </row>
    <row r="982" spans="2:4" x14ac:dyDescent="0.25">
      <c r="B982" s="6"/>
      <c r="C982" s="2" t="str">
        <f>IF(ISBLANK(Table3[[#This Row],[Investor]])," ",SUMIF(Entries[[Investor Name ]],Calculations!B982,Entries[Deposit Amount]))</f>
        <v xml:space="preserve"> </v>
      </c>
      <c r="D982" s="7" t="str" cm="1">
        <f t="array" aca="1" ref="D982" ca="1">IFERROR(C982 + SUM(Dashboard!J1002:J1984)*Query17[Conversion Rate] * SUMPRODUCT((Entries[[Investor Name ]]=Calculations!B982) * (Entries[Deposit Amount]) *(Entries[Time in Fund(Days)]))/SUMPRODUCT(Entries[Deposit Amount],Entries[Time in Fund(Days)])," ")</f>
        <v xml:space="preserve"> </v>
      </c>
    </row>
    <row r="983" spans="2:4" x14ac:dyDescent="0.25">
      <c r="B983" s="6"/>
      <c r="C983" s="2" t="str">
        <f>IF(ISBLANK(Table3[[#This Row],[Investor]])," ",SUMIF(Entries[[Investor Name ]],Calculations!B983,Entries[Deposit Amount]))</f>
        <v xml:space="preserve"> </v>
      </c>
      <c r="D983" s="7" t="str" cm="1">
        <f t="array" aca="1" ref="D983" ca="1">IFERROR(C983 + SUM(Dashboard!J1003:J1985)*Query17[Conversion Rate] * SUMPRODUCT((Entries[[Investor Name ]]=Calculations!B983) * (Entries[Deposit Amount]) *(Entries[Time in Fund(Days)]))/SUMPRODUCT(Entries[Deposit Amount],Entries[Time in Fund(Days)])," ")</f>
        <v xml:space="preserve"> </v>
      </c>
    </row>
    <row r="984" spans="2:4" x14ac:dyDescent="0.25">
      <c r="B984" s="6"/>
      <c r="C984" s="2" t="str">
        <f>IF(ISBLANK(Table3[[#This Row],[Investor]])," ",SUMIF(Entries[[Investor Name ]],Calculations!B984,Entries[Deposit Amount]))</f>
        <v xml:space="preserve"> </v>
      </c>
      <c r="D984" s="7" t="str" cm="1">
        <f t="array" aca="1" ref="D984" ca="1">IFERROR(C984 + SUM(Dashboard!J1004:J1986)*Query17[Conversion Rate] * SUMPRODUCT((Entries[[Investor Name ]]=Calculations!B984) * (Entries[Deposit Amount]) *(Entries[Time in Fund(Days)]))/SUMPRODUCT(Entries[Deposit Amount],Entries[Time in Fund(Days)])," ")</f>
        <v xml:space="preserve"> </v>
      </c>
    </row>
    <row r="985" spans="2:4" x14ac:dyDescent="0.25">
      <c r="B985" s="6"/>
      <c r="C985" s="2" t="str">
        <f>IF(ISBLANK(Table3[[#This Row],[Investor]])," ",SUMIF(Entries[[Investor Name ]],Calculations!B985,Entries[Deposit Amount]))</f>
        <v xml:space="preserve"> </v>
      </c>
      <c r="D985" s="7" t="str" cm="1">
        <f t="array" aca="1" ref="D985" ca="1">IFERROR(C985 + SUM(Dashboard!J1005:J1987)*Query17[Conversion Rate] * SUMPRODUCT((Entries[[Investor Name ]]=Calculations!B985) * (Entries[Deposit Amount]) *(Entries[Time in Fund(Days)]))/SUMPRODUCT(Entries[Deposit Amount],Entries[Time in Fund(Days)])," ")</f>
        <v xml:space="preserve"> </v>
      </c>
    </row>
    <row r="986" spans="2:4" x14ac:dyDescent="0.25">
      <c r="B986" s="6"/>
      <c r="C986" s="2" t="str">
        <f>IF(ISBLANK(Table3[[#This Row],[Investor]])," ",SUMIF(Entries[[Investor Name ]],Calculations!B986,Entries[Deposit Amount]))</f>
        <v xml:space="preserve"> </v>
      </c>
      <c r="D986" s="7" t="str" cm="1">
        <f t="array" aca="1" ref="D986" ca="1">IFERROR(C986 + SUM(Dashboard!J1006:J1988)*Query17[Conversion Rate] * SUMPRODUCT((Entries[[Investor Name ]]=Calculations!B986) * (Entries[Deposit Amount]) *(Entries[Time in Fund(Days)]))/SUMPRODUCT(Entries[Deposit Amount],Entries[Time in Fund(Days)])," ")</f>
        <v xml:space="preserve"> </v>
      </c>
    </row>
    <row r="987" spans="2:4" x14ac:dyDescent="0.25">
      <c r="B987" s="6"/>
      <c r="C987" s="2" t="str">
        <f>IF(ISBLANK(Table3[[#This Row],[Investor]])," ",SUMIF(Entries[[Investor Name ]],Calculations!B987,Entries[Deposit Amount]))</f>
        <v xml:space="preserve"> </v>
      </c>
      <c r="D987" s="7" t="str" cm="1">
        <f t="array" aca="1" ref="D987" ca="1">IFERROR(C987 + SUM(Dashboard!J1007:J1989)*Query17[Conversion Rate] * SUMPRODUCT((Entries[[Investor Name ]]=Calculations!B987) * (Entries[Deposit Amount]) *(Entries[Time in Fund(Days)]))/SUMPRODUCT(Entries[Deposit Amount],Entries[Time in Fund(Days)])," ")</f>
        <v xml:space="preserve"> </v>
      </c>
    </row>
    <row r="988" spans="2:4" x14ac:dyDescent="0.25">
      <c r="B988" s="6"/>
      <c r="C988" s="2" t="str">
        <f>IF(ISBLANK(Table3[[#This Row],[Investor]])," ",SUMIF(Entries[[Investor Name ]],Calculations!B988,Entries[Deposit Amount]))</f>
        <v xml:space="preserve"> </v>
      </c>
      <c r="D988" s="7" t="str" cm="1">
        <f t="array" aca="1" ref="D988" ca="1">IFERROR(C988 + SUM(Dashboard!J1008:J1990)*Query17[Conversion Rate] * SUMPRODUCT((Entries[[Investor Name ]]=Calculations!B988) * (Entries[Deposit Amount]) *(Entries[Time in Fund(Days)]))/SUMPRODUCT(Entries[Deposit Amount],Entries[Time in Fund(Days)])," ")</f>
        <v xml:space="preserve"> </v>
      </c>
    </row>
    <row r="989" spans="2:4" x14ac:dyDescent="0.25">
      <c r="B989" s="6"/>
      <c r="C989" s="2" t="str">
        <f>IF(ISBLANK(Table3[[#This Row],[Investor]])," ",SUMIF(Entries[[Investor Name ]],Calculations!B989,Entries[Deposit Amount]))</f>
        <v xml:space="preserve"> </v>
      </c>
      <c r="D989" s="7" t="str" cm="1">
        <f t="array" aca="1" ref="D989" ca="1">IFERROR(C989 + SUM(Dashboard!J1009:J1991)*Query17[Conversion Rate] * SUMPRODUCT((Entries[[Investor Name ]]=Calculations!B989) * (Entries[Deposit Amount]) *(Entries[Time in Fund(Days)]))/SUMPRODUCT(Entries[Deposit Amount],Entries[Time in Fund(Days)])," ")</f>
        <v xml:space="preserve"> </v>
      </c>
    </row>
    <row r="990" spans="2:4" x14ac:dyDescent="0.25">
      <c r="B990" s="6"/>
      <c r="C990" s="2" t="str">
        <f>IF(ISBLANK(Table3[[#This Row],[Investor]])," ",SUMIF(Entries[[Investor Name ]],Calculations!B990,Entries[Deposit Amount]))</f>
        <v xml:space="preserve"> </v>
      </c>
      <c r="D990" s="7" t="str" cm="1">
        <f t="array" aca="1" ref="D990" ca="1">IFERROR(C990 + SUM(Dashboard!J1010:J1992)*Query17[Conversion Rate] * SUMPRODUCT((Entries[[Investor Name ]]=Calculations!B990) * (Entries[Deposit Amount]) *(Entries[Time in Fund(Days)]))/SUMPRODUCT(Entries[Deposit Amount],Entries[Time in Fund(Days)])," ")</f>
        <v xml:space="preserve"> </v>
      </c>
    </row>
    <row r="991" spans="2:4" x14ac:dyDescent="0.25">
      <c r="B991" s="6"/>
      <c r="C991" s="2" t="str">
        <f>IF(ISBLANK(Table3[[#This Row],[Investor]])," ",SUMIF(Entries[[Investor Name ]],Calculations!B991,Entries[Deposit Amount]))</f>
        <v xml:space="preserve"> </v>
      </c>
      <c r="D991" s="7" t="str" cm="1">
        <f t="array" aca="1" ref="D991" ca="1">IFERROR(C991 + SUM(Dashboard!J1011:J1993)*Query17[Conversion Rate] * SUMPRODUCT((Entries[[Investor Name ]]=Calculations!B991) * (Entries[Deposit Amount]) *(Entries[Time in Fund(Days)]))/SUMPRODUCT(Entries[Deposit Amount],Entries[Time in Fund(Days)])," ")</f>
        <v xml:space="preserve"> </v>
      </c>
    </row>
    <row r="992" spans="2:4" x14ac:dyDescent="0.25">
      <c r="B992" s="6"/>
      <c r="C992" s="2" t="str">
        <f>IF(ISBLANK(Table3[[#This Row],[Investor]])," ",SUMIF(Entries[[Investor Name ]],Calculations!B992,Entries[Deposit Amount]))</f>
        <v xml:space="preserve"> </v>
      </c>
      <c r="D992" s="7" t="str" cm="1">
        <f t="array" aca="1" ref="D992" ca="1">IFERROR(C992 + SUM(Dashboard!J1012:J1994)*Query17[Conversion Rate] * SUMPRODUCT((Entries[[Investor Name ]]=Calculations!B992) * (Entries[Deposit Amount]) *(Entries[Time in Fund(Days)]))/SUMPRODUCT(Entries[Deposit Amount],Entries[Time in Fund(Days)])," ")</f>
        <v xml:space="preserve"> </v>
      </c>
    </row>
    <row r="993" spans="2:4" x14ac:dyDescent="0.25">
      <c r="B993" s="6"/>
      <c r="C993" s="2" t="str">
        <f>IF(ISBLANK(Table3[[#This Row],[Investor]])," ",SUMIF(Entries[[Investor Name ]],Calculations!B993,Entries[Deposit Amount]))</f>
        <v xml:space="preserve"> </v>
      </c>
      <c r="D993" s="7" t="str" cm="1">
        <f t="array" aca="1" ref="D993" ca="1">IFERROR(C993 + SUM(Dashboard!J1013:J1995)*Query17[Conversion Rate] * SUMPRODUCT((Entries[[Investor Name ]]=Calculations!B993) * (Entries[Deposit Amount]) *(Entries[Time in Fund(Days)]))/SUMPRODUCT(Entries[Deposit Amount],Entries[Time in Fund(Days)])," ")</f>
        <v xml:space="preserve"> </v>
      </c>
    </row>
    <row r="994" spans="2:4" x14ac:dyDescent="0.25">
      <c r="B994" s="6"/>
      <c r="C994" s="2" t="str">
        <f>IF(ISBLANK(Table3[[#This Row],[Investor]])," ",SUMIF(Entries[[Investor Name ]],Calculations!B994,Entries[Deposit Amount]))</f>
        <v xml:space="preserve"> </v>
      </c>
      <c r="D994" s="7" t="str" cm="1">
        <f t="array" aca="1" ref="D994" ca="1">IFERROR(C994 + SUM(Dashboard!J1014:J1996)*Query17[Conversion Rate] * SUMPRODUCT((Entries[[Investor Name ]]=Calculations!B994) * (Entries[Deposit Amount]) *(Entries[Time in Fund(Days)]))/SUMPRODUCT(Entries[Deposit Amount],Entries[Time in Fund(Days)])," ")</f>
        <v xml:space="preserve"> </v>
      </c>
    </row>
    <row r="995" spans="2:4" x14ac:dyDescent="0.25">
      <c r="B995" s="6"/>
      <c r="C995" s="2" t="str">
        <f>IF(ISBLANK(Table3[[#This Row],[Investor]])," ",SUMIF(Entries[[Investor Name ]],Calculations!B995,Entries[Deposit Amount]))</f>
        <v xml:space="preserve"> </v>
      </c>
      <c r="D995" s="7" t="str" cm="1">
        <f t="array" aca="1" ref="D995" ca="1">IFERROR(C995 + SUM(Dashboard!J1015:J1997)*Query17[Conversion Rate] * SUMPRODUCT((Entries[[Investor Name ]]=Calculations!B995) * (Entries[Deposit Amount]) *(Entries[Time in Fund(Days)]))/SUMPRODUCT(Entries[Deposit Amount],Entries[Time in Fund(Days)])," ")</f>
        <v xml:space="preserve"> </v>
      </c>
    </row>
    <row r="996" spans="2:4" x14ac:dyDescent="0.25">
      <c r="B996" s="6"/>
      <c r="C996" s="2" t="str">
        <f>IF(ISBLANK(Table3[[#This Row],[Investor]])," ",SUMIF(Entries[[Investor Name ]],Calculations!B996,Entries[Deposit Amount]))</f>
        <v xml:space="preserve"> </v>
      </c>
      <c r="D996" s="7" t="str" cm="1">
        <f t="array" aca="1" ref="D996" ca="1">IFERROR(C996 + SUM(Dashboard!J1016:J1998)*Query17[Conversion Rate] * SUMPRODUCT((Entries[[Investor Name ]]=Calculations!B996) * (Entries[Deposit Amount]) *(Entries[Time in Fund(Days)]))/SUMPRODUCT(Entries[Deposit Amount],Entries[Time in Fund(Days)])," ")</f>
        <v xml:space="preserve"> </v>
      </c>
    </row>
    <row r="997" spans="2:4" x14ac:dyDescent="0.25">
      <c r="B997" s="6"/>
      <c r="C997" s="2" t="str">
        <f>IF(ISBLANK(Table3[[#This Row],[Investor]])," ",SUMIF(Entries[[Investor Name ]],Calculations!B997,Entries[Deposit Amount]))</f>
        <v xml:space="preserve"> </v>
      </c>
      <c r="D997" s="7" t="str" cm="1">
        <f t="array" aca="1" ref="D997" ca="1">IFERROR(C997 + SUM(Dashboard!J1017:J1999)*Query17[Conversion Rate] * SUMPRODUCT((Entries[[Investor Name ]]=Calculations!B997) * (Entries[Deposit Amount]) *(Entries[Time in Fund(Days)]))/SUMPRODUCT(Entries[Deposit Amount],Entries[Time in Fund(Days)])," ")</f>
        <v xml:space="preserve"> </v>
      </c>
    </row>
    <row r="998" spans="2:4" x14ac:dyDescent="0.25">
      <c r="B998" s="6"/>
      <c r="C998" s="2" t="str">
        <f>IF(ISBLANK(Table3[[#This Row],[Investor]])," ",SUMIF(Entries[[Investor Name ]],Calculations!B998,Entries[Deposit Amount]))</f>
        <v xml:space="preserve"> </v>
      </c>
      <c r="D998" s="7" t="str" cm="1">
        <f t="array" aca="1" ref="D998" ca="1">IFERROR(C998 + SUM(Dashboard!J1018:J2000)*Query17[Conversion Rate] * SUMPRODUCT((Entries[[Investor Name ]]=Calculations!B998) * (Entries[Deposit Amount]) *(Entries[Time in Fund(Days)]))/SUMPRODUCT(Entries[Deposit Amount],Entries[Time in Fund(Days)])," ")</f>
        <v xml:space="preserve"> </v>
      </c>
    </row>
    <row r="999" spans="2:4" x14ac:dyDescent="0.25">
      <c r="B999" s="6"/>
      <c r="C999" s="2" t="str">
        <f>IF(ISBLANK(Table3[[#This Row],[Investor]])," ",SUMIF(Entries[[Investor Name ]],Calculations!B999,Entries[Deposit Amount]))</f>
        <v xml:space="preserve"> </v>
      </c>
      <c r="D999" s="7" t="str" cm="1">
        <f t="array" aca="1" ref="D999" ca="1">IFERROR(C999 + SUM(Dashboard!J1019:J2001)*Query17[Conversion Rate] * SUMPRODUCT((Entries[[Investor Name ]]=Calculations!B999) * (Entries[Deposit Amount]) *(Entries[Time in Fund(Days)]))/SUMPRODUCT(Entries[Deposit Amount],Entries[Time in Fund(Days)])," ")</f>
        <v xml:space="preserve"> </v>
      </c>
    </row>
    <row r="1000" spans="2:4" x14ac:dyDescent="0.25">
      <c r="B1000" s="6"/>
      <c r="C1000" s="2" t="str">
        <f>IF(ISBLANK(Table3[[#This Row],[Investor]])," ",SUMIF(Entries[[Investor Name ]],Calculations!B1000,Entries[Deposit Amount]))</f>
        <v xml:space="preserve"> </v>
      </c>
      <c r="D1000" s="7" t="str" cm="1">
        <f t="array" aca="1" ref="D1000" ca="1">IFERROR(C1000 + SUM(Dashboard!J1020:J2002)*Query17[Conversion Rate] * SUMPRODUCT((Entries[[Investor Name ]]=Calculations!B1000) * (Entries[Deposit Amount]) *(Entries[Time in Fund(Days)]))/SUMPRODUCT(Entries[Deposit Amount],Entries[Time in Fund(Days)])," ")</f>
        <v xml:space="preserve"> </v>
      </c>
    </row>
  </sheetData>
  <pageMargins left="0.7" right="0.7" top="0.75" bottom="0.75" header="0.3" footer="0.3"/>
  <ignoredErrors>
    <ignoredError sqref="C8 C3"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AA0AA-A756-4C3A-994B-FC6A9F26170E}">
  <sheetPr codeName="Sheet5"/>
  <dimension ref="A1:AI1048575"/>
  <sheetViews>
    <sheetView showGridLines="0" zoomScale="77" zoomScaleNormal="50" workbookViewId="0">
      <pane ySplit="22" topLeftCell="A23" activePane="bottomLeft" state="frozen"/>
      <selection activeCell="B1" sqref="B1"/>
      <selection pane="bottomLeft" activeCell="M23" sqref="M23"/>
    </sheetView>
  </sheetViews>
  <sheetFormatPr defaultRowHeight="15" x14ac:dyDescent="0.25"/>
  <cols>
    <col min="1" max="1" width="13.28515625" style="10" bestFit="1" customWidth="1"/>
    <col min="2" max="2" width="42.140625" style="10" bestFit="1" customWidth="1"/>
    <col min="3" max="3" width="8.5703125" style="10" customWidth="1"/>
    <col min="4" max="4" width="14.85546875" style="10" bestFit="1" customWidth="1"/>
    <col min="5" max="5" width="13.7109375" style="10" bestFit="1" customWidth="1"/>
    <col min="6" max="6" width="15.140625" style="10" customWidth="1"/>
    <col min="7" max="7" width="18.42578125" style="10" bestFit="1" customWidth="1"/>
    <col min="8" max="8" width="18.42578125" style="10" customWidth="1"/>
    <col min="9" max="10" width="15.5703125" style="10" customWidth="1"/>
    <col min="11" max="11" width="10.28515625" style="10" customWidth="1"/>
    <col min="12" max="12" width="15.85546875" style="10" customWidth="1"/>
    <col min="13" max="13" width="34" style="10" bestFit="1" customWidth="1"/>
    <col min="14" max="27" width="9.140625" style="10"/>
    <col min="28" max="28" width="14.85546875" style="10" hidden="1" customWidth="1"/>
    <col min="29" max="30" width="9.140625" style="10"/>
    <col min="31" max="31" width="14.85546875" style="10" bestFit="1" customWidth="1"/>
    <col min="32" max="16384" width="9.140625" style="10"/>
  </cols>
  <sheetData>
    <row r="1" spans="1:35" x14ac:dyDescent="0.25">
      <c r="A1" s="31" t="s">
        <v>39</v>
      </c>
      <c r="B1" s="31"/>
      <c r="C1" s="31"/>
      <c r="D1" s="31"/>
      <c r="E1" s="31"/>
      <c r="F1" s="31"/>
      <c r="G1" s="31"/>
      <c r="H1" s="31"/>
      <c r="I1" s="31"/>
      <c r="J1" s="31"/>
      <c r="K1" s="31"/>
      <c r="L1" s="23"/>
      <c r="M1" s="23"/>
    </row>
    <row r="2" spans="1:35" x14ac:dyDescent="0.25">
      <c r="A2" s="31"/>
      <c r="B2" s="31"/>
      <c r="C2" s="31"/>
      <c r="D2" s="31"/>
      <c r="E2" s="31"/>
      <c r="F2" s="31"/>
      <c r="G2" s="31"/>
      <c r="H2" s="31"/>
      <c r="I2" s="31"/>
      <c r="J2" s="31"/>
      <c r="K2" s="31"/>
      <c r="L2" s="23"/>
      <c r="M2" s="23"/>
    </row>
    <row r="3" spans="1:35" x14ac:dyDescent="0.25">
      <c r="A3" s="31"/>
      <c r="B3" s="31"/>
      <c r="C3" s="31"/>
      <c r="D3" s="31"/>
      <c r="E3" s="31"/>
      <c r="F3" s="31"/>
      <c r="G3" s="31"/>
      <c r="H3" s="31"/>
      <c r="I3" s="31"/>
      <c r="J3" s="31"/>
      <c r="K3" s="31"/>
      <c r="L3" s="23"/>
      <c r="M3" s="23"/>
    </row>
    <row r="4" spans="1:35" x14ac:dyDescent="0.25">
      <c r="J4" s="11" t="s">
        <v>40</v>
      </c>
      <c r="M4" s="11" t="s">
        <v>41</v>
      </c>
    </row>
    <row r="5" spans="1:35" x14ac:dyDescent="0.25">
      <c r="J5" s="21">
        <v>3</v>
      </c>
      <c r="M5" s="22" t="s">
        <v>48</v>
      </c>
    </row>
    <row r="6" spans="1:35" ht="21" customHeight="1" x14ac:dyDescent="0.25">
      <c r="J6" s="32" t="str">
        <f>J5&amp; " "&amp; "Months" &amp; " "&amp;"Trailing"&amp;" "&amp;M5&amp;" "&amp; "Performance"&amp;" "&amp; "(Gain)"</f>
        <v>3 Months Trailing TTWO Performance (Gain)</v>
      </c>
      <c r="K6" s="32"/>
      <c r="L6" s="32"/>
      <c r="M6" s="32"/>
    </row>
    <row r="8" spans="1:35" x14ac:dyDescent="0.25">
      <c r="AB8" s="10" t="s">
        <v>22</v>
      </c>
    </row>
    <row r="9" spans="1:35" x14ac:dyDescent="0.25">
      <c r="AB9" s="10" t="s">
        <v>20</v>
      </c>
    </row>
    <row r="10" spans="1:35" x14ac:dyDescent="0.25">
      <c r="AB10" s="10" t="s">
        <v>21</v>
      </c>
    </row>
    <row r="11" spans="1:35" x14ac:dyDescent="0.25">
      <c r="AB11" s="10" t="s">
        <v>23</v>
      </c>
      <c r="AE11" s="10" t="str" cm="1">
        <f t="array" ref="AE11:AE15">_xlfn.UNIQUE(_xlfn._xlws.FILTER(FundManager[Type],FundManager[Type]&lt;&gt;""))</f>
        <v>ETFs</v>
      </c>
      <c r="AG11"/>
      <c r="AH11"/>
      <c r="AI11"/>
    </row>
    <row r="12" spans="1:35" x14ac:dyDescent="0.25">
      <c r="AB12" s="10" t="s">
        <v>24</v>
      </c>
      <c r="AE12" s="10" t="str">
        <v>Chinese Stocks</v>
      </c>
      <c r="AG12"/>
      <c r="AH12"/>
      <c r="AI12"/>
    </row>
    <row r="13" spans="1:35" x14ac:dyDescent="0.25">
      <c r="AE13" s="10" t="str">
        <v>US Stocks</v>
      </c>
      <c r="AG13"/>
      <c r="AH13"/>
      <c r="AI13"/>
    </row>
    <row r="14" spans="1:35" x14ac:dyDescent="0.25">
      <c r="AB14" s="10" t="str" cm="1">
        <f t="array" ref="AB14:AB18">_xlfn._xlws.SORT(AB8:AB12)</f>
        <v>Chinese Stocks</v>
      </c>
      <c r="AE14" s="10" t="str">
        <v>Crypto</v>
      </c>
      <c r="AG14"/>
      <c r="AH14"/>
      <c r="AI14"/>
    </row>
    <row r="15" spans="1:35" x14ac:dyDescent="0.25">
      <c r="C15" s="10" t="str" cm="1">
        <f t="array" ref="C15">IFERROR(_FV(B15,"Ticker symbol",TRUE)," ")</f>
        <v xml:space="preserve"> </v>
      </c>
      <c r="F15" s="10" t="str" cm="1">
        <f t="array" ref="F15">IFERROR(_FV(B15,"Price")," ")</f>
        <v xml:space="preserve"> </v>
      </c>
      <c r="G15" s="10" t="str">
        <f t="shared" ref="G15:G19" si="0">IFERROR(H15/E15," ")</f>
        <v xml:space="preserve"> </v>
      </c>
      <c r="I15" s="10" t="str">
        <f>IFERROR(F15*G15," ")</f>
        <v xml:space="preserve"> </v>
      </c>
      <c r="K15" s="10" t="str">
        <f>IFERROR((I15-H15)/H15 *100," ")</f>
        <v xml:space="preserve"> </v>
      </c>
      <c r="L15" s="10" t="str" cm="1">
        <f t="array" ref="L15">IFERROR(_FV(B15,"Change (%)",TRUE)," ")</f>
        <v xml:space="preserve"> </v>
      </c>
      <c r="AB15" s="10" t="str">
        <v>Crypto</v>
      </c>
      <c r="AE15" s="10" t="str">
        <v>Nigerian Stocks</v>
      </c>
      <c r="AG15"/>
      <c r="AH15"/>
      <c r="AI15"/>
    </row>
    <row r="16" spans="1:35" x14ac:dyDescent="0.25">
      <c r="C16" s="10" t="str" cm="1">
        <f t="array" ref="C16">IFERROR(_FV(B16,"Ticker symbol",TRUE)," ")</f>
        <v xml:space="preserve"> </v>
      </c>
      <c r="F16" s="10" t="str" cm="1">
        <f t="array" ref="F16">IFERROR(_FV(B16,"Price")," ")</f>
        <v xml:space="preserve"> </v>
      </c>
      <c r="G16" s="10" t="str">
        <f t="shared" si="0"/>
        <v xml:space="preserve"> </v>
      </c>
      <c r="I16" s="10" t="str">
        <f>IFERROR(F16*G16," ")</f>
        <v xml:space="preserve"> </v>
      </c>
      <c r="K16" s="10" t="str">
        <f>IFERROR((I16-H16)/H16 *100," ")</f>
        <v xml:space="preserve"> </v>
      </c>
      <c r="L16" s="10" t="str" cm="1">
        <f t="array" ref="L16">IFERROR(_FV(B16,"Change (%)",TRUE)," ")</f>
        <v xml:space="preserve"> </v>
      </c>
      <c r="AB16" s="10" t="str">
        <v>ETFs</v>
      </c>
      <c r="AG16"/>
      <c r="AH16"/>
      <c r="AI16"/>
    </row>
    <row r="17" spans="1:35" x14ac:dyDescent="0.25">
      <c r="C17" s="10" t="str" cm="1">
        <f t="array" ref="C17">IFERROR(_FV(B17,"Ticker symbol",TRUE)," ")</f>
        <v xml:space="preserve"> </v>
      </c>
      <c r="F17" s="10" t="str" cm="1">
        <f t="array" ref="F17">IFERROR(_FV(B17,"Price")," ")</f>
        <v xml:space="preserve"> </v>
      </c>
      <c r="G17" s="10" t="str">
        <f t="shared" si="0"/>
        <v xml:space="preserve"> </v>
      </c>
      <c r="I17" s="10" t="str">
        <f>IFERROR(F17*G17," ")</f>
        <v xml:space="preserve"> </v>
      </c>
      <c r="K17" s="10" t="str">
        <f>IFERROR((I17-H17)/H17 *100," ")</f>
        <v xml:space="preserve"> </v>
      </c>
      <c r="L17" s="10" t="str" cm="1">
        <f t="array" ref="L17">IFERROR(_FV(B17,"Change (%)",TRUE)," ")</f>
        <v xml:space="preserve"> </v>
      </c>
      <c r="AB17" s="10" t="str">
        <v>Nigerian Stocks</v>
      </c>
      <c r="AG17"/>
      <c r="AH17"/>
      <c r="AI17"/>
    </row>
    <row r="18" spans="1:35" x14ac:dyDescent="0.25">
      <c r="C18" s="10" t="str" cm="1">
        <f t="array" ref="C18">IFERROR(_FV(B18,"Ticker symbol",TRUE)," ")</f>
        <v xml:space="preserve"> </v>
      </c>
      <c r="F18" s="10" t="str" cm="1">
        <f t="array" ref="F18">IFERROR(_FV(B18,"Price")," ")</f>
        <v xml:space="preserve"> </v>
      </c>
      <c r="G18" s="10" t="str">
        <f t="shared" si="0"/>
        <v xml:space="preserve"> </v>
      </c>
      <c r="I18" s="10" t="str">
        <f>IFERROR(F18*G18," ")</f>
        <v xml:space="preserve"> </v>
      </c>
      <c r="K18" s="10" t="str">
        <f>IFERROR((I18-H18)/H18 *100," ")</f>
        <v xml:space="preserve"> </v>
      </c>
      <c r="L18" s="10" t="str" cm="1">
        <f t="array" ref="L18">IFERROR(_FV(B18,"Change (%)",TRUE)," ")</f>
        <v xml:space="preserve"> </v>
      </c>
      <c r="AB18" s="10" t="str">
        <v>US Stocks</v>
      </c>
      <c r="AG18"/>
      <c r="AH18"/>
      <c r="AI18"/>
    </row>
    <row r="19" spans="1:35" x14ac:dyDescent="0.25">
      <c r="C19" s="10" t="str" cm="1">
        <f t="array" ref="C19">IFERROR(_FV(B19,"Ticker symbol",TRUE)," ")</f>
        <v xml:space="preserve"> </v>
      </c>
      <c r="F19" s="10" t="str" cm="1">
        <f t="array" ref="F19">IFERROR(_FV(B19,"Price")," ")</f>
        <v xml:space="preserve"> </v>
      </c>
      <c r="G19" s="10" t="str">
        <f t="shared" si="0"/>
        <v xml:space="preserve"> </v>
      </c>
      <c r="I19" s="10" t="str">
        <f>IFERROR(F19*G19," ")</f>
        <v xml:space="preserve"> </v>
      </c>
      <c r="K19" s="10" t="str">
        <f>IFERROR((I19-H19)/H19 *100," ")</f>
        <v xml:space="preserve"> </v>
      </c>
      <c r="L19" s="10" t="str" cm="1">
        <f t="array" ref="L19">IFERROR(_FV(B19,"Change (%)",TRUE)," ")</f>
        <v xml:space="preserve"> </v>
      </c>
      <c r="AG19"/>
      <c r="AH19"/>
      <c r="AI19"/>
    </row>
    <row r="20" spans="1:35" x14ac:dyDescent="0.25">
      <c r="C20" s="10" t="str" cm="1">
        <f t="array" ref="C20">IFERROR(_FV(B20,"Ticker symbol",TRUE)," ")</f>
        <v xml:space="preserve"> </v>
      </c>
      <c r="F20" s="10" t="str" cm="1">
        <f t="array" ref="F20">IFERROR(_FV(B20,"Price")," ")</f>
        <v xml:space="preserve"> </v>
      </c>
      <c r="G20" s="11" t="s">
        <v>46</v>
      </c>
      <c r="H20" s="24">
        <f ca="1">SUBTOTAL(109,FundManager[Current Value])</f>
        <v>9781.4554055579447</v>
      </c>
      <c r="I20" s="30" t="s">
        <v>30</v>
      </c>
      <c r="J20" s="30"/>
      <c r="K20" s="30"/>
      <c r="L20" s="41">
        <f ca="1">SUBTOTAL(109,FundManager[Current Value])-SUBTOTAL(109,FundManager[Amount Invested])</f>
        <v>4581.4554055579447</v>
      </c>
      <c r="M20" s="7" cm="1">
        <f t="array" aca="1" ref="M20" ca="1">L20*Query17[Conversion Rate]</f>
        <v>7364641.459152637</v>
      </c>
      <c r="AG20"/>
      <c r="AH20"/>
      <c r="AI20"/>
    </row>
    <row r="21" spans="1:35" x14ac:dyDescent="0.25">
      <c r="H21" s="30" t="s">
        <v>33</v>
      </c>
      <c r="I21" s="30"/>
      <c r="J21" s="30"/>
      <c r="K21" s="30"/>
      <c r="L21" s="13">
        <f>SUBTOTAL(109,FundManager[Amount Invested])/SUBTOTAL(109,FundManager[Units Held])</f>
        <v>4.1259970307801286</v>
      </c>
      <c r="AG21"/>
      <c r="AH21"/>
      <c r="AI21"/>
    </row>
    <row r="22" spans="1:35" x14ac:dyDescent="0.25">
      <c r="A22" s="10" t="s">
        <v>2</v>
      </c>
      <c r="B22" s="10" t="s">
        <v>1</v>
      </c>
      <c r="C22" s="10" t="s">
        <v>11</v>
      </c>
      <c r="D22" s="10" t="s">
        <v>12</v>
      </c>
      <c r="E22" s="10" t="s">
        <v>13</v>
      </c>
      <c r="F22" s="10" t="s">
        <v>14</v>
      </c>
      <c r="G22" s="10" t="s">
        <v>15</v>
      </c>
      <c r="H22" s="10" t="s">
        <v>16</v>
      </c>
      <c r="I22" s="10" t="s">
        <v>17</v>
      </c>
      <c r="J22" s="10" t="s">
        <v>31</v>
      </c>
      <c r="K22" s="12" t="s">
        <v>18</v>
      </c>
      <c r="L22" s="16" t="s">
        <v>19</v>
      </c>
      <c r="AG22"/>
      <c r="AH22"/>
      <c r="AI22"/>
    </row>
    <row r="23" spans="1:35" x14ac:dyDescent="0.25">
      <c r="A23" s="19">
        <v>45730</v>
      </c>
      <c r="B23" s="10" t="e" vm="1">
        <v>#VALUE!</v>
      </c>
      <c r="C23" s="10" t="str" cm="1">
        <f t="array" aca="1" ref="C23" ca="1">IFERROR(_FV(FundManager[[#This Row],[Name]],"Ticker symbol",TRUE)," ")</f>
        <v>ION</v>
      </c>
      <c r="D23" s="10" t="s">
        <v>24</v>
      </c>
      <c r="E23" s="13">
        <v>0.9</v>
      </c>
      <c r="F23" s="13" cm="1">
        <f t="array" aca="1" ref="F23" ca="1">IFERROR(_FV(B23,"Price")," ")</f>
        <v>1.01</v>
      </c>
      <c r="G23" s="10">
        <f t="shared" ref="G23:G86" si="1">IFERROR(H23/E23," ")</f>
        <v>555.55555555555554</v>
      </c>
      <c r="H23" s="13">
        <v>500</v>
      </c>
      <c r="I23" s="24">
        <f t="shared" ref="I23:I32" ca="1" si="2">IFERROR(F23*G23," ")</f>
        <v>561.11111111111109</v>
      </c>
      <c r="J23" s="13">
        <f ca="1">IFERROR(FundManager[[#This Row],[Current Value]]-FundManager[[#This Row],[Amount Invested]]," ")</f>
        <v>61.111111111111086</v>
      </c>
      <c r="K23" s="14">
        <f t="shared" ref="K23:K86" ca="1" si="3">IFERROR((I23-H23)/H23," ")</f>
        <v>0.12222222222222218</v>
      </c>
      <c r="L23" s="15" t="str" cm="1">
        <f t="array" aca="1" ref="L23" ca="1">IFERROR(ROUND(_FV(B23,"Change (%)",TRUE),3) &amp; "%"," ")</f>
        <v>0.01%</v>
      </c>
      <c r="AG23"/>
      <c r="AH23"/>
      <c r="AI23"/>
    </row>
    <row r="24" spans="1:35" x14ac:dyDescent="0.25">
      <c r="A24" s="19">
        <v>45728</v>
      </c>
      <c r="B24" s="10" t="e" vm="2">
        <v>#VALUE!</v>
      </c>
      <c r="C24" s="10" t="str" cm="1">
        <f t="array" aca="1" ref="C24" ca="1">IFERROR(_FV(FundManager[[#This Row],[Name]],"Ticker symbol",TRUE)," ")</f>
        <v>GRRR</v>
      </c>
      <c r="D24" s="10" t="s">
        <v>22</v>
      </c>
      <c r="E24" s="13">
        <v>12</v>
      </c>
      <c r="F24" s="13" cm="1">
        <f t="array" aca="1" ref="F24" ca="1">IFERROR(_FV(B24,"Price")," ")</f>
        <v>11.26</v>
      </c>
      <c r="G24" s="10">
        <f t="shared" si="1"/>
        <v>58.333333333333336</v>
      </c>
      <c r="H24" s="13">
        <v>700</v>
      </c>
      <c r="I24" s="24">
        <f t="shared" ca="1" si="2"/>
        <v>656.83333333333337</v>
      </c>
      <c r="J24" s="13">
        <f ca="1">IFERROR(FundManager[[#This Row],[Current Value]]-FundManager[[#This Row],[Amount Invested]]," ")</f>
        <v>-43.166666666666629</v>
      </c>
      <c r="K24" s="14">
        <f t="shared" ca="1" si="3"/>
        <v>-6.1666666666666613E-2</v>
      </c>
      <c r="L24" s="15" t="str" cm="1">
        <f t="array" aca="1" ref="L24" ca="1">IFERROR(ROUND(_FV(B24,"Change (%)",TRUE),3) &amp; "%"," ")</f>
        <v>-0.027%</v>
      </c>
      <c r="AG24"/>
      <c r="AH24"/>
      <c r="AI24"/>
    </row>
    <row r="25" spans="1:35" x14ac:dyDescent="0.25">
      <c r="A25" s="19">
        <v>45731</v>
      </c>
      <c r="B25" s="10" t="e" vm="2">
        <v>#VALUE!</v>
      </c>
      <c r="C25" s="10" t="str" cm="1">
        <f t="array" aca="1" ref="C25" ca="1">IFERROR(_FV(FundManager[[#This Row],[Name]],"Ticker symbol",TRUE)," ")</f>
        <v>GRRR</v>
      </c>
      <c r="D25" s="10" t="s">
        <v>22</v>
      </c>
      <c r="E25" s="13">
        <v>15</v>
      </c>
      <c r="F25" s="13" cm="1">
        <f t="array" aca="1" ref="F25" ca="1">IFERROR(_FV(B25,"Price")," ")</f>
        <v>11.26</v>
      </c>
      <c r="G25" s="10">
        <f t="shared" si="1"/>
        <v>66.666666666666671</v>
      </c>
      <c r="H25" s="13">
        <v>1000</v>
      </c>
      <c r="I25" s="24">
        <f t="shared" ca="1" si="2"/>
        <v>750.66666666666674</v>
      </c>
      <c r="J25" s="13">
        <f ca="1">IFERROR(FundManager[[#This Row],[Current Value]]-FundManager[[#This Row],[Amount Invested]]," ")</f>
        <v>-249.33333333333326</v>
      </c>
      <c r="K25" s="14">
        <f t="shared" ca="1" si="3"/>
        <v>-0.24933333333333327</v>
      </c>
      <c r="L25" s="15" t="str" cm="1">
        <f t="array" aca="1" ref="L25" ca="1">IFERROR(ROUND(_FV(B25,"Change (%)",TRUE),3) &amp; "%"," ")</f>
        <v>-0.027%</v>
      </c>
      <c r="AG25"/>
      <c r="AH25"/>
      <c r="AI25"/>
    </row>
    <row r="26" spans="1:35" x14ac:dyDescent="0.25">
      <c r="A26" s="19">
        <v>45730</v>
      </c>
      <c r="B26" s="10" t="e" vm="3">
        <v>#VALUE!</v>
      </c>
      <c r="C26" s="10" t="str" cm="1">
        <f t="array" aca="1" ref="C26" ca="1">IFERROR(_FV(FundManager[[#This Row],[Name]],"Ticker symbol",TRUE)," ")</f>
        <v>TTWO</v>
      </c>
      <c r="D26" s="10" t="s">
        <v>23</v>
      </c>
      <c r="E26" s="13">
        <v>190</v>
      </c>
      <c r="F26" s="13" cm="1">
        <f t="array" aca="1" ref="F26" ca="1">IFERROR(_FV(B26,"Price")," ")</f>
        <v>256.08999999999997</v>
      </c>
      <c r="G26" s="10">
        <f t="shared" si="1"/>
        <v>2.1052631578947367</v>
      </c>
      <c r="H26" s="13">
        <v>400</v>
      </c>
      <c r="I26" s="24">
        <f t="shared" ca="1" si="2"/>
        <v>539.1368421052631</v>
      </c>
      <c r="J26" s="13">
        <f ca="1">IFERROR(FundManager[[#This Row],[Current Value]]-FundManager[[#This Row],[Amount Invested]]," ")</f>
        <v>139.1368421052631</v>
      </c>
      <c r="K26" s="14">
        <f t="shared" ca="1" si="3"/>
        <v>0.34784210526315773</v>
      </c>
      <c r="L26" s="15" t="str" cm="1">
        <f t="array" aca="1" ref="L26" ca="1">IFERROR(ROUND(_FV(B26,"Change (%)",TRUE),3) &amp; "%"," ")</f>
        <v>0.018%</v>
      </c>
      <c r="AG26"/>
      <c r="AH26"/>
      <c r="AI26"/>
    </row>
    <row r="27" spans="1:35" x14ac:dyDescent="0.25">
      <c r="A27" s="19">
        <v>45730</v>
      </c>
      <c r="B27" s="10" t="e" vm="4">
        <v>#VALUE!</v>
      </c>
      <c r="C27" s="10" t="str" cm="1">
        <f t="array" aca="1" ref="C27" ca="1">IFERROR(_FV(FundManager[[#This Row],[Name]],"Ticker symbol",TRUE)," ")</f>
        <v>AAPL</v>
      </c>
      <c r="D27" s="10" t="s">
        <v>23</v>
      </c>
      <c r="E27" s="13">
        <v>197</v>
      </c>
      <c r="F27" s="13" cm="1">
        <f t="array" aca="1" ref="F27" ca="1">IFERROR(_FV(B27,"Price")," ")</f>
        <v>273.39999999999998</v>
      </c>
      <c r="G27" s="10">
        <f t="shared" si="1"/>
        <v>2.5380710659898478</v>
      </c>
      <c r="H27" s="13">
        <v>500</v>
      </c>
      <c r="I27" s="24">
        <f t="shared" ca="1" si="2"/>
        <v>693.90862944162427</v>
      </c>
      <c r="J27" s="13">
        <f ca="1">IFERROR(FundManager[[#This Row],[Current Value]]-FundManager[[#This Row],[Amount Invested]]," ")</f>
        <v>193.90862944162427</v>
      </c>
      <c r="K27" s="14">
        <f t="shared" ca="1" si="3"/>
        <v>0.38781725888324853</v>
      </c>
      <c r="L27" s="15" t="str" cm="1">
        <f t="array" aca="1" ref="L27" ca="1">IFERROR(ROUND(_FV(B27,"Change (%)",TRUE),3) &amp; "%"," ")</f>
        <v>-0.001%</v>
      </c>
      <c r="AG27"/>
      <c r="AH27"/>
      <c r="AI27"/>
    </row>
    <row r="28" spans="1:35" x14ac:dyDescent="0.25">
      <c r="A28" s="19">
        <v>45730</v>
      </c>
      <c r="B28" s="10" t="e" vm="5">
        <v>#VALUE!</v>
      </c>
      <c r="C28" s="10" t="str" cm="1">
        <f t="array" aca="1" ref="C28" ca="1">IFERROR(_FV(FundManager[[#This Row],[Name]],"Ticker symbol",TRUE)," ")</f>
        <v>QUBT</v>
      </c>
      <c r="D28" s="10" t="s">
        <v>20</v>
      </c>
      <c r="E28" s="13">
        <v>7.5</v>
      </c>
      <c r="F28" s="13" cm="1">
        <f t="array" aca="1" ref="F28" ca="1">IFERROR(_FV(B28,"Price")," ")</f>
        <v>10.66</v>
      </c>
      <c r="G28" s="10">
        <f t="shared" si="1"/>
        <v>66.666666666666671</v>
      </c>
      <c r="H28" s="13">
        <v>500</v>
      </c>
      <c r="I28" s="24">
        <f t="shared" ca="1" si="2"/>
        <v>710.66666666666674</v>
      </c>
      <c r="J28" s="13">
        <f ca="1">IFERROR(FundManager[[#This Row],[Current Value]]-FundManager[[#This Row],[Amount Invested]]," ")</f>
        <v>210.66666666666674</v>
      </c>
      <c r="K28" s="14">
        <f t="shared" ca="1" si="3"/>
        <v>0.4213333333333335</v>
      </c>
      <c r="L28" s="15" t="str" cm="1">
        <f t="array" aca="1" ref="L28" ca="1">IFERROR(ROUND(_FV(B28,"Change (%)",TRUE),3) &amp; "%"," ")</f>
        <v>-0.067%</v>
      </c>
      <c r="AG28"/>
      <c r="AH28"/>
      <c r="AI28"/>
    </row>
    <row r="29" spans="1:35" x14ac:dyDescent="0.25">
      <c r="A29" s="19">
        <v>45730</v>
      </c>
      <c r="B29" s="10" t="e" vm="6">
        <v>#VALUE!</v>
      </c>
      <c r="C29" s="10" t="str" cm="1">
        <f t="array" aca="1" ref="C29" ca="1">IFERROR(_FV(FundManager[[#This Row],[Name]],"Ticker symbol",TRUE)," ")</f>
        <v>RGTI</v>
      </c>
      <c r="D29" s="10" t="s">
        <v>23</v>
      </c>
      <c r="E29" s="13">
        <v>3</v>
      </c>
      <c r="F29" s="13" cm="1">
        <f t="array" aca="1" ref="F29" ca="1">_FV(B29,"Price")</f>
        <v>22.38</v>
      </c>
      <c r="G29" s="10">
        <f t="shared" si="1"/>
        <v>133.33333333333334</v>
      </c>
      <c r="H29" s="13">
        <v>400</v>
      </c>
      <c r="I29" s="24">
        <f t="shared" ca="1" si="2"/>
        <v>2984</v>
      </c>
      <c r="J29" s="13">
        <f ca="1">IFERROR(FundManager[[#This Row],[Current Value]]-FundManager[[#This Row],[Amount Invested]]," ")</f>
        <v>2584</v>
      </c>
      <c r="K29" s="14">
        <f t="shared" ca="1" si="3"/>
        <v>6.46</v>
      </c>
      <c r="L29" s="15" t="str" cm="1">
        <f t="array" aca="1" ref="L29" ca="1">IFERROR(ROUND(_FV(B29,"Change (%)",TRUE),3) &amp; "%"," ")</f>
        <v>-0.087%</v>
      </c>
    </row>
    <row r="30" spans="1:35" x14ac:dyDescent="0.25">
      <c r="A30" s="19">
        <v>45730</v>
      </c>
      <c r="B30" s="10" t="e" vm="7">
        <v>#VALUE!</v>
      </c>
      <c r="C30" s="10" t="str" cm="1">
        <f t="array" aca="1" ref="C30" ca="1">IFERROR(_FV(FundManager[[#This Row],[Name]],"Ticker symbol",TRUE)," ")</f>
        <v>QBTS</v>
      </c>
      <c r="D30" s="10" t="s">
        <v>23</v>
      </c>
      <c r="E30" s="13">
        <v>8.9</v>
      </c>
      <c r="F30" s="13" cm="1">
        <f t="array" aca="1" ref="F30" ca="1">IFERROR(_FV(B30,"Price")," ")</f>
        <v>25.28</v>
      </c>
      <c r="G30" s="10">
        <f t="shared" si="1"/>
        <v>44.943820224719097</v>
      </c>
      <c r="H30" s="13">
        <v>400</v>
      </c>
      <c r="I30" s="24">
        <f t="shared" ca="1" si="2"/>
        <v>1136.1797752808989</v>
      </c>
      <c r="J30" s="13">
        <f ca="1">IFERROR(FundManager[[#This Row],[Current Value]]-FundManager[[#This Row],[Amount Invested]]," ")</f>
        <v>736.17977528089887</v>
      </c>
      <c r="K30" s="14">
        <f t="shared" ca="1" si="3"/>
        <v>1.8404494382022472</v>
      </c>
      <c r="L30" s="15" t="str" cm="1">
        <f t="array" aca="1" ref="L30" ca="1">IFERROR(ROUND(_FV(B30,"Change (%)",TRUE),3) &amp; "%"," ")</f>
        <v>-0.081%</v>
      </c>
    </row>
    <row r="31" spans="1:35" x14ac:dyDescent="0.25">
      <c r="A31" s="19">
        <v>45730</v>
      </c>
      <c r="B31" s="10" t="e" vm="8">
        <v>#VALUE!</v>
      </c>
      <c r="C31" s="10" t="str" cm="1">
        <f t="array" aca="1" ref="C31" ca="1">IFERROR(_FV(FundManager[[#This Row],[Name]],"Ticker symbol",TRUE)," ")</f>
        <v>GTCO</v>
      </c>
      <c r="D31" s="10" t="s">
        <v>21</v>
      </c>
      <c r="E31" s="13">
        <v>1.4</v>
      </c>
      <c r="F31" s="13" cm="1">
        <f t="array" aca="1" ref="F31" ca="1">IFERROR(_FV(B31,"Price")," ")</f>
        <v>2.64</v>
      </c>
      <c r="G31" s="10">
        <f t="shared" si="1"/>
        <v>285.71428571428572</v>
      </c>
      <c r="H31" s="13">
        <v>400</v>
      </c>
      <c r="I31" s="24">
        <f t="shared" ca="1" si="2"/>
        <v>754.28571428571433</v>
      </c>
      <c r="J31" s="13">
        <f ca="1">IFERROR(FundManager[[#This Row],[Current Value]]-FundManager[[#This Row],[Amount Invested]]," ")</f>
        <v>354.28571428571433</v>
      </c>
      <c r="K31" s="14">
        <f t="shared" ca="1" si="3"/>
        <v>0.88571428571428579</v>
      </c>
      <c r="L31" s="15" t="str" cm="1">
        <f t="array" aca="1" ref="L31" ca="1">IFERROR(ROUND(_FV(B31,"Change (%)",TRUE),3) &amp; "%"," ")</f>
        <v>0.008%</v>
      </c>
    </row>
    <row r="32" spans="1:35" x14ac:dyDescent="0.25">
      <c r="A32" s="19">
        <v>45730</v>
      </c>
      <c r="B32" s="10" t="e" vm="6">
        <v>#VALUE!</v>
      </c>
      <c r="C32" s="10" t="str" cm="1">
        <f t="array" aca="1" ref="C32" ca="1">IFERROR(_FV(FundManager[[#This Row],[Name]],"Ticker symbol",TRUE)," ")</f>
        <v>RGTI</v>
      </c>
      <c r="D32" s="10" t="s">
        <v>23</v>
      </c>
      <c r="E32" s="13">
        <v>9</v>
      </c>
      <c r="F32" s="13" cm="1">
        <f t="array" aca="1" ref="F32" ca="1">IFERROR(_FV(B32,"Price")," ")</f>
        <v>22.38</v>
      </c>
      <c r="G32" s="10">
        <f t="shared" si="1"/>
        <v>44.444444444444443</v>
      </c>
      <c r="H32" s="13">
        <v>400</v>
      </c>
      <c r="I32" s="24">
        <f t="shared" ca="1" si="2"/>
        <v>994.66666666666663</v>
      </c>
      <c r="J32" s="13">
        <f ca="1">IFERROR(FundManager[[#This Row],[Current Value]]-FundManager[[#This Row],[Amount Invested]]," ")</f>
        <v>594.66666666666663</v>
      </c>
      <c r="K32" s="14">
        <f t="shared" ca="1" si="3"/>
        <v>1.4866666666666666</v>
      </c>
      <c r="L32" s="15" t="str" cm="1">
        <f t="array" aca="1" ref="L32" ca="1">IFERROR(ROUND(_FV(B32,"Change (%)",TRUE),3) &amp; "%"," ")</f>
        <v>-0.087%</v>
      </c>
    </row>
    <row r="33" spans="1:12" x14ac:dyDescent="0.25">
      <c r="A33" s="19"/>
      <c r="C33" s="10" t="str" cm="1">
        <f t="array" ref="C33">IFERROR(_FV(FundManager[[#This Row],[Name]],"Ticker symbol",TRUE)," ")</f>
        <v xml:space="preserve"> </v>
      </c>
      <c r="E33" s="13"/>
      <c r="F33" s="13" t="str" cm="1">
        <f t="array" ref="F33">IFERROR(_FV(B33,"Price")," ")</f>
        <v xml:space="preserve"> </v>
      </c>
      <c r="G33" s="10" t="str">
        <f t="shared" si="1"/>
        <v xml:space="preserve"> </v>
      </c>
      <c r="H33" s="13"/>
      <c r="I33" s="24"/>
      <c r="J33" s="13">
        <f>IFERROR(FundManager[[#This Row],[Current Value]]-FundManager[[#This Row],[Amount Invested]]," ")</f>
        <v>0</v>
      </c>
      <c r="K33" s="14" t="str">
        <f t="shared" si="3"/>
        <v xml:space="preserve"> </v>
      </c>
      <c r="L33" s="15" t="str" cm="1">
        <f t="array" ref="L33">IFERROR(ROUND(_FV(B33,"Change (%)",TRUE),3) &amp; "%"," ")</f>
        <v xml:space="preserve"> </v>
      </c>
    </row>
    <row r="34" spans="1:12" x14ac:dyDescent="0.25">
      <c r="A34" s="19"/>
      <c r="C34" s="10" t="str" cm="1">
        <f t="array" ref="C34">IFERROR(_FV(FundManager[[#This Row],[Name]],"Ticker symbol",TRUE)," ")</f>
        <v xml:space="preserve"> </v>
      </c>
      <c r="E34" s="13"/>
      <c r="F34" s="13" t="str" cm="1">
        <f t="array" ref="F34">IFERROR(_FV(B34,"Price")," ")</f>
        <v xml:space="preserve"> </v>
      </c>
      <c r="G34" s="10" t="str">
        <f t="shared" si="1"/>
        <v xml:space="preserve"> </v>
      </c>
      <c r="H34" s="13"/>
      <c r="I34" s="24"/>
      <c r="J34" s="13">
        <f>IFERROR(FundManager[[#This Row],[Current Value]]-FundManager[[#This Row],[Amount Invested]]," ")</f>
        <v>0</v>
      </c>
      <c r="K34" s="14" t="str">
        <f t="shared" si="3"/>
        <v xml:space="preserve"> </v>
      </c>
      <c r="L34" s="15" t="str" cm="1">
        <f t="array" ref="L34">IFERROR(ROUND(_FV(B34,"Change (%)",TRUE),3) &amp; "%"," ")</f>
        <v xml:space="preserve"> </v>
      </c>
    </row>
    <row r="35" spans="1:12" x14ac:dyDescent="0.25">
      <c r="A35" s="19"/>
      <c r="C35" s="10" t="str" cm="1">
        <f t="array" ref="C35">IFERROR(_FV(FundManager[[#This Row],[Name]],"Ticker symbol",TRUE)," ")</f>
        <v xml:space="preserve"> </v>
      </c>
      <c r="E35" s="13"/>
      <c r="F35" s="13" t="str" cm="1">
        <f t="array" ref="F35">IFERROR(_FV(B35,"Price")," ")</f>
        <v xml:space="preserve"> </v>
      </c>
      <c r="G35" s="10" t="str">
        <f t="shared" si="1"/>
        <v xml:space="preserve"> </v>
      </c>
      <c r="H35" s="13"/>
      <c r="I35" s="24"/>
      <c r="J35" s="13">
        <f>IFERROR(FundManager[[#This Row],[Current Value]]-FundManager[[#This Row],[Amount Invested]]," ")</f>
        <v>0</v>
      </c>
      <c r="K35" s="14" t="str">
        <f t="shared" si="3"/>
        <v xml:space="preserve"> </v>
      </c>
      <c r="L35" s="15" t="str" cm="1">
        <f t="array" ref="L35">IFERROR(ROUND(_FV(B35,"Change (%)",TRUE),3) &amp; "%"," ")</f>
        <v xml:space="preserve"> </v>
      </c>
    </row>
    <row r="36" spans="1:12" x14ac:dyDescent="0.25">
      <c r="A36" s="19"/>
      <c r="C36" s="10" t="str" cm="1">
        <f t="array" ref="C36">IFERROR(_FV(FundManager[[#This Row],[Name]],"Ticker symbol",TRUE)," ")</f>
        <v xml:space="preserve"> </v>
      </c>
      <c r="E36" s="13"/>
      <c r="F36" s="13" t="str" cm="1">
        <f t="array" ref="F36">IFERROR(_FV(B36,"Price")," ")</f>
        <v xml:space="preserve"> </v>
      </c>
      <c r="G36" s="10" t="str">
        <f t="shared" si="1"/>
        <v xml:space="preserve"> </v>
      </c>
      <c r="H36" s="13"/>
      <c r="I36" s="24"/>
      <c r="J36" s="13">
        <f>IFERROR(FundManager[[#This Row],[Current Value]]-FundManager[[#This Row],[Amount Invested]]," ")</f>
        <v>0</v>
      </c>
      <c r="K36" s="14" t="str">
        <f t="shared" si="3"/>
        <v xml:space="preserve"> </v>
      </c>
      <c r="L36" s="15" t="str" cm="1">
        <f t="array" ref="L36">IFERROR(ROUND(_FV(B36,"Change (%)",TRUE),3) &amp; "%"," ")</f>
        <v xml:space="preserve"> </v>
      </c>
    </row>
    <row r="37" spans="1:12" x14ac:dyDescent="0.25">
      <c r="A37" s="19"/>
      <c r="C37" s="10" t="str" cm="1">
        <f t="array" ref="C37">IFERROR(_FV(FundManager[[#This Row],[Name]],"Ticker symbol",TRUE)," ")</f>
        <v xml:space="preserve"> </v>
      </c>
      <c r="E37" s="13"/>
      <c r="F37" s="13" t="str" cm="1">
        <f t="array" ref="F37">IFERROR(_FV(B37,"Price")," ")</f>
        <v xml:space="preserve"> </v>
      </c>
      <c r="G37" s="10" t="str">
        <f t="shared" si="1"/>
        <v xml:space="preserve"> </v>
      </c>
      <c r="H37" s="13"/>
      <c r="I37" s="24"/>
      <c r="J37" s="13">
        <f>IFERROR(FundManager[[#This Row],[Current Value]]-FundManager[[#This Row],[Amount Invested]]," ")</f>
        <v>0</v>
      </c>
      <c r="K37" s="14" t="str">
        <f t="shared" si="3"/>
        <v xml:space="preserve"> </v>
      </c>
      <c r="L37" s="15" t="str" cm="1">
        <f t="array" ref="L37">IFERROR(ROUND(_FV(B37,"Change (%)",TRUE),3) &amp; "%"," ")</f>
        <v xml:space="preserve"> </v>
      </c>
    </row>
    <row r="38" spans="1:12" x14ac:dyDescent="0.25">
      <c r="A38" s="19"/>
      <c r="C38" s="10" t="str" cm="1">
        <f t="array" ref="C38">IFERROR(_FV(FundManager[[#This Row],[Name]],"Ticker symbol",TRUE)," ")</f>
        <v xml:space="preserve"> </v>
      </c>
      <c r="E38" s="13"/>
      <c r="F38" s="13" t="str" cm="1">
        <f t="array" ref="F38">IFERROR(_FV(B38,"Price")," ")</f>
        <v xml:space="preserve"> </v>
      </c>
      <c r="G38" s="10" t="str">
        <f t="shared" si="1"/>
        <v xml:space="preserve"> </v>
      </c>
      <c r="H38" s="13"/>
      <c r="I38" s="24"/>
      <c r="J38" s="13">
        <f>IFERROR(FundManager[[#This Row],[Current Value]]-FundManager[[#This Row],[Amount Invested]]," ")</f>
        <v>0</v>
      </c>
      <c r="K38" s="14" t="str">
        <f t="shared" si="3"/>
        <v xml:space="preserve"> </v>
      </c>
      <c r="L38" s="15" t="str" cm="1">
        <f t="array" ref="L38">IFERROR(ROUND(_FV(B38,"Change (%)",TRUE),3) &amp; "%"," ")</f>
        <v xml:space="preserve"> </v>
      </c>
    </row>
    <row r="39" spans="1:12" x14ac:dyDescent="0.25">
      <c r="A39" s="19"/>
      <c r="C39" s="10" t="str" cm="1">
        <f t="array" ref="C39">IFERROR(_FV(FundManager[[#This Row],[Name]],"Ticker symbol",TRUE)," ")</f>
        <v xml:space="preserve"> </v>
      </c>
      <c r="E39" s="13"/>
      <c r="F39" s="13" t="str" cm="1">
        <f t="array" ref="F39">IFERROR(_FV(B39,"Price")," ")</f>
        <v xml:space="preserve"> </v>
      </c>
      <c r="G39" s="10" t="str">
        <f t="shared" si="1"/>
        <v xml:space="preserve"> </v>
      </c>
      <c r="H39" s="13"/>
      <c r="I39" s="24"/>
      <c r="J39" s="13">
        <f>IFERROR(FundManager[[#This Row],[Current Value]]-FundManager[[#This Row],[Amount Invested]]," ")</f>
        <v>0</v>
      </c>
      <c r="K39" s="14" t="str">
        <f t="shared" si="3"/>
        <v xml:space="preserve"> </v>
      </c>
      <c r="L39" s="15" t="str" cm="1">
        <f t="array" ref="L39">IFERROR(ROUND(_FV(B39,"Change (%)",TRUE),3) &amp; "%"," ")</f>
        <v xml:space="preserve"> </v>
      </c>
    </row>
    <row r="40" spans="1:12" x14ac:dyDescent="0.25">
      <c r="A40" s="19"/>
      <c r="C40" s="10" t="str" cm="1">
        <f t="array" ref="C40">IFERROR(_FV(FundManager[[#This Row],[Name]],"Ticker symbol",TRUE)," ")</f>
        <v xml:space="preserve"> </v>
      </c>
      <c r="E40" s="13"/>
      <c r="F40" s="13" t="str" cm="1">
        <f t="array" ref="F40">IFERROR(_FV(B40,"Price")," ")</f>
        <v xml:space="preserve"> </v>
      </c>
      <c r="G40" s="10" t="str">
        <f t="shared" si="1"/>
        <v xml:space="preserve"> </v>
      </c>
      <c r="H40" s="13"/>
      <c r="I40" s="24"/>
      <c r="J40" s="13">
        <f>IFERROR(FundManager[[#This Row],[Current Value]]-FundManager[[#This Row],[Amount Invested]]," ")</f>
        <v>0</v>
      </c>
      <c r="K40" s="14" t="str">
        <f t="shared" si="3"/>
        <v xml:space="preserve"> </v>
      </c>
      <c r="L40" s="15" t="str" cm="1">
        <f t="array" ref="L40">IFERROR(ROUND(_FV(B40,"Change (%)",TRUE),3) &amp; "%"," ")</f>
        <v xml:space="preserve"> </v>
      </c>
    </row>
    <row r="41" spans="1:12" x14ac:dyDescent="0.25">
      <c r="A41" s="19"/>
      <c r="C41" s="10" t="str" cm="1">
        <f t="array" ref="C41">IFERROR(_FV(FundManager[[#This Row],[Name]],"Ticker symbol",TRUE)," ")</f>
        <v xml:space="preserve"> </v>
      </c>
      <c r="E41" s="13"/>
      <c r="F41" s="13" t="str" cm="1">
        <f t="array" ref="F41">IFERROR(_FV(B41,"Price")," ")</f>
        <v xml:space="preserve"> </v>
      </c>
      <c r="G41" s="10" t="str">
        <f t="shared" si="1"/>
        <v xml:space="preserve"> </v>
      </c>
      <c r="H41" s="13"/>
      <c r="I41" s="24"/>
      <c r="J41" s="13">
        <f>IFERROR(FundManager[[#This Row],[Current Value]]-FundManager[[#This Row],[Amount Invested]]," ")</f>
        <v>0</v>
      </c>
      <c r="K41" s="14" t="str">
        <f t="shared" si="3"/>
        <v xml:space="preserve"> </v>
      </c>
      <c r="L41" s="15" t="str" cm="1">
        <f t="array" ref="L41">IFERROR(ROUND(_FV(B41,"Change (%)",TRUE),3) &amp; "%"," ")</f>
        <v xml:space="preserve"> </v>
      </c>
    </row>
    <row r="42" spans="1:12" x14ac:dyDescent="0.25">
      <c r="A42" s="19"/>
      <c r="C42" s="10" t="str" cm="1">
        <f t="array" ref="C42">IFERROR(_FV(FundManager[[#This Row],[Name]],"Ticker symbol",TRUE)," ")</f>
        <v xml:space="preserve"> </v>
      </c>
      <c r="E42" s="13"/>
      <c r="F42" s="13" t="str" cm="1">
        <f t="array" ref="F42">IFERROR(_FV(B42,"Price")," ")</f>
        <v xml:space="preserve"> </v>
      </c>
      <c r="G42" s="10" t="str">
        <f t="shared" si="1"/>
        <v xml:space="preserve"> </v>
      </c>
      <c r="H42" s="13"/>
      <c r="I42" s="24"/>
      <c r="J42" s="13">
        <f>IFERROR(FundManager[[#This Row],[Current Value]]-FundManager[[#This Row],[Amount Invested]]," ")</f>
        <v>0</v>
      </c>
      <c r="K42" s="14" t="str">
        <f t="shared" si="3"/>
        <v xml:space="preserve"> </v>
      </c>
      <c r="L42" s="15" t="str" cm="1">
        <f t="array" ref="L42">IFERROR(ROUND(_FV(B42,"Change (%)",TRUE),3) &amp; "%"," ")</f>
        <v xml:space="preserve"> </v>
      </c>
    </row>
    <row r="43" spans="1:12" x14ac:dyDescent="0.25">
      <c r="A43" s="19"/>
      <c r="C43" s="10" t="str" cm="1">
        <f t="array" ref="C43">IFERROR(_FV(FundManager[[#This Row],[Name]],"Ticker symbol",TRUE)," ")</f>
        <v xml:space="preserve"> </v>
      </c>
      <c r="E43" s="13"/>
      <c r="F43" s="13" t="str" cm="1">
        <f t="array" ref="F43">IFERROR(_FV(B43,"Price")," ")</f>
        <v xml:space="preserve"> </v>
      </c>
      <c r="G43" s="10" t="str">
        <f t="shared" si="1"/>
        <v xml:space="preserve"> </v>
      </c>
      <c r="H43" s="13"/>
      <c r="I43" s="24"/>
      <c r="J43" s="13">
        <f>IFERROR(FundManager[[#This Row],[Current Value]]-FundManager[[#This Row],[Amount Invested]]," ")</f>
        <v>0</v>
      </c>
      <c r="K43" s="14" t="str">
        <f t="shared" si="3"/>
        <v xml:space="preserve"> </v>
      </c>
      <c r="L43" s="15" t="str" cm="1">
        <f t="array" ref="L43">IFERROR(ROUND(_FV(B43,"Change (%)",TRUE),3) &amp; "%"," ")</f>
        <v xml:space="preserve"> </v>
      </c>
    </row>
    <row r="44" spans="1:12" x14ac:dyDescent="0.25">
      <c r="A44" s="19"/>
      <c r="C44" s="10" t="str" cm="1">
        <f t="array" ref="C44">IFERROR(_FV(FundManager[[#This Row],[Name]],"Ticker symbol",TRUE)," ")</f>
        <v xml:space="preserve"> </v>
      </c>
      <c r="E44" s="13"/>
      <c r="F44" s="13" t="str" cm="1">
        <f t="array" ref="F44">IFERROR(_FV(B44,"Price")," ")</f>
        <v xml:space="preserve"> </v>
      </c>
      <c r="G44" s="10" t="str">
        <f t="shared" si="1"/>
        <v xml:space="preserve"> </v>
      </c>
      <c r="H44" s="13"/>
      <c r="I44" s="24"/>
      <c r="J44" s="13">
        <f>IFERROR(FundManager[[#This Row],[Current Value]]-FundManager[[#This Row],[Amount Invested]]," ")</f>
        <v>0</v>
      </c>
      <c r="K44" s="14" t="str">
        <f t="shared" si="3"/>
        <v xml:space="preserve"> </v>
      </c>
      <c r="L44" s="15" t="str" cm="1">
        <f t="array" ref="L44">IFERROR(ROUND(_FV(B44,"Change (%)",TRUE),3) &amp; "%"," ")</f>
        <v xml:space="preserve"> </v>
      </c>
    </row>
    <row r="45" spans="1:12" x14ac:dyDescent="0.25">
      <c r="A45" s="19"/>
      <c r="C45" s="10" t="str" cm="1">
        <f t="array" ref="C45">IFERROR(_FV(FundManager[[#This Row],[Name]],"Ticker symbol",TRUE)," ")</f>
        <v xml:space="preserve"> </v>
      </c>
      <c r="E45" s="13"/>
      <c r="F45" s="13" t="str" cm="1">
        <f t="array" ref="F45">IFERROR(_FV(B45,"Price")," ")</f>
        <v xml:space="preserve"> </v>
      </c>
      <c r="G45" s="10" t="str">
        <f t="shared" si="1"/>
        <v xml:space="preserve"> </v>
      </c>
      <c r="H45" s="13"/>
      <c r="I45" s="24"/>
      <c r="J45" s="13">
        <f>IFERROR(FundManager[[#This Row],[Current Value]]-FundManager[[#This Row],[Amount Invested]]," ")</f>
        <v>0</v>
      </c>
      <c r="K45" s="14" t="str">
        <f t="shared" si="3"/>
        <v xml:space="preserve"> </v>
      </c>
      <c r="L45" s="15" t="str" cm="1">
        <f t="array" ref="L45">IFERROR(ROUND(_FV(B45,"Change (%)",TRUE),3) &amp; "%"," ")</f>
        <v xml:space="preserve"> </v>
      </c>
    </row>
    <row r="46" spans="1:12" x14ac:dyDescent="0.25">
      <c r="A46" s="19"/>
      <c r="C46" s="10" t="str" cm="1">
        <f t="array" ref="C46">IFERROR(_FV(FundManager[[#This Row],[Name]],"Ticker symbol",TRUE)," ")</f>
        <v xml:space="preserve"> </v>
      </c>
      <c r="E46" s="13"/>
      <c r="F46" s="13" t="str" cm="1">
        <f t="array" ref="F46">IFERROR(_FV(B46,"Price")," ")</f>
        <v xml:space="preserve"> </v>
      </c>
      <c r="G46" s="10" t="str">
        <f t="shared" si="1"/>
        <v xml:space="preserve"> </v>
      </c>
      <c r="H46" s="13"/>
      <c r="I46" s="24"/>
      <c r="J46" s="13">
        <f>IFERROR(FundManager[[#This Row],[Current Value]]-FundManager[[#This Row],[Amount Invested]]," ")</f>
        <v>0</v>
      </c>
      <c r="K46" s="14" t="str">
        <f t="shared" si="3"/>
        <v xml:space="preserve"> </v>
      </c>
      <c r="L46" s="15" t="str" cm="1">
        <f t="array" ref="L46">IFERROR(ROUND(_FV(B46,"Change (%)",TRUE),3) &amp; "%"," ")</f>
        <v xml:space="preserve"> </v>
      </c>
    </row>
    <row r="47" spans="1:12" x14ac:dyDescent="0.25">
      <c r="A47" s="19"/>
      <c r="C47" s="10" t="str" cm="1">
        <f t="array" ref="C47">IFERROR(_FV(FundManager[[#This Row],[Name]],"Ticker symbol",TRUE)," ")</f>
        <v xml:space="preserve"> </v>
      </c>
      <c r="E47" s="13"/>
      <c r="F47" s="13" t="str" cm="1">
        <f t="array" ref="F47">IFERROR(_FV(B47,"Price")," ")</f>
        <v xml:space="preserve"> </v>
      </c>
      <c r="G47" s="10" t="str">
        <f t="shared" si="1"/>
        <v xml:space="preserve"> </v>
      </c>
      <c r="H47" s="13"/>
      <c r="I47" s="24"/>
      <c r="J47" s="13">
        <f>IFERROR(FundManager[[#This Row],[Current Value]]-FundManager[[#This Row],[Amount Invested]]," ")</f>
        <v>0</v>
      </c>
      <c r="K47" s="14" t="str">
        <f t="shared" si="3"/>
        <v xml:space="preserve"> </v>
      </c>
      <c r="L47" s="15" t="str" cm="1">
        <f t="array" ref="L47">IFERROR(ROUND(_FV(B47,"Change (%)",TRUE),3) &amp; "%"," ")</f>
        <v xml:space="preserve"> </v>
      </c>
    </row>
    <row r="48" spans="1:12" x14ac:dyDescent="0.25">
      <c r="A48" s="19"/>
      <c r="C48" s="10" t="str" cm="1">
        <f t="array" ref="C48">IFERROR(_FV(FundManager[[#This Row],[Name]],"Ticker symbol",TRUE)," ")</f>
        <v xml:space="preserve"> </v>
      </c>
      <c r="E48" s="13"/>
      <c r="F48" s="13" t="str" cm="1">
        <f t="array" ref="F48">IFERROR(_FV(B48,"Price")," ")</f>
        <v xml:space="preserve"> </v>
      </c>
      <c r="G48" s="10" t="str">
        <f t="shared" si="1"/>
        <v xml:space="preserve"> </v>
      </c>
      <c r="H48" s="13"/>
      <c r="I48" s="24"/>
      <c r="J48" s="13">
        <f>IFERROR(FundManager[[#This Row],[Current Value]]-FundManager[[#This Row],[Amount Invested]]," ")</f>
        <v>0</v>
      </c>
      <c r="K48" s="14" t="str">
        <f t="shared" si="3"/>
        <v xml:space="preserve"> </v>
      </c>
      <c r="L48" s="15" t="str" cm="1">
        <f t="array" ref="L48">IFERROR(ROUND(_FV(B48,"Change (%)",TRUE),3) &amp; "%"," ")</f>
        <v xml:space="preserve"> </v>
      </c>
    </row>
    <row r="49" spans="1:12" x14ac:dyDescent="0.25">
      <c r="A49" s="19"/>
      <c r="C49" s="10" t="str" cm="1">
        <f t="array" ref="C49">IFERROR(_FV(FundManager[[#This Row],[Name]],"Ticker symbol",TRUE)," ")</f>
        <v xml:space="preserve"> </v>
      </c>
      <c r="E49" s="13"/>
      <c r="F49" s="13" t="str" cm="1">
        <f t="array" ref="F49">IFERROR(_FV(B49,"Price")," ")</f>
        <v xml:space="preserve"> </v>
      </c>
      <c r="G49" s="10" t="str">
        <f t="shared" si="1"/>
        <v xml:space="preserve"> </v>
      </c>
      <c r="H49" s="13"/>
      <c r="I49" s="24"/>
      <c r="J49" s="13">
        <f>IFERROR(FundManager[[#This Row],[Current Value]]-FundManager[[#This Row],[Amount Invested]]," ")</f>
        <v>0</v>
      </c>
      <c r="K49" s="14" t="str">
        <f t="shared" si="3"/>
        <v xml:space="preserve"> </v>
      </c>
      <c r="L49" s="15" t="str" cm="1">
        <f t="array" ref="L49">IFERROR(ROUND(_FV(B49,"Change (%)",TRUE),3) &amp; "%"," ")</f>
        <v xml:space="preserve"> </v>
      </c>
    </row>
    <row r="50" spans="1:12" x14ac:dyDescent="0.25">
      <c r="A50" s="19"/>
      <c r="C50" s="10" t="str" cm="1">
        <f t="array" ref="C50">IFERROR(_FV(FundManager[[#This Row],[Name]],"Ticker symbol",TRUE)," ")</f>
        <v xml:space="preserve"> </v>
      </c>
      <c r="E50" s="13"/>
      <c r="F50" s="13" t="str" cm="1">
        <f t="array" ref="F50">IFERROR(_FV(B50,"Price")," ")</f>
        <v xml:space="preserve"> </v>
      </c>
      <c r="G50" s="10" t="str">
        <f t="shared" si="1"/>
        <v xml:space="preserve"> </v>
      </c>
      <c r="H50" s="13"/>
      <c r="I50" s="24"/>
      <c r="J50" s="13">
        <f>IFERROR(FundManager[[#This Row],[Current Value]]-FundManager[[#This Row],[Amount Invested]]," ")</f>
        <v>0</v>
      </c>
      <c r="K50" s="14" t="str">
        <f t="shared" si="3"/>
        <v xml:space="preserve"> </v>
      </c>
      <c r="L50" s="15" t="str" cm="1">
        <f t="array" ref="L50">IFERROR(ROUND(_FV(B50,"Change (%)",TRUE),3) &amp; "%"," ")</f>
        <v xml:space="preserve"> </v>
      </c>
    </row>
    <row r="51" spans="1:12" x14ac:dyDescent="0.25">
      <c r="A51" s="19"/>
      <c r="C51" s="10" t="str" cm="1">
        <f t="array" ref="C51">IFERROR(_FV(FundManager[[#This Row],[Name]],"Ticker symbol",TRUE)," ")</f>
        <v xml:space="preserve"> </v>
      </c>
      <c r="E51" s="13"/>
      <c r="F51" s="13" t="str" cm="1">
        <f t="array" ref="F51">IFERROR(_FV(B51,"Price")," ")</f>
        <v xml:space="preserve"> </v>
      </c>
      <c r="G51" s="10" t="str">
        <f t="shared" si="1"/>
        <v xml:space="preserve"> </v>
      </c>
      <c r="H51" s="13"/>
      <c r="I51" s="24"/>
      <c r="J51" s="13">
        <f>IFERROR(FundManager[[#This Row],[Current Value]]-FundManager[[#This Row],[Amount Invested]]," ")</f>
        <v>0</v>
      </c>
      <c r="K51" s="14" t="str">
        <f t="shared" si="3"/>
        <v xml:space="preserve"> </v>
      </c>
      <c r="L51" s="15" t="str" cm="1">
        <f t="array" ref="L51">IFERROR(ROUND(_FV(B51,"Change (%)",TRUE),3) &amp; "%"," ")</f>
        <v xml:space="preserve"> </v>
      </c>
    </row>
    <row r="52" spans="1:12" x14ac:dyDescent="0.25">
      <c r="A52" s="19"/>
      <c r="C52" s="10" t="str" cm="1">
        <f t="array" ref="C52">IFERROR(_FV(FundManager[[#This Row],[Name]],"Ticker symbol",TRUE)," ")</f>
        <v xml:space="preserve"> </v>
      </c>
      <c r="E52" s="13"/>
      <c r="F52" s="13" t="str" cm="1">
        <f t="array" ref="F52">IFERROR(_FV(B52,"Price")," ")</f>
        <v xml:space="preserve"> </v>
      </c>
      <c r="G52" s="10" t="str">
        <f t="shared" si="1"/>
        <v xml:space="preserve"> </v>
      </c>
      <c r="H52" s="13"/>
      <c r="I52" s="24"/>
      <c r="J52" s="13">
        <f>IFERROR(FundManager[[#This Row],[Current Value]]-FundManager[[#This Row],[Amount Invested]]," ")</f>
        <v>0</v>
      </c>
      <c r="K52" s="14" t="str">
        <f t="shared" si="3"/>
        <v xml:space="preserve"> </v>
      </c>
      <c r="L52" s="15" t="str" cm="1">
        <f t="array" ref="L52">IFERROR(ROUND(_FV(B52,"Change (%)",TRUE),3) &amp; "%"," ")</f>
        <v xml:space="preserve"> </v>
      </c>
    </row>
    <row r="53" spans="1:12" x14ac:dyDescent="0.25">
      <c r="A53" s="19"/>
      <c r="C53" s="10" t="str" cm="1">
        <f t="array" ref="C53">IFERROR(_FV(FundManager[[#This Row],[Name]],"Ticker symbol",TRUE)," ")</f>
        <v xml:space="preserve"> </v>
      </c>
      <c r="E53" s="13"/>
      <c r="F53" s="13" t="str" cm="1">
        <f t="array" ref="F53">IFERROR(_FV(B53,"Price")," ")</f>
        <v xml:space="preserve"> </v>
      </c>
      <c r="G53" s="10" t="str">
        <f t="shared" si="1"/>
        <v xml:space="preserve"> </v>
      </c>
      <c r="H53" s="13"/>
      <c r="I53" s="24"/>
      <c r="J53" s="13">
        <f>IFERROR(FundManager[[#This Row],[Current Value]]-FundManager[[#This Row],[Amount Invested]]," ")</f>
        <v>0</v>
      </c>
      <c r="K53" s="14" t="str">
        <f t="shared" si="3"/>
        <v xml:space="preserve"> </v>
      </c>
      <c r="L53" s="15" t="str" cm="1">
        <f t="array" ref="L53">IFERROR(ROUND(_FV(B53,"Change (%)",TRUE),3) &amp; "%"," ")</f>
        <v xml:space="preserve"> </v>
      </c>
    </row>
    <row r="54" spans="1:12" x14ac:dyDescent="0.25">
      <c r="A54" s="19"/>
      <c r="C54" s="10" t="str" cm="1">
        <f t="array" ref="C54">IFERROR(_FV(FundManager[[#This Row],[Name]],"Ticker symbol",TRUE)," ")</f>
        <v xml:space="preserve"> </v>
      </c>
      <c r="E54" s="13"/>
      <c r="F54" s="13" t="str" cm="1">
        <f t="array" ref="F54">IFERROR(_FV(B54,"Price")," ")</f>
        <v xml:space="preserve"> </v>
      </c>
      <c r="G54" s="10" t="str">
        <f t="shared" si="1"/>
        <v xml:space="preserve"> </v>
      </c>
      <c r="H54" s="13"/>
      <c r="I54" s="24"/>
      <c r="J54" s="13">
        <f>IFERROR(FundManager[[#This Row],[Current Value]]-FundManager[[#This Row],[Amount Invested]]," ")</f>
        <v>0</v>
      </c>
      <c r="K54" s="14" t="str">
        <f t="shared" si="3"/>
        <v xml:space="preserve"> </v>
      </c>
      <c r="L54" s="15" t="str" cm="1">
        <f t="array" ref="L54">IFERROR(ROUND(_FV(B54,"Change (%)",TRUE),3) &amp; "%"," ")</f>
        <v xml:space="preserve"> </v>
      </c>
    </row>
    <row r="55" spans="1:12" x14ac:dyDescent="0.25">
      <c r="A55" s="19"/>
      <c r="C55" s="10" t="str" cm="1">
        <f t="array" ref="C55">IFERROR(_FV(FundManager[[#This Row],[Name]],"Ticker symbol",TRUE)," ")</f>
        <v xml:space="preserve"> </v>
      </c>
      <c r="E55" s="13"/>
      <c r="F55" s="13" t="str" cm="1">
        <f t="array" ref="F55">IFERROR(_FV(B55,"Price")," ")</f>
        <v xml:space="preserve"> </v>
      </c>
      <c r="G55" s="10" t="str">
        <f t="shared" si="1"/>
        <v xml:space="preserve"> </v>
      </c>
      <c r="H55" s="13"/>
      <c r="I55" s="24"/>
      <c r="J55" s="13">
        <f>IFERROR(FundManager[[#This Row],[Current Value]]-FundManager[[#This Row],[Amount Invested]]," ")</f>
        <v>0</v>
      </c>
      <c r="K55" s="14" t="str">
        <f t="shared" si="3"/>
        <v xml:space="preserve"> </v>
      </c>
      <c r="L55" s="15" t="str" cm="1">
        <f t="array" ref="L55">IFERROR(ROUND(_FV(B55,"Change (%)",TRUE),3) &amp; "%"," ")</f>
        <v xml:space="preserve"> </v>
      </c>
    </row>
    <row r="56" spans="1:12" x14ac:dyDescent="0.25">
      <c r="A56" s="19"/>
      <c r="C56" s="10" t="str" cm="1">
        <f t="array" ref="C56">IFERROR(_FV(FundManager[[#This Row],[Name]],"Ticker symbol",TRUE)," ")</f>
        <v xml:space="preserve"> </v>
      </c>
      <c r="E56" s="13"/>
      <c r="F56" s="13" t="str" cm="1">
        <f t="array" ref="F56">IFERROR(_FV(B56,"Price")," ")</f>
        <v xml:space="preserve"> </v>
      </c>
      <c r="G56" s="10" t="str">
        <f t="shared" si="1"/>
        <v xml:space="preserve"> </v>
      </c>
      <c r="H56" s="13"/>
      <c r="I56" s="24"/>
      <c r="J56" s="13">
        <f>IFERROR(FundManager[[#This Row],[Current Value]]-FundManager[[#This Row],[Amount Invested]]," ")</f>
        <v>0</v>
      </c>
      <c r="K56" s="14" t="str">
        <f t="shared" si="3"/>
        <v xml:space="preserve"> </v>
      </c>
      <c r="L56" s="15" t="str" cm="1">
        <f t="array" ref="L56">IFERROR(ROUND(_FV(B56,"Change (%)",TRUE),3) &amp; "%"," ")</f>
        <v xml:space="preserve"> </v>
      </c>
    </row>
    <row r="57" spans="1:12" x14ac:dyDescent="0.25">
      <c r="A57" s="19"/>
      <c r="C57" s="10" t="str" cm="1">
        <f t="array" ref="C57">IFERROR(_FV(FundManager[[#This Row],[Name]],"Ticker symbol",TRUE)," ")</f>
        <v xml:space="preserve"> </v>
      </c>
      <c r="E57" s="13"/>
      <c r="F57" s="13" t="str" cm="1">
        <f t="array" ref="F57">IFERROR(_FV(B57,"Price")," ")</f>
        <v xml:space="preserve"> </v>
      </c>
      <c r="G57" s="10" t="str">
        <f t="shared" si="1"/>
        <v xml:space="preserve"> </v>
      </c>
      <c r="H57" s="13"/>
      <c r="I57" s="24"/>
      <c r="J57" s="13">
        <f>IFERROR(FundManager[[#This Row],[Current Value]]-FundManager[[#This Row],[Amount Invested]]," ")</f>
        <v>0</v>
      </c>
      <c r="K57" s="14" t="str">
        <f t="shared" si="3"/>
        <v xml:space="preserve"> </v>
      </c>
      <c r="L57" s="15" t="str" cm="1">
        <f t="array" ref="L57">IFERROR(ROUND(_FV(B57,"Change (%)",TRUE),3) &amp; "%"," ")</f>
        <v xml:space="preserve"> </v>
      </c>
    </row>
    <row r="58" spans="1:12" x14ac:dyDescent="0.25">
      <c r="A58" s="19"/>
      <c r="C58" s="10" t="str" cm="1">
        <f t="array" ref="C58">IFERROR(_FV(FundManager[[#This Row],[Name]],"Ticker symbol",TRUE)," ")</f>
        <v xml:space="preserve"> </v>
      </c>
      <c r="E58" s="13"/>
      <c r="F58" s="13" t="str" cm="1">
        <f t="array" ref="F58">IFERROR(_FV(B58,"Price")," ")</f>
        <v xml:space="preserve"> </v>
      </c>
      <c r="G58" s="10" t="str">
        <f t="shared" si="1"/>
        <v xml:space="preserve"> </v>
      </c>
      <c r="H58" s="13"/>
      <c r="I58" s="24"/>
      <c r="J58" s="13">
        <f>IFERROR(FundManager[[#This Row],[Current Value]]-FundManager[[#This Row],[Amount Invested]]," ")</f>
        <v>0</v>
      </c>
      <c r="K58" s="14" t="str">
        <f t="shared" si="3"/>
        <v xml:space="preserve"> </v>
      </c>
      <c r="L58" s="15" t="str" cm="1">
        <f t="array" ref="L58">IFERROR(ROUND(_FV(B58,"Change (%)",TRUE),3) &amp; "%"," ")</f>
        <v xml:space="preserve"> </v>
      </c>
    </row>
    <row r="59" spans="1:12" x14ac:dyDescent="0.25">
      <c r="A59" s="19"/>
      <c r="C59" s="10" t="str" cm="1">
        <f t="array" ref="C59">IFERROR(_FV(FundManager[[#This Row],[Name]],"Ticker symbol",TRUE)," ")</f>
        <v xml:space="preserve"> </v>
      </c>
      <c r="E59" s="13"/>
      <c r="F59" s="13" t="str" cm="1">
        <f t="array" ref="F59">IFERROR(_FV(B59,"Price")," ")</f>
        <v xml:space="preserve"> </v>
      </c>
      <c r="G59" s="10" t="str">
        <f t="shared" si="1"/>
        <v xml:space="preserve"> </v>
      </c>
      <c r="H59" s="13"/>
      <c r="I59" s="24"/>
      <c r="J59" s="13">
        <f>IFERROR(FundManager[[#This Row],[Current Value]]-FundManager[[#This Row],[Amount Invested]]," ")</f>
        <v>0</v>
      </c>
      <c r="K59" s="14" t="str">
        <f t="shared" si="3"/>
        <v xml:space="preserve"> </v>
      </c>
      <c r="L59" s="15" t="str" cm="1">
        <f t="array" ref="L59">IFERROR(ROUND(_FV(B59,"Change (%)",TRUE),3) &amp; "%"," ")</f>
        <v xml:space="preserve"> </v>
      </c>
    </row>
    <row r="60" spans="1:12" x14ac:dyDescent="0.25">
      <c r="A60" s="19"/>
      <c r="C60" s="10" t="str" cm="1">
        <f t="array" ref="C60">IFERROR(_FV(FundManager[[#This Row],[Name]],"Ticker symbol",TRUE)," ")</f>
        <v xml:space="preserve"> </v>
      </c>
      <c r="E60" s="13"/>
      <c r="F60" s="13" t="str" cm="1">
        <f t="array" ref="F60">IFERROR(_FV(B60,"Price")," ")</f>
        <v xml:space="preserve"> </v>
      </c>
      <c r="G60" s="10" t="str">
        <f t="shared" si="1"/>
        <v xml:space="preserve"> </v>
      </c>
      <c r="H60" s="13"/>
      <c r="I60" s="24"/>
      <c r="J60" s="13">
        <f>IFERROR(FundManager[[#This Row],[Current Value]]-FundManager[[#This Row],[Amount Invested]]," ")</f>
        <v>0</v>
      </c>
      <c r="K60" s="14" t="str">
        <f t="shared" si="3"/>
        <v xml:space="preserve"> </v>
      </c>
      <c r="L60" s="15" t="str" cm="1">
        <f t="array" ref="L60">IFERROR(ROUND(_FV(B60,"Change (%)",TRUE),3) &amp; "%"," ")</f>
        <v xml:space="preserve"> </v>
      </c>
    </row>
    <row r="61" spans="1:12" x14ac:dyDescent="0.25">
      <c r="A61" s="19"/>
      <c r="C61" s="10" t="str" cm="1">
        <f t="array" ref="C61">IFERROR(_FV(FundManager[[#This Row],[Name]],"Ticker symbol",TRUE)," ")</f>
        <v xml:space="preserve"> </v>
      </c>
      <c r="E61" s="13"/>
      <c r="F61" s="13" t="str" cm="1">
        <f t="array" ref="F61">IFERROR(_FV(B61,"Price")," ")</f>
        <v xml:space="preserve"> </v>
      </c>
      <c r="G61" s="10" t="str">
        <f t="shared" si="1"/>
        <v xml:space="preserve"> </v>
      </c>
      <c r="H61" s="13"/>
      <c r="I61" s="24"/>
      <c r="J61" s="13">
        <f>IFERROR(FundManager[[#This Row],[Current Value]]-FundManager[[#This Row],[Amount Invested]]," ")</f>
        <v>0</v>
      </c>
      <c r="K61" s="14" t="str">
        <f t="shared" si="3"/>
        <v xml:space="preserve"> </v>
      </c>
      <c r="L61" s="15" t="str" cm="1">
        <f t="array" ref="L61">IFERROR(ROUND(_FV(B61,"Change (%)",TRUE),3) &amp; "%"," ")</f>
        <v xml:space="preserve"> </v>
      </c>
    </row>
    <row r="62" spans="1:12" x14ac:dyDescent="0.25">
      <c r="A62" s="19"/>
      <c r="C62" s="10" t="str" cm="1">
        <f t="array" ref="C62">IFERROR(_FV(FundManager[[#This Row],[Name]],"Ticker symbol",TRUE)," ")</f>
        <v xml:space="preserve"> </v>
      </c>
      <c r="E62" s="13"/>
      <c r="F62" s="13" t="str" cm="1">
        <f t="array" ref="F62">IFERROR(_FV(B62,"Price")," ")</f>
        <v xml:space="preserve"> </v>
      </c>
      <c r="G62" s="10" t="str">
        <f t="shared" si="1"/>
        <v xml:space="preserve"> </v>
      </c>
      <c r="H62" s="13"/>
      <c r="I62" s="24"/>
      <c r="J62" s="13">
        <f>IFERROR(FundManager[[#This Row],[Current Value]]-FundManager[[#This Row],[Amount Invested]]," ")</f>
        <v>0</v>
      </c>
      <c r="K62" s="14" t="str">
        <f t="shared" si="3"/>
        <v xml:space="preserve"> </v>
      </c>
      <c r="L62" s="15" t="str" cm="1">
        <f t="array" ref="L62">IFERROR(ROUND(_FV(B62,"Change (%)",TRUE),3) &amp; "%"," ")</f>
        <v xml:space="preserve"> </v>
      </c>
    </row>
    <row r="63" spans="1:12" x14ac:dyDescent="0.25">
      <c r="A63" s="19"/>
      <c r="C63" s="10" t="str" cm="1">
        <f t="array" ref="C63">IFERROR(_FV(FundManager[[#This Row],[Name]],"Ticker symbol",TRUE)," ")</f>
        <v xml:space="preserve"> </v>
      </c>
      <c r="E63" s="13"/>
      <c r="F63" s="13" t="str" cm="1">
        <f t="array" ref="F63">IFERROR(_FV(B63,"Price")," ")</f>
        <v xml:space="preserve"> </v>
      </c>
      <c r="G63" s="10" t="str">
        <f t="shared" si="1"/>
        <v xml:space="preserve"> </v>
      </c>
      <c r="H63" s="13"/>
      <c r="I63" s="24"/>
      <c r="J63" s="13">
        <f>IFERROR(FundManager[[#This Row],[Current Value]]-FundManager[[#This Row],[Amount Invested]]," ")</f>
        <v>0</v>
      </c>
      <c r="K63" s="14" t="str">
        <f t="shared" si="3"/>
        <v xml:space="preserve"> </v>
      </c>
      <c r="L63" s="15" t="str" cm="1">
        <f t="array" ref="L63">IFERROR(ROUND(_FV(B63,"Change (%)",TRUE),3) &amp; "%"," ")</f>
        <v xml:space="preserve"> </v>
      </c>
    </row>
    <row r="64" spans="1:12" x14ac:dyDescent="0.25">
      <c r="A64" s="19"/>
      <c r="C64" s="10" t="str" cm="1">
        <f t="array" ref="C64">IFERROR(_FV(FundManager[[#This Row],[Name]],"Ticker symbol",TRUE)," ")</f>
        <v xml:space="preserve"> </v>
      </c>
      <c r="E64" s="13"/>
      <c r="F64" s="13" t="str" cm="1">
        <f t="array" ref="F64">IFERROR(_FV(B64,"Price")," ")</f>
        <v xml:space="preserve"> </v>
      </c>
      <c r="G64" s="10" t="str">
        <f t="shared" si="1"/>
        <v xml:space="preserve"> </v>
      </c>
      <c r="H64" s="13"/>
      <c r="I64" s="24"/>
      <c r="J64" s="13">
        <f>IFERROR(FundManager[[#This Row],[Current Value]]-FundManager[[#This Row],[Amount Invested]]," ")</f>
        <v>0</v>
      </c>
      <c r="K64" s="14" t="str">
        <f t="shared" si="3"/>
        <v xml:space="preserve"> </v>
      </c>
      <c r="L64" s="15" t="str" cm="1">
        <f t="array" ref="L64">IFERROR(ROUND(_FV(B64,"Change (%)",TRUE),3) &amp; "%"," ")</f>
        <v xml:space="preserve"> </v>
      </c>
    </row>
    <row r="65" spans="1:12" x14ac:dyDescent="0.25">
      <c r="A65" s="19"/>
      <c r="C65" s="10" t="str" cm="1">
        <f t="array" ref="C65">IFERROR(_FV(FundManager[[#This Row],[Name]],"Ticker symbol",TRUE)," ")</f>
        <v xml:space="preserve"> </v>
      </c>
      <c r="E65" s="13"/>
      <c r="F65" s="13" t="str" cm="1">
        <f t="array" ref="F65">IFERROR(_FV(B65,"Price")," ")</f>
        <v xml:space="preserve"> </v>
      </c>
      <c r="G65" s="10" t="str">
        <f t="shared" si="1"/>
        <v xml:space="preserve"> </v>
      </c>
      <c r="H65" s="13"/>
      <c r="I65" s="24"/>
      <c r="J65" s="13">
        <f>IFERROR(FundManager[[#This Row],[Current Value]]-FundManager[[#This Row],[Amount Invested]]," ")</f>
        <v>0</v>
      </c>
      <c r="K65" s="14" t="str">
        <f t="shared" si="3"/>
        <v xml:space="preserve"> </v>
      </c>
      <c r="L65" s="15" t="str" cm="1">
        <f t="array" ref="L65">IFERROR(ROUND(_FV(B65,"Change (%)",TRUE),3) &amp; "%"," ")</f>
        <v xml:space="preserve"> </v>
      </c>
    </row>
    <row r="66" spans="1:12" x14ac:dyDescent="0.25">
      <c r="A66" s="19"/>
      <c r="C66" s="10" t="str" cm="1">
        <f t="array" ref="C66">IFERROR(_FV(FundManager[[#This Row],[Name]],"Ticker symbol",TRUE)," ")</f>
        <v xml:space="preserve"> </v>
      </c>
      <c r="E66" s="13"/>
      <c r="F66" s="13" t="str" cm="1">
        <f t="array" ref="F66">IFERROR(_FV(B66,"Price")," ")</f>
        <v xml:space="preserve"> </v>
      </c>
      <c r="G66" s="10" t="str">
        <f t="shared" si="1"/>
        <v xml:space="preserve"> </v>
      </c>
      <c r="H66" s="13"/>
      <c r="I66" s="24"/>
      <c r="J66" s="13">
        <f>IFERROR(FundManager[[#This Row],[Current Value]]-FundManager[[#This Row],[Amount Invested]]," ")</f>
        <v>0</v>
      </c>
      <c r="K66" s="14" t="str">
        <f t="shared" si="3"/>
        <v xml:space="preserve"> </v>
      </c>
      <c r="L66" s="15" t="str" cm="1">
        <f t="array" ref="L66">IFERROR(ROUND(_FV(B66,"Change (%)",TRUE),3) &amp; "%"," ")</f>
        <v xml:space="preserve"> </v>
      </c>
    </row>
    <row r="67" spans="1:12" x14ac:dyDescent="0.25">
      <c r="A67" s="19"/>
      <c r="C67" s="10" t="str" cm="1">
        <f t="array" ref="C67">IFERROR(_FV(FundManager[[#This Row],[Name]],"Ticker symbol",TRUE)," ")</f>
        <v xml:space="preserve"> </v>
      </c>
      <c r="E67" s="13"/>
      <c r="F67" s="13" t="str" cm="1">
        <f t="array" ref="F67">IFERROR(_FV(B67,"Price")," ")</f>
        <v xml:space="preserve"> </v>
      </c>
      <c r="G67" s="10" t="str">
        <f t="shared" si="1"/>
        <v xml:space="preserve"> </v>
      </c>
      <c r="H67" s="13"/>
      <c r="I67" s="24"/>
      <c r="J67" s="13">
        <f>IFERROR(FundManager[[#This Row],[Current Value]]-FundManager[[#This Row],[Amount Invested]]," ")</f>
        <v>0</v>
      </c>
      <c r="K67" s="14" t="str">
        <f t="shared" si="3"/>
        <v xml:space="preserve"> </v>
      </c>
      <c r="L67" s="15" t="str" cm="1">
        <f t="array" ref="L67">IFERROR(ROUND(_FV(B67,"Change (%)",TRUE),3) &amp; "%"," ")</f>
        <v xml:space="preserve"> </v>
      </c>
    </row>
    <row r="68" spans="1:12" x14ac:dyDescent="0.25">
      <c r="A68" s="19"/>
      <c r="C68" s="10" t="str" cm="1">
        <f t="array" ref="C68">IFERROR(_FV(FundManager[[#This Row],[Name]],"Ticker symbol",TRUE)," ")</f>
        <v xml:space="preserve"> </v>
      </c>
      <c r="E68" s="13"/>
      <c r="F68" s="13" t="str" cm="1">
        <f t="array" ref="F68">IFERROR(_FV(B68,"Price")," ")</f>
        <v xml:space="preserve"> </v>
      </c>
      <c r="G68" s="10" t="str">
        <f t="shared" si="1"/>
        <v xml:space="preserve"> </v>
      </c>
      <c r="H68" s="13"/>
      <c r="I68" s="24"/>
      <c r="J68" s="13">
        <f>IFERROR(FundManager[[#This Row],[Current Value]]-FundManager[[#This Row],[Amount Invested]]," ")</f>
        <v>0</v>
      </c>
      <c r="K68" s="14" t="str">
        <f t="shared" si="3"/>
        <v xml:space="preserve"> </v>
      </c>
      <c r="L68" s="15" t="str" cm="1">
        <f t="array" ref="L68">IFERROR(ROUND(_FV(B68,"Change (%)",TRUE),3) &amp; "%"," ")</f>
        <v xml:space="preserve"> </v>
      </c>
    </row>
    <row r="69" spans="1:12" x14ac:dyDescent="0.25">
      <c r="A69" s="19"/>
      <c r="C69" s="10" t="str" cm="1">
        <f t="array" ref="C69">IFERROR(_FV(FundManager[[#This Row],[Name]],"Ticker symbol",TRUE)," ")</f>
        <v xml:space="preserve"> </v>
      </c>
      <c r="E69" s="13"/>
      <c r="F69" s="13" t="str" cm="1">
        <f t="array" ref="F69">IFERROR(_FV(B69,"Price")," ")</f>
        <v xml:space="preserve"> </v>
      </c>
      <c r="G69" s="10" t="str">
        <f t="shared" si="1"/>
        <v xml:space="preserve"> </v>
      </c>
      <c r="H69" s="13"/>
      <c r="I69" s="24"/>
      <c r="J69" s="13">
        <f>IFERROR(FundManager[[#This Row],[Current Value]]-FundManager[[#This Row],[Amount Invested]]," ")</f>
        <v>0</v>
      </c>
      <c r="K69" s="14" t="str">
        <f t="shared" si="3"/>
        <v xml:space="preserve"> </v>
      </c>
      <c r="L69" s="15" t="str" cm="1">
        <f t="array" ref="L69">IFERROR(ROUND(_FV(B69,"Change (%)",TRUE),3) &amp; "%"," ")</f>
        <v xml:space="preserve"> </v>
      </c>
    </row>
    <row r="70" spans="1:12" x14ac:dyDescent="0.25">
      <c r="A70" s="19"/>
      <c r="C70" s="10" t="str" cm="1">
        <f t="array" ref="C70">IFERROR(_FV(FundManager[[#This Row],[Name]],"Ticker symbol",TRUE)," ")</f>
        <v xml:space="preserve"> </v>
      </c>
      <c r="E70" s="13"/>
      <c r="F70" s="13" t="str" cm="1">
        <f t="array" ref="F70">IFERROR(_FV(B70,"Price")," ")</f>
        <v xml:space="preserve"> </v>
      </c>
      <c r="G70" s="10" t="str">
        <f t="shared" si="1"/>
        <v xml:space="preserve"> </v>
      </c>
      <c r="H70" s="13"/>
      <c r="I70" s="24"/>
      <c r="J70" s="13">
        <f>IFERROR(FundManager[[#This Row],[Current Value]]-FundManager[[#This Row],[Amount Invested]]," ")</f>
        <v>0</v>
      </c>
      <c r="K70" s="14" t="str">
        <f t="shared" si="3"/>
        <v xml:space="preserve"> </v>
      </c>
      <c r="L70" s="15" t="str" cm="1">
        <f t="array" ref="L70">IFERROR(ROUND(_FV(B70,"Change (%)",TRUE),3) &amp; "%"," ")</f>
        <v xml:space="preserve"> </v>
      </c>
    </row>
    <row r="71" spans="1:12" x14ac:dyDescent="0.25">
      <c r="A71" s="19"/>
      <c r="C71" s="10" t="str" cm="1">
        <f t="array" ref="C71">IFERROR(_FV(FundManager[[#This Row],[Name]],"Ticker symbol",TRUE)," ")</f>
        <v xml:space="preserve"> </v>
      </c>
      <c r="E71" s="13"/>
      <c r="F71" s="13" t="str" cm="1">
        <f t="array" ref="F71">IFERROR(_FV(B71,"Price")," ")</f>
        <v xml:space="preserve"> </v>
      </c>
      <c r="G71" s="10" t="str">
        <f t="shared" si="1"/>
        <v xml:space="preserve"> </v>
      </c>
      <c r="H71" s="13"/>
      <c r="I71" s="24"/>
      <c r="J71" s="13">
        <f>IFERROR(FundManager[[#This Row],[Current Value]]-FundManager[[#This Row],[Amount Invested]]," ")</f>
        <v>0</v>
      </c>
      <c r="K71" s="14" t="str">
        <f t="shared" si="3"/>
        <v xml:space="preserve"> </v>
      </c>
      <c r="L71" s="15" t="str" cm="1">
        <f t="array" ref="L71">IFERROR(ROUND(_FV(B71,"Change (%)",TRUE),3) &amp; "%"," ")</f>
        <v xml:space="preserve"> </v>
      </c>
    </row>
    <row r="72" spans="1:12" x14ac:dyDescent="0.25">
      <c r="A72" s="19"/>
      <c r="C72" s="10" t="str" cm="1">
        <f t="array" ref="C72">IFERROR(_FV(FundManager[[#This Row],[Name]],"Ticker symbol",TRUE)," ")</f>
        <v xml:space="preserve"> </v>
      </c>
      <c r="E72" s="13"/>
      <c r="F72" s="13" t="str" cm="1">
        <f t="array" ref="F72">IFERROR(_FV(B72,"Price")," ")</f>
        <v xml:space="preserve"> </v>
      </c>
      <c r="G72" s="10" t="str">
        <f t="shared" si="1"/>
        <v xml:space="preserve"> </v>
      </c>
      <c r="H72" s="13"/>
      <c r="I72" s="24"/>
      <c r="J72" s="13">
        <f>IFERROR(FundManager[[#This Row],[Current Value]]-FundManager[[#This Row],[Amount Invested]]," ")</f>
        <v>0</v>
      </c>
      <c r="K72" s="14" t="str">
        <f t="shared" si="3"/>
        <v xml:space="preserve"> </v>
      </c>
      <c r="L72" s="15" t="str" cm="1">
        <f t="array" ref="L72">IFERROR(ROUND(_FV(B72,"Change (%)",TRUE),3) &amp; "%"," ")</f>
        <v xml:space="preserve"> </v>
      </c>
    </row>
    <row r="73" spans="1:12" x14ac:dyDescent="0.25">
      <c r="A73" s="19"/>
      <c r="C73" s="10" t="str" cm="1">
        <f t="array" ref="C73">IFERROR(_FV(FundManager[[#This Row],[Name]],"Ticker symbol",TRUE)," ")</f>
        <v xml:space="preserve"> </v>
      </c>
      <c r="E73" s="13"/>
      <c r="F73" s="13" t="str" cm="1">
        <f t="array" ref="F73">IFERROR(_FV(B73,"Price")," ")</f>
        <v xml:space="preserve"> </v>
      </c>
      <c r="G73" s="10" t="str">
        <f t="shared" si="1"/>
        <v xml:space="preserve"> </v>
      </c>
      <c r="H73" s="13"/>
      <c r="I73" s="24"/>
      <c r="J73" s="13">
        <f>IFERROR(FundManager[[#This Row],[Current Value]]-FundManager[[#This Row],[Amount Invested]]," ")</f>
        <v>0</v>
      </c>
      <c r="K73" s="14" t="str">
        <f t="shared" si="3"/>
        <v xml:space="preserve"> </v>
      </c>
      <c r="L73" s="15" t="str" cm="1">
        <f t="array" ref="L73">IFERROR(ROUND(_FV(B73,"Change (%)",TRUE),3) &amp; "%"," ")</f>
        <v xml:space="preserve"> </v>
      </c>
    </row>
    <row r="74" spans="1:12" x14ac:dyDescent="0.25">
      <c r="A74" s="19"/>
      <c r="C74" s="10" t="str" cm="1">
        <f t="array" ref="C74">IFERROR(_FV(FundManager[[#This Row],[Name]],"Ticker symbol",TRUE)," ")</f>
        <v xml:space="preserve"> </v>
      </c>
      <c r="E74" s="13"/>
      <c r="F74" s="13" t="str" cm="1">
        <f t="array" ref="F74">IFERROR(_FV(B74,"Price")," ")</f>
        <v xml:space="preserve"> </v>
      </c>
      <c r="G74" s="10" t="str">
        <f t="shared" si="1"/>
        <v xml:space="preserve"> </v>
      </c>
      <c r="H74" s="13"/>
      <c r="I74" s="24"/>
      <c r="J74" s="13">
        <f>IFERROR(FundManager[[#This Row],[Current Value]]-FundManager[[#This Row],[Amount Invested]]," ")</f>
        <v>0</v>
      </c>
      <c r="K74" s="14" t="str">
        <f t="shared" si="3"/>
        <v xml:space="preserve"> </v>
      </c>
      <c r="L74" s="15" t="str" cm="1">
        <f t="array" ref="L74">IFERROR(ROUND(_FV(B74,"Change (%)",TRUE),3) &amp; "%"," ")</f>
        <v xml:space="preserve"> </v>
      </c>
    </row>
    <row r="75" spans="1:12" x14ac:dyDescent="0.25">
      <c r="A75" s="19"/>
      <c r="C75" s="10" t="str" cm="1">
        <f t="array" ref="C75">IFERROR(_FV(FundManager[[#This Row],[Name]],"Ticker symbol",TRUE)," ")</f>
        <v xml:space="preserve"> </v>
      </c>
      <c r="E75" s="13"/>
      <c r="F75" s="13" t="str" cm="1">
        <f t="array" ref="F75">IFERROR(_FV(B75,"Price")," ")</f>
        <v xml:space="preserve"> </v>
      </c>
      <c r="G75" s="10" t="str">
        <f t="shared" si="1"/>
        <v xml:space="preserve"> </v>
      </c>
      <c r="H75" s="13"/>
      <c r="I75" s="24"/>
      <c r="J75" s="13">
        <f>IFERROR(FundManager[[#This Row],[Current Value]]-FundManager[[#This Row],[Amount Invested]]," ")</f>
        <v>0</v>
      </c>
      <c r="K75" s="14" t="str">
        <f t="shared" si="3"/>
        <v xml:space="preserve"> </v>
      </c>
      <c r="L75" s="15" t="str" cm="1">
        <f t="array" ref="L75">IFERROR(ROUND(_FV(B75,"Change (%)",TRUE),3) &amp; "%"," ")</f>
        <v xml:space="preserve"> </v>
      </c>
    </row>
    <row r="76" spans="1:12" x14ac:dyDescent="0.25">
      <c r="A76" s="19"/>
      <c r="C76" s="10" t="str" cm="1">
        <f t="array" ref="C76">IFERROR(_FV(FundManager[[#This Row],[Name]],"Ticker symbol",TRUE)," ")</f>
        <v xml:space="preserve"> </v>
      </c>
      <c r="E76" s="13"/>
      <c r="F76" s="13" t="str" cm="1">
        <f t="array" ref="F76">IFERROR(_FV(B76,"Price")," ")</f>
        <v xml:space="preserve"> </v>
      </c>
      <c r="G76" s="10" t="str">
        <f t="shared" si="1"/>
        <v xml:space="preserve"> </v>
      </c>
      <c r="H76" s="13"/>
      <c r="I76" s="24"/>
      <c r="J76" s="13">
        <f>IFERROR(FundManager[[#This Row],[Current Value]]-FundManager[[#This Row],[Amount Invested]]," ")</f>
        <v>0</v>
      </c>
      <c r="K76" s="14" t="str">
        <f t="shared" si="3"/>
        <v xml:space="preserve"> </v>
      </c>
      <c r="L76" s="15" t="str" cm="1">
        <f t="array" ref="L76">IFERROR(ROUND(_FV(B76,"Change (%)",TRUE),3) &amp; "%"," ")</f>
        <v xml:space="preserve"> </v>
      </c>
    </row>
    <row r="77" spans="1:12" x14ac:dyDescent="0.25">
      <c r="A77" s="19"/>
      <c r="C77" s="10" t="str" cm="1">
        <f t="array" ref="C77">IFERROR(_FV(FundManager[[#This Row],[Name]],"Ticker symbol",TRUE)," ")</f>
        <v xml:space="preserve"> </v>
      </c>
      <c r="E77" s="13"/>
      <c r="F77" s="13" t="str" cm="1">
        <f t="array" ref="F77">IFERROR(_FV(B77,"Price")," ")</f>
        <v xml:space="preserve"> </v>
      </c>
      <c r="G77" s="10" t="str">
        <f t="shared" si="1"/>
        <v xml:space="preserve"> </v>
      </c>
      <c r="H77" s="13"/>
      <c r="I77" s="24"/>
      <c r="J77" s="13">
        <f>IFERROR(FundManager[[#This Row],[Current Value]]-FundManager[[#This Row],[Amount Invested]]," ")</f>
        <v>0</v>
      </c>
      <c r="K77" s="14" t="str">
        <f t="shared" si="3"/>
        <v xml:space="preserve"> </v>
      </c>
      <c r="L77" s="15" t="str" cm="1">
        <f t="array" ref="L77">IFERROR(ROUND(_FV(B77,"Change (%)",TRUE),3) &amp; "%"," ")</f>
        <v xml:space="preserve"> </v>
      </c>
    </row>
    <row r="78" spans="1:12" x14ac:dyDescent="0.25">
      <c r="A78" s="19"/>
      <c r="C78" s="10" t="str" cm="1">
        <f t="array" ref="C78">IFERROR(_FV(FundManager[[#This Row],[Name]],"Ticker symbol",TRUE)," ")</f>
        <v xml:space="preserve"> </v>
      </c>
      <c r="E78" s="13"/>
      <c r="F78" s="13" t="str" cm="1">
        <f t="array" ref="F78">IFERROR(_FV(B78,"Price")," ")</f>
        <v xml:space="preserve"> </v>
      </c>
      <c r="G78" s="10" t="str">
        <f t="shared" si="1"/>
        <v xml:space="preserve"> </v>
      </c>
      <c r="H78" s="13"/>
      <c r="I78" s="24"/>
      <c r="J78" s="13">
        <f>IFERROR(FundManager[[#This Row],[Current Value]]-FundManager[[#This Row],[Amount Invested]]," ")</f>
        <v>0</v>
      </c>
      <c r="K78" s="14" t="str">
        <f t="shared" si="3"/>
        <v xml:space="preserve"> </v>
      </c>
      <c r="L78" s="15" t="str" cm="1">
        <f t="array" ref="L78">IFERROR(ROUND(_FV(B78,"Change (%)",TRUE),3) &amp; "%"," ")</f>
        <v xml:space="preserve"> </v>
      </c>
    </row>
    <row r="79" spans="1:12" x14ac:dyDescent="0.25">
      <c r="A79" s="19"/>
      <c r="C79" s="10" t="str" cm="1">
        <f t="array" ref="C79">IFERROR(_FV(FundManager[[#This Row],[Name]],"Ticker symbol",TRUE)," ")</f>
        <v xml:space="preserve"> </v>
      </c>
      <c r="E79" s="13"/>
      <c r="F79" s="13" t="str" cm="1">
        <f t="array" ref="F79">IFERROR(_FV(B79,"Price")," ")</f>
        <v xml:space="preserve"> </v>
      </c>
      <c r="G79" s="10" t="str">
        <f t="shared" si="1"/>
        <v xml:space="preserve"> </v>
      </c>
      <c r="H79" s="13"/>
      <c r="I79" s="24"/>
      <c r="J79" s="13">
        <f>IFERROR(FundManager[[#This Row],[Current Value]]-FundManager[[#This Row],[Amount Invested]]," ")</f>
        <v>0</v>
      </c>
      <c r="K79" s="14" t="str">
        <f t="shared" si="3"/>
        <v xml:space="preserve"> </v>
      </c>
      <c r="L79" s="15" t="str" cm="1">
        <f t="array" ref="L79">IFERROR(ROUND(_FV(B79,"Change (%)",TRUE),3) &amp; "%"," ")</f>
        <v xml:space="preserve"> </v>
      </c>
    </row>
    <row r="80" spans="1:12" x14ac:dyDescent="0.25">
      <c r="A80" s="19"/>
      <c r="C80" s="10" t="str" cm="1">
        <f t="array" ref="C80">IFERROR(_FV(FundManager[[#This Row],[Name]],"Ticker symbol",TRUE)," ")</f>
        <v xml:space="preserve"> </v>
      </c>
      <c r="E80" s="13"/>
      <c r="F80" s="13" t="str" cm="1">
        <f t="array" ref="F80">IFERROR(_FV(B80,"Price")," ")</f>
        <v xml:space="preserve"> </v>
      </c>
      <c r="G80" s="10" t="str">
        <f t="shared" si="1"/>
        <v xml:space="preserve"> </v>
      </c>
      <c r="H80" s="13"/>
      <c r="I80" s="24"/>
      <c r="J80" s="13">
        <f>IFERROR(FundManager[[#This Row],[Current Value]]-FundManager[[#This Row],[Amount Invested]]," ")</f>
        <v>0</v>
      </c>
      <c r="K80" s="14" t="str">
        <f t="shared" si="3"/>
        <v xml:space="preserve"> </v>
      </c>
      <c r="L80" s="15" t="str" cm="1">
        <f t="array" ref="L80">IFERROR(ROUND(_FV(B80,"Change (%)",TRUE),3) &amp; "%"," ")</f>
        <v xml:space="preserve"> </v>
      </c>
    </row>
    <row r="81" spans="1:12" x14ac:dyDescent="0.25">
      <c r="A81" s="19"/>
      <c r="C81" s="10" t="str" cm="1">
        <f t="array" ref="C81">IFERROR(_FV(FundManager[[#This Row],[Name]],"Ticker symbol",TRUE)," ")</f>
        <v xml:space="preserve"> </v>
      </c>
      <c r="E81" s="13"/>
      <c r="F81" s="13" t="str" cm="1">
        <f t="array" ref="F81">IFERROR(_FV(B81,"Price")," ")</f>
        <v xml:space="preserve"> </v>
      </c>
      <c r="G81" s="10" t="str">
        <f t="shared" si="1"/>
        <v xml:space="preserve"> </v>
      </c>
      <c r="H81" s="13"/>
      <c r="I81" s="24"/>
      <c r="J81" s="13">
        <f>IFERROR(FundManager[[#This Row],[Current Value]]-FundManager[[#This Row],[Amount Invested]]," ")</f>
        <v>0</v>
      </c>
      <c r="K81" s="14" t="str">
        <f t="shared" si="3"/>
        <v xml:space="preserve"> </v>
      </c>
      <c r="L81" s="15" t="str" cm="1">
        <f t="array" ref="L81">IFERROR(ROUND(_FV(B81,"Change (%)",TRUE),3) &amp; "%"," ")</f>
        <v xml:space="preserve"> </v>
      </c>
    </row>
    <row r="82" spans="1:12" x14ac:dyDescent="0.25">
      <c r="A82" s="19"/>
      <c r="C82" s="10" t="str" cm="1">
        <f t="array" ref="C82">IFERROR(_FV(FundManager[[#This Row],[Name]],"Ticker symbol",TRUE)," ")</f>
        <v xml:space="preserve"> </v>
      </c>
      <c r="E82" s="13"/>
      <c r="F82" s="13" t="str" cm="1">
        <f t="array" ref="F82">IFERROR(_FV(B82,"Price")," ")</f>
        <v xml:space="preserve"> </v>
      </c>
      <c r="G82" s="10" t="str">
        <f t="shared" si="1"/>
        <v xml:space="preserve"> </v>
      </c>
      <c r="H82" s="13"/>
      <c r="I82" s="24"/>
      <c r="J82" s="13">
        <f>IFERROR(FundManager[[#This Row],[Current Value]]-FundManager[[#This Row],[Amount Invested]]," ")</f>
        <v>0</v>
      </c>
      <c r="K82" s="14" t="str">
        <f t="shared" si="3"/>
        <v xml:space="preserve"> </v>
      </c>
      <c r="L82" s="15" t="str" cm="1">
        <f t="array" ref="L82">IFERROR(ROUND(_FV(B82,"Change (%)",TRUE),3) &amp; "%"," ")</f>
        <v xml:space="preserve"> </v>
      </c>
    </row>
    <row r="83" spans="1:12" x14ac:dyDescent="0.25">
      <c r="A83" s="19"/>
      <c r="C83" s="10" t="str" cm="1">
        <f t="array" ref="C83">IFERROR(_FV(FundManager[[#This Row],[Name]],"Ticker symbol",TRUE)," ")</f>
        <v xml:space="preserve"> </v>
      </c>
      <c r="E83" s="13"/>
      <c r="F83" s="13" t="str" cm="1">
        <f t="array" ref="F83">IFERROR(_FV(B83,"Price")," ")</f>
        <v xml:space="preserve"> </v>
      </c>
      <c r="G83" s="10" t="str">
        <f t="shared" si="1"/>
        <v xml:space="preserve"> </v>
      </c>
      <c r="H83" s="13"/>
      <c r="I83" s="24"/>
      <c r="J83" s="13">
        <f>IFERROR(FundManager[[#This Row],[Current Value]]-FundManager[[#This Row],[Amount Invested]]," ")</f>
        <v>0</v>
      </c>
      <c r="K83" s="14" t="str">
        <f t="shared" si="3"/>
        <v xml:space="preserve"> </v>
      </c>
      <c r="L83" s="15" t="str" cm="1">
        <f t="array" ref="L83">IFERROR(ROUND(_FV(B83,"Change (%)",TRUE),3) &amp; "%"," ")</f>
        <v xml:space="preserve"> </v>
      </c>
    </row>
    <row r="84" spans="1:12" x14ac:dyDescent="0.25">
      <c r="A84" s="19"/>
      <c r="C84" s="10" t="str" cm="1">
        <f t="array" ref="C84">IFERROR(_FV(FundManager[[#This Row],[Name]],"Ticker symbol",TRUE)," ")</f>
        <v xml:space="preserve"> </v>
      </c>
      <c r="E84" s="13"/>
      <c r="F84" s="13" t="str" cm="1">
        <f t="array" ref="F84">IFERROR(_FV(B84,"Price")," ")</f>
        <v xml:space="preserve"> </v>
      </c>
      <c r="G84" s="10" t="str">
        <f t="shared" si="1"/>
        <v xml:space="preserve"> </v>
      </c>
      <c r="H84" s="13"/>
      <c r="I84" s="24"/>
      <c r="J84" s="13">
        <f>IFERROR(FundManager[[#This Row],[Current Value]]-FundManager[[#This Row],[Amount Invested]]," ")</f>
        <v>0</v>
      </c>
      <c r="K84" s="14" t="str">
        <f t="shared" si="3"/>
        <v xml:space="preserve"> </v>
      </c>
      <c r="L84" s="15" t="str" cm="1">
        <f t="array" ref="L84">IFERROR(ROUND(_FV(B84,"Change (%)",TRUE),3) &amp; "%"," ")</f>
        <v xml:space="preserve"> </v>
      </c>
    </row>
    <row r="85" spans="1:12" x14ac:dyDescent="0.25">
      <c r="A85" s="19"/>
      <c r="C85" s="10" t="str" cm="1">
        <f t="array" ref="C85">IFERROR(_FV(FundManager[[#This Row],[Name]],"Ticker symbol",TRUE)," ")</f>
        <v xml:space="preserve"> </v>
      </c>
      <c r="E85" s="13"/>
      <c r="F85" s="13" t="str" cm="1">
        <f t="array" ref="F85">IFERROR(_FV(B85,"Price")," ")</f>
        <v xml:space="preserve"> </v>
      </c>
      <c r="G85" s="10" t="str">
        <f t="shared" si="1"/>
        <v xml:space="preserve"> </v>
      </c>
      <c r="H85" s="13"/>
      <c r="I85" s="24"/>
      <c r="J85" s="13">
        <f>IFERROR(FundManager[[#This Row],[Current Value]]-FundManager[[#This Row],[Amount Invested]]," ")</f>
        <v>0</v>
      </c>
      <c r="K85" s="14" t="str">
        <f t="shared" si="3"/>
        <v xml:space="preserve"> </v>
      </c>
      <c r="L85" s="15" t="str" cm="1">
        <f t="array" ref="L85">IFERROR(ROUND(_FV(B85,"Change (%)",TRUE),3) &amp; "%"," ")</f>
        <v xml:space="preserve"> </v>
      </c>
    </row>
    <row r="86" spans="1:12" x14ac:dyDescent="0.25">
      <c r="A86" s="19"/>
      <c r="C86" s="10" t="str" cm="1">
        <f t="array" ref="C86">IFERROR(_FV(FundManager[[#This Row],[Name]],"Ticker symbol",TRUE)," ")</f>
        <v xml:space="preserve"> </v>
      </c>
      <c r="E86" s="13"/>
      <c r="F86" s="13" t="str" cm="1">
        <f t="array" ref="F86">IFERROR(_FV(B86,"Price")," ")</f>
        <v xml:space="preserve"> </v>
      </c>
      <c r="G86" s="10" t="str">
        <f t="shared" si="1"/>
        <v xml:space="preserve"> </v>
      </c>
      <c r="H86" s="13"/>
      <c r="I86" s="24"/>
      <c r="J86" s="13">
        <f>IFERROR(FundManager[[#This Row],[Current Value]]-FundManager[[#This Row],[Amount Invested]]," ")</f>
        <v>0</v>
      </c>
      <c r="K86" s="14" t="str">
        <f t="shared" si="3"/>
        <v xml:space="preserve"> </v>
      </c>
      <c r="L86" s="15" t="str" cm="1">
        <f t="array" ref="L86">IFERROR(ROUND(_FV(B86,"Change (%)",TRUE),3) &amp; "%"," ")</f>
        <v xml:space="preserve"> </v>
      </c>
    </row>
    <row r="87" spans="1:12" x14ac:dyDescent="0.25">
      <c r="A87" s="19"/>
      <c r="C87" s="10" t="str" cm="1">
        <f t="array" ref="C87">IFERROR(_FV(FundManager[[#This Row],[Name]],"Ticker symbol",TRUE)," ")</f>
        <v xml:space="preserve"> </v>
      </c>
      <c r="E87" s="13"/>
      <c r="F87" s="13" t="str" cm="1">
        <f t="array" ref="F87">IFERROR(_FV(B87,"Price")," ")</f>
        <v xml:space="preserve"> </v>
      </c>
      <c r="G87" s="10" t="str">
        <f t="shared" ref="G87:G150" si="4">IFERROR(H87/E87," ")</f>
        <v xml:space="preserve"> </v>
      </c>
      <c r="H87" s="13"/>
      <c r="I87" s="24"/>
      <c r="J87" s="13">
        <f>IFERROR(FundManager[[#This Row],[Current Value]]-FundManager[[#This Row],[Amount Invested]]," ")</f>
        <v>0</v>
      </c>
      <c r="K87" s="14" t="str">
        <f t="shared" ref="K87:K150" si="5">IFERROR((I87-H87)/H87," ")</f>
        <v xml:space="preserve"> </v>
      </c>
      <c r="L87" s="15" t="str" cm="1">
        <f t="array" ref="L87">IFERROR(ROUND(_FV(B87,"Change (%)",TRUE),3) &amp; "%"," ")</f>
        <v xml:space="preserve"> </v>
      </c>
    </row>
    <row r="88" spans="1:12" x14ac:dyDescent="0.25">
      <c r="A88" s="19"/>
      <c r="C88" s="10" t="str" cm="1">
        <f t="array" ref="C88">IFERROR(_FV(FundManager[[#This Row],[Name]],"Ticker symbol",TRUE)," ")</f>
        <v xml:space="preserve"> </v>
      </c>
      <c r="E88" s="13"/>
      <c r="F88" s="13" t="str" cm="1">
        <f t="array" ref="F88">IFERROR(_FV(B88,"Price")," ")</f>
        <v xml:space="preserve"> </v>
      </c>
      <c r="G88" s="10" t="str">
        <f t="shared" si="4"/>
        <v xml:space="preserve"> </v>
      </c>
      <c r="H88" s="13"/>
      <c r="I88" s="24"/>
      <c r="J88" s="13">
        <f>IFERROR(FundManager[[#This Row],[Current Value]]-FundManager[[#This Row],[Amount Invested]]," ")</f>
        <v>0</v>
      </c>
      <c r="K88" s="14" t="str">
        <f t="shared" si="5"/>
        <v xml:space="preserve"> </v>
      </c>
      <c r="L88" s="15" t="str" cm="1">
        <f t="array" ref="L88">IFERROR(ROUND(_FV(B88,"Change (%)",TRUE),3) &amp; "%"," ")</f>
        <v xml:space="preserve"> </v>
      </c>
    </row>
    <row r="89" spans="1:12" x14ac:dyDescent="0.25">
      <c r="A89" s="19"/>
      <c r="C89" s="10" t="str" cm="1">
        <f t="array" ref="C89">IFERROR(_FV(FundManager[[#This Row],[Name]],"Ticker symbol",TRUE)," ")</f>
        <v xml:space="preserve"> </v>
      </c>
      <c r="E89" s="13"/>
      <c r="F89" s="13" t="str" cm="1">
        <f t="array" ref="F89">IFERROR(_FV(B89,"Price")," ")</f>
        <v xml:space="preserve"> </v>
      </c>
      <c r="G89" s="10" t="str">
        <f t="shared" si="4"/>
        <v xml:space="preserve"> </v>
      </c>
      <c r="H89" s="13"/>
      <c r="I89" s="24"/>
      <c r="J89" s="13">
        <f>IFERROR(FundManager[[#This Row],[Current Value]]-FundManager[[#This Row],[Amount Invested]]," ")</f>
        <v>0</v>
      </c>
      <c r="K89" s="14" t="str">
        <f t="shared" si="5"/>
        <v xml:space="preserve"> </v>
      </c>
      <c r="L89" s="15" t="str" cm="1">
        <f t="array" ref="L89">IFERROR(ROUND(_FV(B89,"Change (%)",TRUE),3) &amp; "%"," ")</f>
        <v xml:space="preserve"> </v>
      </c>
    </row>
    <row r="90" spans="1:12" x14ac:dyDescent="0.25">
      <c r="A90" s="19"/>
      <c r="C90" s="10" t="str" cm="1">
        <f t="array" ref="C90">IFERROR(_FV(FundManager[[#This Row],[Name]],"Ticker symbol",TRUE)," ")</f>
        <v xml:space="preserve"> </v>
      </c>
      <c r="E90" s="13"/>
      <c r="F90" s="13" t="str" cm="1">
        <f t="array" ref="F90">IFERROR(_FV(B90,"Price")," ")</f>
        <v xml:space="preserve"> </v>
      </c>
      <c r="G90" s="10" t="str">
        <f t="shared" si="4"/>
        <v xml:space="preserve"> </v>
      </c>
      <c r="H90" s="13"/>
      <c r="I90" s="24"/>
      <c r="J90" s="13">
        <f>IFERROR(FundManager[[#This Row],[Current Value]]-FundManager[[#This Row],[Amount Invested]]," ")</f>
        <v>0</v>
      </c>
      <c r="K90" s="14" t="str">
        <f t="shared" si="5"/>
        <v xml:space="preserve"> </v>
      </c>
      <c r="L90" s="15" t="str" cm="1">
        <f t="array" ref="L90">IFERROR(ROUND(_FV(B90,"Change (%)",TRUE),3) &amp; "%"," ")</f>
        <v xml:space="preserve"> </v>
      </c>
    </row>
    <row r="91" spans="1:12" x14ac:dyDescent="0.25">
      <c r="A91" s="19"/>
      <c r="C91" s="10" t="str" cm="1">
        <f t="array" ref="C91">IFERROR(_FV(FundManager[[#This Row],[Name]],"Ticker symbol",TRUE)," ")</f>
        <v xml:space="preserve"> </v>
      </c>
      <c r="E91" s="13"/>
      <c r="F91" s="13" t="str" cm="1">
        <f t="array" ref="F91">IFERROR(_FV(B91,"Price")," ")</f>
        <v xml:space="preserve"> </v>
      </c>
      <c r="G91" s="10" t="str">
        <f t="shared" si="4"/>
        <v xml:space="preserve"> </v>
      </c>
      <c r="H91" s="13"/>
      <c r="I91" s="24"/>
      <c r="J91" s="13">
        <f>IFERROR(FundManager[[#This Row],[Current Value]]-FundManager[[#This Row],[Amount Invested]]," ")</f>
        <v>0</v>
      </c>
      <c r="K91" s="14" t="str">
        <f t="shared" si="5"/>
        <v xml:space="preserve"> </v>
      </c>
      <c r="L91" s="15" t="str" cm="1">
        <f t="array" ref="L91">IFERROR(ROUND(_FV(B91,"Change (%)",TRUE),3) &amp; "%"," ")</f>
        <v xml:space="preserve"> </v>
      </c>
    </row>
    <row r="92" spans="1:12" x14ac:dyDescent="0.25">
      <c r="A92" s="19"/>
      <c r="C92" s="10" t="str" cm="1">
        <f t="array" ref="C92">IFERROR(_FV(FundManager[[#This Row],[Name]],"Ticker symbol",TRUE)," ")</f>
        <v xml:space="preserve"> </v>
      </c>
      <c r="E92" s="13"/>
      <c r="F92" s="13" t="str" cm="1">
        <f t="array" ref="F92">IFERROR(_FV(B92,"Price")," ")</f>
        <v xml:space="preserve"> </v>
      </c>
      <c r="G92" s="10" t="str">
        <f t="shared" si="4"/>
        <v xml:space="preserve"> </v>
      </c>
      <c r="H92" s="13"/>
      <c r="I92" s="24"/>
      <c r="J92" s="13">
        <f>IFERROR(FundManager[[#This Row],[Current Value]]-FundManager[[#This Row],[Amount Invested]]," ")</f>
        <v>0</v>
      </c>
      <c r="K92" s="14" t="str">
        <f t="shared" si="5"/>
        <v xml:space="preserve"> </v>
      </c>
      <c r="L92" s="15" t="str" cm="1">
        <f t="array" ref="L92">IFERROR(ROUND(_FV(B92,"Change (%)",TRUE),3) &amp; "%"," ")</f>
        <v xml:space="preserve"> </v>
      </c>
    </row>
    <row r="93" spans="1:12" x14ac:dyDescent="0.25">
      <c r="A93" s="19"/>
      <c r="C93" s="10" t="str" cm="1">
        <f t="array" ref="C93">IFERROR(_FV(FundManager[[#This Row],[Name]],"Ticker symbol",TRUE)," ")</f>
        <v xml:space="preserve"> </v>
      </c>
      <c r="E93" s="13"/>
      <c r="F93" s="13" t="str" cm="1">
        <f t="array" ref="F93">IFERROR(_FV(B93,"Price")," ")</f>
        <v xml:space="preserve"> </v>
      </c>
      <c r="G93" s="10" t="str">
        <f t="shared" si="4"/>
        <v xml:space="preserve"> </v>
      </c>
      <c r="H93" s="13"/>
      <c r="I93" s="24"/>
      <c r="J93" s="13">
        <f>IFERROR(FundManager[[#This Row],[Current Value]]-FundManager[[#This Row],[Amount Invested]]," ")</f>
        <v>0</v>
      </c>
      <c r="K93" s="14" t="str">
        <f t="shared" si="5"/>
        <v xml:space="preserve"> </v>
      </c>
      <c r="L93" s="15" t="str" cm="1">
        <f t="array" ref="L93">IFERROR(ROUND(_FV(B93,"Change (%)",TRUE),3) &amp; "%"," ")</f>
        <v xml:space="preserve"> </v>
      </c>
    </row>
    <row r="94" spans="1:12" x14ac:dyDescent="0.25">
      <c r="A94" s="19"/>
      <c r="C94" s="10" t="str" cm="1">
        <f t="array" ref="C94">IFERROR(_FV(FundManager[[#This Row],[Name]],"Ticker symbol",TRUE)," ")</f>
        <v xml:space="preserve"> </v>
      </c>
      <c r="E94" s="13"/>
      <c r="F94" s="13" t="str" cm="1">
        <f t="array" ref="F94">IFERROR(_FV(B94,"Price")," ")</f>
        <v xml:space="preserve"> </v>
      </c>
      <c r="G94" s="10" t="str">
        <f t="shared" si="4"/>
        <v xml:space="preserve"> </v>
      </c>
      <c r="H94" s="13"/>
      <c r="I94" s="24"/>
      <c r="J94" s="13">
        <f>IFERROR(FundManager[[#This Row],[Current Value]]-FundManager[[#This Row],[Amount Invested]]," ")</f>
        <v>0</v>
      </c>
      <c r="K94" s="14" t="str">
        <f t="shared" si="5"/>
        <v xml:space="preserve"> </v>
      </c>
      <c r="L94" s="15" t="str" cm="1">
        <f t="array" ref="L94">IFERROR(ROUND(_FV(B94,"Change (%)",TRUE),3) &amp; "%"," ")</f>
        <v xml:space="preserve"> </v>
      </c>
    </row>
    <row r="95" spans="1:12" x14ac:dyDescent="0.25">
      <c r="A95" s="19"/>
      <c r="C95" s="10" t="str" cm="1">
        <f t="array" ref="C95">IFERROR(_FV(FundManager[[#This Row],[Name]],"Ticker symbol",TRUE)," ")</f>
        <v xml:space="preserve"> </v>
      </c>
      <c r="E95" s="13"/>
      <c r="F95" s="13" t="str" cm="1">
        <f t="array" ref="F95">IFERROR(_FV(B95,"Price")," ")</f>
        <v xml:space="preserve"> </v>
      </c>
      <c r="G95" s="10" t="str">
        <f t="shared" si="4"/>
        <v xml:space="preserve"> </v>
      </c>
      <c r="H95" s="13"/>
      <c r="I95" s="24"/>
      <c r="J95" s="13">
        <f>IFERROR(FundManager[[#This Row],[Current Value]]-FundManager[[#This Row],[Amount Invested]]," ")</f>
        <v>0</v>
      </c>
      <c r="K95" s="14" t="str">
        <f t="shared" si="5"/>
        <v xml:space="preserve"> </v>
      </c>
      <c r="L95" s="15" t="str" cm="1">
        <f t="array" ref="L95">IFERROR(ROUND(_FV(B95,"Change (%)",TRUE),3) &amp; "%"," ")</f>
        <v xml:space="preserve"> </v>
      </c>
    </row>
    <row r="96" spans="1:12" x14ac:dyDescent="0.25">
      <c r="A96" s="19"/>
      <c r="C96" s="10" t="str" cm="1">
        <f t="array" ref="C96">IFERROR(_FV(FundManager[[#This Row],[Name]],"Ticker symbol",TRUE)," ")</f>
        <v xml:space="preserve"> </v>
      </c>
      <c r="E96" s="13"/>
      <c r="F96" s="13" t="str" cm="1">
        <f t="array" ref="F96">IFERROR(_FV(B96,"Price")," ")</f>
        <v xml:space="preserve"> </v>
      </c>
      <c r="G96" s="10" t="str">
        <f t="shared" si="4"/>
        <v xml:space="preserve"> </v>
      </c>
      <c r="H96" s="13"/>
      <c r="I96" s="24"/>
      <c r="J96" s="13">
        <f>IFERROR(FundManager[[#This Row],[Current Value]]-FundManager[[#This Row],[Amount Invested]]," ")</f>
        <v>0</v>
      </c>
      <c r="K96" s="14" t="str">
        <f t="shared" si="5"/>
        <v xml:space="preserve"> </v>
      </c>
      <c r="L96" s="15" t="str" cm="1">
        <f t="array" ref="L96">IFERROR(ROUND(_FV(B96,"Change (%)",TRUE),3) &amp; "%"," ")</f>
        <v xml:space="preserve"> </v>
      </c>
    </row>
    <row r="97" spans="1:12" x14ac:dyDescent="0.25">
      <c r="A97" s="19"/>
      <c r="C97" s="10" t="str" cm="1">
        <f t="array" ref="C97">IFERROR(_FV(FundManager[[#This Row],[Name]],"Ticker symbol",TRUE)," ")</f>
        <v xml:space="preserve"> </v>
      </c>
      <c r="E97" s="13"/>
      <c r="F97" s="13" t="str" cm="1">
        <f t="array" ref="F97">IFERROR(_FV(B97,"Price")," ")</f>
        <v xml:space="preserve"> </v>
      </c>
      <c r="G97" s="10" t="str">
        <f t="shared" si="4"/>
        <v xml:space="preserve"> </v>
      </c>
      <c r="H97" s="13"/>
      <c r="I97" s="24"/>
      <c r="J97" s="13">
        <f>IFERROR(FundManager[[#This Row],[Current Value]]-FundManager[[#This Row],[Amount Invested]]," ")</f>
        <v>0</v>
      </c>
      <c r="K97" s="14" t="str">
        <f t="shared" si="5"/>
        <v xml:space="preserve"> </v>
      </c>
      <c r="L97" s="15" t="str" cm="1">
        <f t="array" ref="L97">IFERROR(ROUND(_FV(B97,"Change (%)",TRUE),3) &amp; "%"," ")</f>
        <v xml:space="preserve"> </v>
      </c>
    </row>
    <row r="98" spans="1:12" x14ac:dyDescent="0.25">
      <c r="A98" s="19"/>
      <c r="C98" s="10" t="str" cm="1">
        <f t="array" ref="C98">IFERROR(_FV(FundManager[[#This Row],[Name]],"Ticker symbol",TRUE)," ")</f>
        <v xml:space="preserve"> </v>
      </c>
      <c r="E98" s="13"/>
      <c r="F98" s="13" t="str" cm="1">
        <f t="array" ref="F98">IFERROR(_FV(B98,"Price")," ")</f>
        <v xml:space="preserve"> </v>
      </c>
      <c r="G98" s="10" t="str">
        <f t="shared" si="4"/>
        <v xml:space="preserve"> </v>
      </c>
      <c r="H98" s="13"/>
      <c r="I98" s="24"/>
      <c r="J98" s="13">
        <f>IFERROR(FundManager[[#This Row],[Current Value]]-FundManager[[#This Row],[Amount Invested]]," ")</f>
        <v>0</v>
      </c>
      <c r="K98" s="14" t="str">
        <f t="shared" si="5"/>
        <v xml:space="preserve"> </v>
      </c>
      <c r="L98" s="15" t="str" cm="1">
        <f t="array" ref="L98">IFERROR(ROUND(_FV(B98,"Change (%)",TRUE),3) &amp; "%"," ")</f>
        <v xml:space="preserve"> </v>
      </c>
    </row>
    <row r="99" spans="1:12" x14ac:dyDescent="0.25">
      <c r="A99" s="19"/>
      <c r="C99" s="10" t="str" cm="1">
        <f t="array" ref="C99">IFERROR(_FV(FundManager[[#This Row],[Name]],"Ticker symbol",TRUE)," ")</f>
        <v xml:space="preserve"> </v>
      </c>
      <c r="E99" s="13"/>
      <c r="F99" s="13" t="str" cm="1">
        <f t="array" ref="F99">IFERROR(_FV(B99,"Price")," ")</f>
        <v xml:space="preserve"> </v>
      </c>
      <c r="G99" s="10" t="str">
        <f t="shared" si="4"/>
        <v xml:space="preserve"> </v>
      </c>
      <c r="H99" s="13"/>
      <c r="I99" s="24"/>
      <c r="J99" s="13">
        <f>IFERROR(FundManager[[#This Row],[Current Value]]-FundManager[[#This Row],[Amount Invested]]," ")</f>
        <v>0</v>
      </c>
      <c r="K99" s="14" t="str">
        <f t="shared" si="5"/>
        <v xml:space="preserve"> </v>
      </c>
      <c r="L99" s="15" t="str" cm="1">
        <f t="array" ref="L99">IFERROR(ROUND(_FV(B99,"Change (%)",TRUE),3) &amp; "%"," ")</f>
        <v xml:space="preserve"> </v>
      </c>
    </row>
    <row r="100" spans="1:12" x14ac:dyDescent="0.25">
      <c r="A100" s="19"/>
      <c r="C100" s="10" t="str" cm="1">
        <f t="array" ref="C100">IFERROR(_FV(FundManager[[#This Row],[Name]],"Ticker symbol",TRUE)," ")</f>
        <v xml:space="preserve"> </v>
      </c>
      <c r="E100" s="13"/>
      <c r="F100" s="13" t="str" cm="1">
        <f t="array" ref="F100">IFERROR(_FV(B100,"Price")," ")</f>
        <v xml:space="preserve"> </v>
      </c>
      <c r="G100" s="10" t="str">
        <f t="shared" si="4"/>
        <v xml:space="preserve"> </v>
      </c>
      <c r="H100" s="13"/>
      <c r="I100" s="24"/>
      <c r="J100" s="13">
        <f>IFERROR(FundManager[[#This Row],[Current Value]]-FundManager[[#This Row],[Amount Invested]]," ")</f>
        <v>0</v>
      </c>
      <c r="K100" s="14" t="str">
        <f t="shared" si="5"/>
        <v xml:space="preserve"> </v>
      </c>
      <c r="L100" s="15" t="str" cm="1">
        <f t="array" ref="L100">IFERROR(ROUND(_FV(B100,"Change (%)",TRUE),3) &amp; "%"," ")</f>
        <v xml:space="preserve"> </v>
      </c>
    </row>
    <row r="101" spans="1:12" x14ac:dyDescent="0.25">
      <c r="A101" s="19"/>
      <c r="C101" s="10" t="str" cm="1">
        <f t="array" ref="C101">IFERROR(_FV(FundManager[[#This Row],[Name]],"Ticker symbol",TRUE)," ")</f>
        <v xml:space="preserve"> </v>
      </c>
      <c r="E101" s="13"/>
      <c r="F101" s="13" t="str" cm="1">
        <f t="array" ref="F101">IFERROR(_FV(B101,"Price")," ")</f>
        <v xml:space="preserve"> </v>
      </c>
      <c r="G101" s="10" t="str">
        <f t="shared" si="4"/>
        <v xml:space="preserve"> </v>
      </c>
      <c r="H101" s="13"/>
      <c r="I101" s="24"/>
      <c r="J101" s="13">
        <f>IFERROR(FundManager[[#This Row],[Current Value]]-FundManager[[#This Row],[Amount Invested]]," ")</f>
        <v>0</v>
      </c>
      <c r="K101" s="14" t="str">
        <f t="shared" si="5"/>
        <v xml:space="preserve"> </v>
      </c>
      <c r="L101" s="15" t="str" cm="1">
        <f t="array" ref="L101">IFERROR(ROUND(_FV(B101,"Change (%)",TRUE),3) &amp; "%"," ")</f>
        <v xml:space="preserve"> </v>
      </c>
    </row>
    <row r="102" spans="1:12" x14ac:dyDescent="0.25">
      <c r="A102" s="19"/>
      <c r="C102" s="10" t="str" cm="1">
        <f t="array" ref="C102">IFERROR(_FV(FundManager[[#This Row],[Name]],"Ticker symbol",TRUE)," ")</f>
        <v xml:space="preserve"> </v>
      </c>
      <c r="E102" s="13"/>
      <c r="F102" s="13" t="str" cm="1">
        <f t="array" ref="F102">IFERROR(_FV(B102,"Price")," ")</f>
        <v xml:space="preserve"> </v>
      </c>
      <c r="G102" s="10" t="str">
        <f t="shared" si="4"/>
        <v xml:space="preserve"> </v>
      </c>
      <c r="H102" s="13"/>
      <c r="I102" s="24"/>
      <c r="J102" s="13">
        <f>IFERROR(FundManager[[#This Row],[Current Value]]-FundManager[[#This Row],[Amount Invested]]," ")</f>
        <v>0</v>
      </c>
      <c r="K102" s="14" t="str">
        <f t="shared" si="5"/>
        <v xml:space="preserve"> </v>
      </c>
      <c r="L102" s="15" t="str" cm="1">
        <f t="array" ref="L102">IFERROR(ROUND(_FV(B102,"Change (%)",TRUE),3) &amp; "%"," ")</f>
        <v xml:space="preserve"> </v>
      </c>
    </row>
    <row r="103" spans="1:12" x14ac:dyDescent="0.25">
      <c r="A103" s="19"/>
      <c r="C103" s="10" t="str" cm="1">
        <f t="array" ref="C103">IFERROR(_FV(FundManager[[#This Row],[Name]],"Ticker symbol",TRUE)," ")</f>
        <v xml:space="preserve"> </v>
      </c>
      <c r="E103" s="13"/>
      <c r="F103" s="13" t="str" cm="1">
        <f t="array" ref="F103">IFERROR(_FV(B103,"Price")," ")</f>
        <v xml:space="preserve"> </v>
      </c>
      <c r="G103" s="10" t="str">
        <f t="shared" si="4"/>
        <v xml:space="preserve"> </v>
      </c>
      <c r="H103" s="13"/>
      <c r="I103" s="24"/>
      <c r="J103" s="13">
        <f>IFERROR(FundManager[[#This Row],[Current Value]]-FundManager[[#This Row],[Amount Invested]]," ")</f>
        <v>0</v>
      </c>
      <c r="K103" s="14" t="str">
        <f t="shared" si="5"/>
        <v xml:space="preserve"> </v>
      </c>
      <c r="L103" s="15" t="str" cm="1">
        <f t="array" ref="L103">IFERROR(ROUND(_FV(B103,"Change (%)",TRUE),3) &amp; "%"," ")</f>
        <v xml:space="preserve"> </v>
      </c>
    </row>
    <row r="104" spans="1:12" x14ac:dyDescent="0.25">
      <c r="A104" s="19"/>
      <c r="C104" s="10" t="str" cm="1">
        <f t="array" ref="C104">IFERROR(_FV(FundManager[[#This Row],[Name]],"Ticker symbol",TRUE)," ")</f>
        <v xml:space="preserve"> </v>
      </c>
      <c r="E104" s="13"/>
      <c r="F104" s="13" t="str" cm="1">
        <f t="array" ref="F104">IFERROR(_FV(B104,"Price")," ")</f>
        <v xml:space="preserve"> </v>
      </c>
      <c r="G104" s="10" t="str">
        <f t="shared" si="4"/>
        <v xml:space="preserve"> </v>
      </c>
      <c r="H104" s="13"/>
      <c r="I104" s="24"/>
      <c r="J104" s="13">
        <f>IFERROR(FundManager[[#This Row],[Current Value]]-FundManager[[#This Row],[Amount Invested]]," ")</f>
        <v>0</v>
      </c>
      <c r="K104" s="14" t="str">
        <f t="shared" si="5"/>
        <v xml:space="preserve"> </v>
      </c>
      <c r="L104" s="15" t="str" cm="1">
        <f t="array" ref="L104">IFERROR(ROUND(_FV(B104,"Change (%)",TRUE),3) &amp; "%"," ")</f>
        <v xml:space="preserve"> </v>
      </c>
    </row>
    <row r="105" spans="1:12" x14ac:dyDescent="0.25">
      <c r="A105" s="19"/>
      <c r="C105" s="10" t="str" cm="1">
        <f t="array" ref="C105">IFERROR(_FV(FundManager[[#This Row],[Name]],"Ticker symbol",TRUE)," ")</f>
        <v xml:space="preserve"> </v>
      </c>
      <c r="E105" s="13"/>
      <c r="F105" s="13" t="str" cm="1">
        <f t="array" ref="F105">IFERROR(_FV(B105,"Price")," ")</f>
        <v xml:space="preserve"> </v>
      </c>
      <c r="G105" s="10" t="str">
        <f t="shared" si="4"/>
        <v xml:space="preserve"> </v>
      </c>
      <c r="H105" s="13"/>
      <c r="I105" s="24"/>
      <c r="J105" s="13">
        <f>IFERROR(FundManager[[#This Row],[Current Value]]-FundManager[[#This Row],[Amount Invested]]," ")</f>
        <v>0</v>
      </c>
      <c r="K105" s="14" t="str">
        <f t="shared" si="5"/>
        <v xml:space="preserve"> </v>
      </c>
      <c r="L105" s="15" t="str" cm="1">
        <f t="array" ref="L105">IFERROR(ROUND(_FV(B105,"Change (%)",TRUE),3) &amp; "%"," ")</f>
        <v xml:space="preserve"> </v>
      </c>
    </row>
    <row r="106" spans="1:12" x14ac:dyDescent="0.25">
      <c r="A106" s="19"/>
      <c r="C106" s="10" t="str" cm="1">
        <f t="array" ref="C106">IFERROR(_FV(FundManager[[#This Row],[Name]],"Ticker symbol",TRUE)," ")</f>
        <v xml:space="preserve"> </v>
      </c>
      <c r="E106" s="13"/>
      <c r="F106" s="13" t="str" cm="1">
        <f t="array" ref="F106">IFERROR(_FV(B106,"Price")," ")</f>
        <v xml:space="preserve"> </v>
      </c>
      <c r="G106" s="10" t="str">
        <f t="shared" si="4"/>
        <v xml:space="preserve"> </v>
      </c>
      <c r="H106" s="13"/>
      <c r="I106" s="24"/>
      <c r="J106" s="13">
        <f>IFERROR(FundManager[[#This Row],[Current Value]]-FundManager[[#This Row],[Amount Invested]]," ")</f>
        <v>0</v>
      </c>
      <c r="K106" s="14" t="str">
        <f t="shared" si="5"/>
        <v xml:space="preserve"> </v>
      </c>
      <c r="L106" s="15" t="str" cm="1">
        <f t="array" ref="L106">IFERROR(ROUND(_FV(B106,"Change (%)",TRUE),3) &amp; "%"," ")</f>
        <v xml:space="preserve"> </v>
      </c>
    </row>
    <row r="107" spans="1:12" x14ac:dyDescent="0.25">
      <c r="A107" s="19"/>
      <c r="C107" s="10" t="str" cm="1">
        <f t="array" ref="C107">IFERROR(_FV(FundManager[[#This Row],[Name]],"Ticker symbol",TRUE)," ")</f>
        <v xml:space="preserve"> </v>
      </c>
      <c r="E107" s="13"/>
      <c r="F107" s="13" t="str" cm="1">
        <f t="array" ref="F107">IFERROR(_FV(B107,"Price")," ")</f>
        <v xml:space="preserve"> </v>
      </c>
      <c r="G107" s="10" t="str">
        <f t="shared" si="4"/>
        <v xml:space="preserve"> </v>
      </c>
      <c r="H107" s="13"/>
      <c r="I107" s="24"/>
      <c r="J107" s="13">
        <f>IFERROR(FundManager[[#This Row],[Current Value]]-FundManager[[#This Row],[Amount Invested]]," ")</f>
        <v>0</v>
      </c>
      <c r="K107" s="14" t="str">
        <f t="shared" si="5"/>
        <v xml:space="preserve"> </v>
      </c>
      <c r="L107" s="15" t="str" cm="1">
        <f t="array" ref="L107">IFERROR(ROUND(_FV(B107,"Change (%)",TRUE),3) &amp; "%"," ")</f>
        <v xml:space="preserve"> </v>
      </c>
    </row>
    <row r="108" spans="1:12" x14ac:dyDescent="0.25">
      <c r="A108" s="19"/>
      <c r="C108" s="10" t="str" cm="1">
        <f t="array" ref="C108">IFERROR(_FV(FundManager[[#This Row],[Name]],"Ticker symbol",TRUE)," ")</f>
        <v xml:space="preserve"> </v>
      </c>
      <c r="E108" s="13"/>
      <c r="F108" s="13" t="str" cm="1">
        <f t="array" ref="F108">IFERROR(_FV(B108,"Price")," ")</f>
        <v xml:space="preserve"> </v>
      </c>
      <c r="G108" s="10" t="str">
        <f t="shared" si="4"/>
        <v xml:space="preserve"> </v>
      </c>
      <c r="H108" s="13"/>
      <c r="I108" s="24"/>
      <c r="J108" s="13">
        <f>IFERROR(FundManager[[#This Row],[Current Value]]-FundManager[[#This Row],[Amount Invested]]," ")</f>
        <v>0</v>
      </c>
      <c r="K108" s="14" t="str">
        <f t="shared" si="5"/>
        <v xml:space="preserve"> </v>
      </c>
      <c r="L108" s="15" t="str" cm="1">
        <f t="array" ref="L108">IFERROR(ROUND(_FV(B108,"Change (%)",TRUE),3) &amp; "%"," ")</f>
        <v xml:space="preserve"> </v>
      </c>
    </row>
    <row r="109" spans="1:12" x14ac:dyDescent="0.25">
      <c r="A109" s="19"/>
      <c r="C109" s="10" t="str" cm="1">
        <f t="array" ref="C109">IFERROR(_FV(FundManager[[#This Row],[Name]],"Ticker symbol",TRUE)," ")</f>
        <v xml:space="preserve"> </v>
      </c>
      <c r="E109" s="13"/>
      <c r="F109" s="13" t="str" cm="1">
        <f t="array" ref="F109">IFERROR(_FV(B109,"Price")," ")</f>
        <v xml:space="preserve"> </v>
      </c>
      <c r="G109" s="10" t="str">
        <f t="shared" si="4"/>
        <v xml:space="preserve"> </v>
      </c>
      <c r="H109" s="13"/>
      <c r="I109" s="24"/>
      <c r="J109" s="13">
        <f>IFERROR(FundManager[[#This Row],[Current Value]]-FundManager[[#This Row],[Amount Invested]]," ")</f>
        <v>0</v>
      </c>
      <c r="K109" s="14" t="str">
        <f t="shared" si="5"/>
        <v xml:space="preserve"> </v>
      </c>
      <c r="L109" s="15" t="str" cm="1">
        <f t="array" ref="L109">IFERROR(ROUND(_FV(B109,"Change (%)",TRUE),3) &amp; "%"," ")</f>
        <v xml:space="preserve"> </v>
      </c>
    </row>
    <row r="110" spans="1:12" x14ac:dyDescent="0.25">
      <c r="A110" s="19"/>
      <c r="C110" s="10" t="str" cm="1">
        <f t="array" ref="C110">IFERROR(_FV(FundManager[[#This Row],[Name]],"Ticker symbol",TRUE)," ")</f>
        <v xml:space="preserve"> </v>
      </c>
      <c r="E110" s="13"/>
      <c r="F110" s="13" t="str" cm="1">
        <f t="array" ref="F110">IFERROR(_FV(B110,"Price")," ")</f>
        <v xml:space="preserve"> </v>
      </c>
      <c r="G110" s="10" t="str">
        <f t="shared" si="4"/>
        <v xml:space="preserve"> </v>
      </c>
      <c r="H110" s="13"/>
      <c r="I110" s="24"/>
      <c r="J110" s="13">
        <f>IFERROR(FundManager[[#This Row],[Current Value]]-FundManager[[#This Row],[Amount Invested]]," ")</f>
        <v>0</v>
      </c>
      <c r="K110" s="14" t="str">
        <f t="shared" si="5"/>
        <v xml:space="preserve"> </v>
      </c>
      <c r="L110" s="15" t="str" cm="1">
        <f t="array" ref="L110">IFERROR(ROUND(_FV(B110,"Change (%)",TRUE),3) &amp; "%"," ")</f>
        <v xml:space="preserve"> </v>
      </c>
    </row>
    <row r="111" spans="1:12" x14ac:dyDescent="0.25">
      <c r="A111" s="19"/>
      <c r="C111" s="10" t="str" cm="1">
        <f t="array" ref="C111">IFERROR(_FV(FundManager[[#This Row],[Name]],"Ticker symbol",TRUE)," ")</f>
        <v xml:space="preserve"> </v>
      </c>
      <c r="E111" s="13"/>
      <c r="F111" s="13" t="str" cm="1">
        <f t="array" ref="F111">IFERROR(_FV(B111,"Price")," ")</f>
        <v xml:space="preserve"> </v>
      </c>
      <c r="G111" s="10" t="str">
        <f t="shared" si="4"/>
        <v xml:space="preserve"> </v>
      </c>
      <c r="H111" s="13"/>
      <c r="I111" s="24"/>
      <c r="J111" s="13">
        <f>IFERROR(FundManager[[#This Row],[Current Value]]-FundManager[[#This Row],[Amount Invested]]," ")</f>
        <v>0</v>
      </c>
      <c r="K111" s="14" t="str">
        <f t="shared" si="5"/>
        <v xml:space="preserve"> </v>
      </c>
      <c r="L111" s="15" t="str" cm="1">
        <f t="array" ref="L111">IFERROR(ROUND(_FV(B111,"Change (%)",TRUE),3) &amp; "%"," ")</f>
        <v xml:space="preserve"> </v>
      </c>
    </row>
    <row r="112" spans="1:12" x14ac:dyDescent="0.25">
      <c r="A112" s="19"/>
      <c r="C112" s="10" t="str" cm="1">
        <f t="array" ref="C112">IFERROR(_FV(FundManager[[#This Row],[Name]],"Ticker symbol",TRUE)," ")</f>
        <v xml:space="preserve"> </v>
      </c>
      <c r="E112" s="13"/>
      <c r="F112" s="13" t="str" cm="1">
        <f t="array" ref="F112">IFERROR(_FV(B112,"Price")," ")</f>
        <v xml:space="preserve"> </v>
      </c>
      <c r="G112" s="10" t="str">
        <f t="shared" si="4"/>
        <v xml:space="preserve"> </v>
      </c>
      <c r="H112" s="13"/>
      <c r="I112" s="24"/>
      <c r="J112" s="13">
        <f>IFERROR(FundManager[[#This Row],[Current Value]]-FundManager[[#This Row],[Amount Invested]]," ")</f>
        <v>0</v>
      </c>
      <c r="K112" s="14" t="str">
        <f t="shared" si="5"/>
        <v xml:space="preserve"> </v>
      </c>
      <c r="L112" s="15" t="str" cm="1">
        <f t="array" ref="L112">IFERROR(ROUND(_FV(B112,"Change (%)",TRUE),3) &amp; "%"," ")</f>
        <v xml:space="preserve"> </v>
      </c>
    </row>
    <row r="113" spans="1:12" x14ac:dyDescent="0.25">
      <c r="A113" s="19"/>
      <c r="C113" s="10" t="str" cm="1">
        <f t="array" ref="C113">IFERROR(_FV(FundManager[[#This Row],[Name]],"Ticker symbol",TRUE)," ")</f>
        <v xml:space="preserve"> </v>
      </c>
      <c r="E113" s="13"/>
      <c r="F113" s="13" t="str" cm="1">
        <f t="array" ref="F113">IFERROR(_FV(B113,"Price")," ")</f>
        <v xml:space="preserve"> </v>
      </c>
      <c r="G113" s="10" t="str">
        <f t="shared" si="4"/>
        <v xml:space="preserve"> </v>
      </c>
      <c r="H113" s="13"/>
      <c r="I113" s="24"/>
      <c r="J113" s="13">
        <f>IFERROR(FundManager[[#This Row],[Current Value]]-FundManager[[#This Row],[Amount Invested]]," ")</f>
        <v>0</v>
      </c>
      <c r="K113" s="14" t="str">
        <f t="shared" si="5"/>
        <v xml:space="preserve"> </v>
      </c>
      <c r="L113" s="15" t="str" cm="1">
        <f t="array" ref="L113">IFERROR(ROUND(_FV(B113,"Change (%)",TRUE),3) &amp; "%"," ")</f>
        <v xml:space="preserve"> </v>
      </c>
    </row>
    <row r="114" spans="1:12" x14ac:dyDescent="0.25">
      <c r="A114" s="19"/>
      <c r="C114" s="10" t="str" cm="1">
        <f t="array" ref="C114">IFERROR(_FV(FundManager[[#This Row],[Name]],"Ticker symbol",TRUE)," ")</f>
        <v xml:space="preserve"> </v>
      </c>
      <c r="E114" s="13"/>
      <c r="F114" s="13" t="str" cm="1">
        <f t="array" ref="F114">IFERROR(_FV(B114,"Price")," ")</f>
        <v xml:space="preserve"> </v>
      </c>
      <c r="G114" s="10" t="str">
        <f t="shared" si="4"/>
        <v xml:space="preserve"> </v>
      </c>
      <c r="H114" s="13"/>
      <c r="I114" s="24"/>
      <c r="J114" s="13">
        <f>IFERROR(FundManager[[#This Row],[Current Value]]-FundManager[[#This Row],[Amount Invested]]," ")</f>
        <v>0</v>
      </c>
      <c r="K114" s="14" t="str">
        <f t="shared" si="5"/>
        <v xml:space="preserve"> </v>
      </c>
      <c r="L114" s="15" t="str" cm="1">
        <f t="array" ref="L114">IFERROR(ROUND(_FV(B114,"Change (%)",TRUE),3) &amp; "%"," ")</f>
        <v xml:space="preserve"> </v>
      </c>
    </row>
    <row r="115" spans="1:12" x14ac:dyDescent="0.25">
      <c r="A115" s="19"/>
      <c r="C115" s="10" t="str" cm="1">
        <f t="array" ref="C115">IFERROR(_FV(FundManager[[#This Row],[Name]],"Ticker symbol",TRUE)," ")</f>
        <v xml:space="preserve"> </v>
      </c>
      <c r="E115" s="13"/>
      <c r="F115" s="13" t="str" cm="1">
        <f t="array" ref="F115">IFERROR(_FV(B115,"Price")," ")</f>
        <v xml:space="preserve"> </v>
      </c>
      <c r="G115" s="10" t="str">
        <f t="shared" si="4"/>
        <v xml:space="preserve"> </v>
      </c>
      <c r="H115" s="13"/>
      <c r="I115" s="24"/>
      <c r="J115" s="13">
        <f>IFERROR(FundManager[[#This Row],[Current Value]]-FundManager[[#This Row],[Amount Invested]]," ")</f>
        <v>0</v>
      </c>
      <c r="K115" s="14" t="str">
        <f t="shared" si="5"/>
        <v xml:space="preserve"> </v>
      </c>
      <c r="L115" s="15" t="str" cm="1">
        <f t="array" ref="L115">IFERROR(ROUND(_FV(B115,"Change (%)",TRUE),3) &amp; "%"," ")</f>
        <v xml:space="preserve"> </v>
      </c>
    </row>
    <row r="116" spans="1:12" x14ac:dyDescent="0.25">
      <c r="A116" s="19"/>
      <c r="C116" s="10" t="str" cm="1">
        <f t="array" ref="C116">IFERROR(_FV(FundManager[[#This Row],[Name]],"Ticker symbol",TRUE)," ")</f>
        <v xml:space="preserve"> </v>
      </c>
      <c r="E116" s="13"/>
      <c r="F116" s="13" t="str" cm="1">
        <f t="array" ref="F116">IFERROR(_FV(B116,"Price")," ")</f>
        <v xml:space="preserve"> </v>
      </c>
      <c r="G116" s="10" t="str">
        <f t="shared" si="4"/>
        <v xml:space="preserve"> </v>
      </c>
      <c r="H116" s="13"/>
      <c r="I116" s="24"/>
      <c r="J116" s="13">
        <f>IFERROR(FundManager[[#This Row],[Current Value]]-FundManager[[#This Row],[Amount Invested]]," ")</f>
        <v>0</v>
      </c>
      <c r="K116" s="14" t="str">
        <f t="shared" si="5"/>
        <v xml:space="preserve"> </v>
      </c>
      <c r="L116" s="15" t="str" cm="1">
        <f t="array" ref="L116">IFERROR(ROUND(_FV(B116,"Change (%)",TRUE),3) &amp; "%"," ")</f>
        <v xml:space="preserve"> </v>
      </c>
    </row>
    <row r="117" spans="1:12" x14ac:dyDescent="0.25">
      <c r="A117" s="19"/>
      <c r="C117" s="10" t="str" cm="1">
        <f t="array" ref="C117">IFERROR(_FV(FundManager[[#This Row],[Name]],"Ticker symbol",TRUE)," ")</f>
        <v xml:space="preserve"> </v>
      </c>
      <c r="E117" s="13"/>
      <c r="F117" s="13" t="str" cm="1">
        <f t="array" ref="F117">IFERROR(_FV(B117,"Price")," ")</f>
        <v xml:space="preserve"> </v>
      </c>
      <c r="G117" s="10" t="str">
        <f t="shared" si="4"/>
        <v xml:space="preserve"> </v>
      </c>
      <c r="H117" s="13"/>
      <c r="I117" s="24"/>
      <c r="J117" s="13">
        <f>IFERROR(FundManager[[#This Row],[Current Value]]-FundManager[[#This Row],[Amount Invested]]," ")</f>
        <v>0</v>
      </c>
      <c r="K117" s="14" t="str">
        <f t="shared" si="5"/>
        <v xml:space="preserve"> </v>
      </c>
      <c r="L117" s="15" t="str" cm="1">
        <f t="array" ref="L117">IFERROR(ROUND(_FV(B117,"Change (%)",TRUE),3) &amp; "%"," ")</f>
        <v xml:space="preserve"> </v>
      </c>
    </row>
    <row r="118" spans="1:12" x14ac:dyDescent="0.25">
      <c r="A118" s="19"/>
      <c r="C118" s="10" t="str" cm="1">
        <f t="array" ref="C118">IFERROR(_FV(FundManager[[#This Row],[Name]],"Ticker symbol",TRUE)," ")</f>
        <v xml:space="preserve"> </v>
      </c>
      <c r="E118" s="13"/>
      <c r="F118" s="13" t="str" cm="1">
        <f t="array" ref="F118">IFERROR(_FV(B118,"Price")," ")</f>
        <v xml:space="preserve"> </v>
      </c>
      <c r="G118" s="10" t="str">
        <f t="shared" si="4"/>
        <v xml:space="preserve"> </v>
      </c>
      <c r="H118" s="13"/>
      <c r="I118" s="24"/>
      <c r="J118" s="13">
        <f>IFERROR(FundManager[[#This Row],[Current Value]]-FundManager[[#This Row],[Amount Invested]]," ")</f>
        <v>0</v>
      </c>
      <c r="K118" s="14" t="str">
        <f t="shared" si="5"/>
        <v xml:space="preserve"> </v>
      </c>
      <c r="L118" s="15" t="str" cm="1">
        <f t="array" ref="L118">IFERROR(ROUND(_FV(B118,"Change (%)",TRUE),3) &amp; "%"," ")</f>
        <v xml:space="preserve"> </v>
      </c>
    </row>
    <row r="119" spans="1:12" x14ac:dyDescent="0.25">
      <c r="A119" s="19"/>
      <c r="C119" s="10" t="str" cm="1">
        <f t="array" ref="C119">IFERROR(_FV(FundManager[[#This Row],[Name]],"Ticker symbol",TRUE)," ")</f>
        <v xml:space="preserve"> </v>
      </c>
      <c r="E119" s="13"/>
      <c r="F119" s="13" t="str" cm="1">
        <f t="array" ref="F119">IFERROR(_FV(B119,"Price")," ")</f>
        <v xml:space="preserve"> </v>
      </c>
      <c r="G119" s="10" t="str">
        <f t="shared" si="4"/>
        <v xml:space="preserve"> </v>
      </c>
      <c r="H119" s="13"/>
      <c r="I119" s="24"/>
      <c r="J119" s="13">
        <f>IFERROR(FundManager[[#This Row],[Current Value]]-FundManager[[#This Row],[Amount Invested]]," ")</f>
        <v>0</v>
      </c>
      <c r="K119" s="14" t="str">
        <f t="shared" si="5"/>
        <v xml:space="preserve"> </v>
      </c>
      <c r="L119" s="15" t="str" cm="1">
        <f t="array" ref="L119">IFERROR(ROUND(_FV(B119,"Change (%)",TRUE),3) &amp; "%"," ")</f>
        <v xml:space="preserve"> </v>
      </c>
    </row>
    <row r="120" spans="1:12" x14ac:dyDescent="0.25">
      <c r="A120" s="19"/>
      <c r="C120" s="10" t="str" cm="1">
        <f t="array" ref="C120">IFERROR(_FV(FundManager[[#This Row],[Name]],"Ticker symbol",TRUE)," ")</f>
        <v xml:space="preserve"> </v>
      </c>
      <c r="E120" s="13"/>
      <c r="F120" s="13" t="str" cm="1">
        <f t="array" ref="F120">IFERROR(_FV(B120,"Price")," ")</f>
        <v xml:space="preserve"> </v>
      </c>
      <c r="G120" s="10" t="str">
        <f t="shared" si="4"/>
        <v xml:space="preserve"> </v>
      </c>
      <c r="H120" s="13"/>
      <c r="I120" s="24"/>
      <c r="J120" s="13">
        <f>IFERROR(FundManager[[#This Row],[Current Value]]-FundManager[[#This Row],[Amount Invested]]," ")</f>
        <v>0</v>
      </c>
      <c r="K120" s="14" t="str">
        <f t="shared" si="5"/>
        <v xml:space="preserve"> </v>
      </c>
      <c r="L120" s="15" t="str" cm="1">
        <f t="array" ref="L120">IFERROR(ROUND(_FV(B120,"Change (%)",TRUE),3) &amp; "%"," ")</f>
        <v xml:space="preserve"> </v>
      </c>
    </row>
    <row r="121" spans="1:12" x14ac:dyDescent="0.25">
      <c r="A121" s="19"/>
      <c r="C121" s="10" t="str" cm="1">
        <f t="array" ref="C121">IFERROR(_FV(FundManager[[#This Row],[Name]],"Ticker symbol",TRUE)," ")</f>
        <v xml:space="preserve"> </v>
      </c>
      <c r="E121" s="13"/>
      <c r="F121" s="13" t="str" cm="1">
        <f t="array" ref="F121">IFERROR(_FV(B121,"Price")," ")</f>
        <v xml:space="preserve"> </v>
      </c>
      <c r="G121" s="10" t="str">
        <f t="shared" si="4"/>
        <v xml:space="preserve"> </v>
      </c>
      <c r="H121" s="13"/>
      <c r="I121" s="24"/>
      <c r="J121" s="13">
        <f>IFERROR(FundManager[[#This Row],[Current Value]]-FundManager[[#This Row],[Amount Invested]]," ")</f>
        <v>0</v>
      </c>
      <c r="K121" s="14" t="str">
        <f t="shared" si="5"/>
        <v xml:space="preserve"> </v>
      </c>
      <c r="L121" s="15" t="str" cm="1">
        <f t="array" ref="L121">IFERROR(ROUND(_FV(B121,"Change (%)",TRUE),3) &amp; "%"," ")</f>
        <v xml:space="preserve"> </v>
      </c>
    </row>
    <row r="122" spans="1:12" x14ac:dyDescent="0.25">
      <c r="A122" s="19"/>
      <c r="C122" s="10" t="str" cm="1">
        <f t="array" ref="C122">IFERROR(_FV(FundManager[[#This Row],[Name]],"Ticker symbol",TRUE)," ")</f>
        <v xml:space="preserve"> </v>
      </c>
      <c r="E122" s="13"/>
      <c r="F122" s="13" t="str" cm="1">
        <f t="array" ref="F122">IFERROR(_FV(B122,"Price")," ")</f>
        <v xml:space="preserve"> </v>
      </c>
      <c r="G122" s="10" t="str">
        <f t="shared" si="4"/>
        <v xml:space="preserve"> </v>
      </c>
      <c r="H122" s="13"/>
      <c r="I122" s="24"/>
      <c r="J122" s="13">
        <f>IFERROR(FundManager[[#This Row],[Current Value]]-FundManager[[#This Row],[Amount Invested]]," ")</f>
        <v>0</v>
      </c>
      <c r="K122" s="14" t="str">
        <f t="shared" si="5"/>
        <v xml:space="preserve"> </v>
      </c>
      <c r="L122" s="15" t="str" cm="1">
        <f t="array" ref="L122">IFERROR(ROUND(_FV(B122,"Change (%)",TRUE),3) &amp; "%"," ")</f>
        <v xml:space="preserve"> </v>
      </c>
    </row>
    <row r="123" spans="1:12" x14ac:dyDescent="0.25">
      <c r="A123" s="19"/>
      <c r="C123" s="10" t="str" cm="1">
        <f t="array" ref="C123">IFERROR(_FV(FundManager[[#This Row],[Name]],"Ticker symbol",TRUE)," ")</f>
        <v xml:space="preserve"> </v>
      </c>
      <c r="E123" s="13"/>
      <c r="F123" s="13" t="str" cm="1">
        <f t="array" ref="F123">IFERROR(_FV(B123,"Price")," ")</f>
        <v xml:space="preserve"> </v>
      </c>
      <c r="G123" s="10" t="str">
        <f t="shared" si="4"/>
        <v xml:space="preserve"> </v>
      </c>
      <c r="H123" s="13"/>
      <c r="I123" s="24"/>
      <c r="J123" s="13">
        <f>IFERROR(FundManager[[#This Row],[Current Value]]-FundManager[[#This Row],[Amount Invested]]," ")</f>
        <v>0</v>
      </c>
      <c r="K123" s="14" t="str">
        <f t="shared" si="5"/>
        <v xml:space="preserve"> </v>
      </c>
      <c r="L123" s="15" t="str" cm="1">
        <f t="array" ref="L123">IFERROR(ROUND(_FV(B123,"Change (%)",TRUE),3) &amp; "%"," ")</f>
        <v xml:space="preserve"> </v>
      </c>
    </row>
    <row r="124" spans="1:12" x14ac:dyDescent="0.25">
      <c r="A124" s="19"/>
      <c r="C124" s="10" t="str" cm="1">
        <f t="array" ref="C124">IFERROR(_FV(FundManager[[#This Row],[Name]],"Ticker symbol",TRUE)," ")</f>
        <v xml:space="preserve"> </v>
      </c>
      <c r="E124" s="13"/>
      <c r="F124" s="13" t="str" cm="1">
        <f t="array" ref="F124">IFERROR(_FV(B124,"Price")," ")</f>
        <v xml:space="preserve"> </v>
      </c>
      <c r="G124" s="10" t="str">
        <f t="shared" si="4"/>
        <v xml:space="preserve"> </v>
      </c>
      <c r="H124" s="13"/>
      <c r="I124" s="24"/>
      <c r="J124" s="13">
        <f>IFERROR(FundManager[[#This Row],[Current Value]]-FundManager[[#This Row],[Amount Invested]]," ")</f>
        <v>0</v>
      </c>
      <c r="K124" s="14" t="str">
        <f t="shared" si="5"/>
        <v xml:space="preserve"> </v>
      </c>
      <c r="L124" s="15" t="str" cm="1">
        <f t="array" ref="L124">IFERROR(ROUND(_FV(B124,"Change (%)",TRUE),3) &amp; "%"," ")</f>
        <v xml:space="preserve"> </v>
      </c>
    </row>
    <row r="125" spans="1:12" x14ac:dyDescent="0.25">
      <c r="A125" s="19"/>
      <c r="C125" s="10" t="str" cm="1">
        <f t="array" ref="C125">IFERROR(_FV(FundManager[[#This Row],[Name]],"Ticker symbol",TRUE)," ")</f>
        <v xml:space="preserve"> </v>
      </c>
      <c r="E125" s="13"/>
      <c r="F125" s="13" t="str" cm="1">
        <f t="array" ref="F125">IFERROR(_FV(B125,"Price")," ")</f>
        <v xml:space="preserve"> </v>
      </c>
      <c r="G125" s="10" t="str">
        <f t="shared" si="4"/>
        <v xml:space="preserve"> </v>
      </c>
      <c r="H125" s="13"/>
      <c r="I125" s="24"/>
      <c r="J125" s="13">
        <f>IFERROR(FundManager[[#This Row],[Current Value]]-FundManager[[#This Row],[Amount Invested]]," ")</f>
        <v>0</v>
      </c>
      <c r="K125" s="14" t="str">
        <f t="shared" si="5"/>
        <v xml:space="preserve"> </v>
      </c>
      <c r="L125" s="15" t="str" cm="1">
        <f t="array" ref="L125">IFERROR(ROUND(_FV(B125,"Change (%)",TRUE),3) &amp; "%"," ")</f>
        <v xml:space="preserve"> </v>
      </c>
    </row>
    <row r="126" spans="1:12" x14ac:dyDescent="0.25">
      <c r="A126" s="19"/>
      <c r="C126" s="10" t="str" cm="1">
        <f t="array" ref="C126">IFERROR(_FV(FundManager[[#This Row],[Name]],"Ticker symbol",TRUE)," ")</f>
        <v xml:space="preserve"> </v>
      </c>
      <c r="E126" s="13"/>
      <c r="F126" s="13" t="str" cm="1">
        <f t="array" ref="F126">IFERROR(_FV(B126,"Price")," ")</f>
        <v xml:space="preserve"> </v>
      </c>
      <c r="G126" s="10" t="str">
        <f t="shared" si="4"/>
        <v xml:space="preserve"> </v>
      </c>
      <c r="H126" s="13"/>
      <c r="I126" s="24"/>
      <c r="J126" s="13">
        <f>IFERROR(FundManager[[#This Row],[Current Value]]-FundManager[[#This Row],[Amount Invested]]," ")</f>
        <v>0</v>
      </c>
      <c r="K126" s="14" t="str">
        <f t="shared" si="5"/>
        <v xml:space="preserve"> </v>
      </c>
      <c r="L126" s="15" t="str" cm="1">
        <f t="array" ref="L126">IFERROR(ROUND(_FV(B126,"Change (%)",TRUE),3) &amp; "%"," ")</f>
        <v xml:space="preserve"> </v>
      </c>
    </row>
    <row r="127" spans="1:12" x14ac:dyDescent="0.25">
      <c r="A127" s="19"/>
      <c r="C127" s="10" t="str" cm="1">
        <f t="array" ref="C127">IFERROR(_FV(FundManager[[#This Row],[Name]],"Ticker symbol",TRUE)," ")</f>
        <v xml:space="preserve"> </v>
      </c>
      <c r="E127" s="13"/>
      <c r="F127" s="13" t="str" cm="1">
        <f t="array" ref="F127">IFERROR(_FV(B127,"Price")," ")</f>
        <v xml:space="preserve"> </v>
      </c>
      <c r="G127" s="10" t="str">
        <f t="shared" si="4"/>
        <v xml:space="preserve"> </v>
      </c>
      <c r="H127" s="13"/>
      <c r="I127" s="24"/>
      <c r="J127" s="13">
        <f>IFERROR(FundManager[[#This Row],[Current Value]]-FundManager[[#This Row],[Amount Invested]]," ")</f>
        <v>0</v>
      </c>
      <c r="K127" s="14" t="str">
        <f t="shared" si="5"/>
        <v xml:space="preserve"> </v>
      </c>
      <c r="L127" s="15" t="str" cm="1">
        <f t="array" ref="L127">IFERROR(ROUND(_FV(B127,"Change (%)",TRUE),3) &amp; "%"," ")</f>
        <v xml:space="preserve"> </v>
      </c>
    </row>
    <row r="128" spans="1:12" x14ac:dyDescent="0.25">
      <c r="A128" s="19"/>
      <c r="C128" s="10" t="str" cm="1">
        <f t="array" ref="C128">IFERROR(_FV(FundManager[[#This Row],[Name]],"Ticker symbol",TRUE)," ")</f>
        <v xml:space="preserve"> </v>
      </c>
      <c r="E128" s="13"/>
      <c r="F128" s="13" t="str" cm="1">
        <f t="array" ref="F128">IFERROR(_FV(B128,"Price")," ")</f>
        <v xml:space="preserve"> </v>
      </c>
      <c r="G128" s="10" t="str">
        <f t="shared" si="4"/>
        <v xml:space="preserve"> </v>
      </c>
      <c r="H128" s="13"/>
      <c r="I128" s="24"/>
      <c r="J128" s="13">
        <f>IFERROR(FundManager[[#This Row],[Current Value]]-FundManager[[#This Row],[Amount Invested]]," ")</f>
        <v>0</v>
      </c>
      <c r="K128" s="14" t="str">
        <f t="shared" si="5"/>
        <v xml:space="preserve"> </v>
      </c>
      <c r="L128" s="15" t="str" cm="1">
        <f t="array" ref="L128">IFERROR(ROUND(_FV(B128,"Change (%)",TRUE),3) &amp; "%"," ")</f>
        <v xml:space="preserve"> </v>
      </c>
    </row>
    <row r="129" spans="1:12" x14ac:dyDescent="0.25">
      <c r="A129" s="19"/>
      <c r="C129" s="10" t="str" cm="1">
        <f t="array" ref="C129">IFERROR(_FV(FundManager[[#This Row],[Name]],"Ticker symbol",TRUE)," ")</f>
        <v xml:space="preserve"> </v>
      </c>
      <c r="E129" s="13"/>
      <c r="F129" s="13" t="str" cm="1">
        <f t="array" ref="F129">IFERROR(_FV(B129,"Price")," ")</f>
        <v xml:space="preserve"> </v>
      </c>
      <c r="G129" s="10" t="str">
        <f t="shared" si="4"/>
        <v xml:space="preserve"> </v>
      </c>
      <c r="H129" s="13"/>
      <c r="I129" s="24"/>
      <c r="J129" s="13">
        <f>IFERROR(FundManager[[#This Row],[Current Value]]-FundManager[[#This Row],[Amount Invested]]," ")</f>
        <v>0</v>
      </c>
      <c r="K129" s="14" t="str">
        <f t="shared" si="5"/>
        <v xml:space="preserve"> </v>
      </c>
      <c r="L129" s="15" t="str" cm="1">
        <f t="array" ref="L129">IFERROR(ROUND(_FV(B129,"Change (%)",TRUE),3) &amp; "%"," ")</f>
        <v xml:space="preserve"> </v>
      </c>
    </row>
    <row r="130" spans="1:12" x14ac:dyDescent="0.25">
      <c r="A130" s="19"/>
      <c r="C130" s="10" t="str" cm="1">
        <f t="array" ref="C130">IFERROR(_FV(FundManager[[#This Row],[Name]],"Ticker symbol",TRUE)," ")</f>
        <v xml:space="preserve"> </v>
      </c>
      <c r="E130" s="13"/>
      <c r="F130" s="13" t="str" cm="1">
        <f t="array" ref="F130">IFERROR(_FV(B130,"Price")," ")</f>
        <v xml:space="preserve"> </v>
      </c>
      <c r="G130" s="10" t="str">
        <f t="shared" si="4"/>
        <v xml:space="preserve"> </v>
      </c>
      <c r="H130" s="13"/>
      <c r="I130" s="24"/>
      <c r="J130" s="13">
        <f>IFERROR(FundManager[[#This Row],[Current Value]]-FundManager[[#This Row],[Amount Invested]]," ")</f>
        <v>0</v>
      </c>
      <c r="K130" s="14" t="str">
        <f t="shared" si="5"/>
        <v xml:space="preserve"> </v>
      </c>
      <c r="L130" s="15" t="str" cm="1">
        <f t="array" ref="L130">IFERROR(ROUND(_FV(B130,"Change (%)",TRUE),3) &amp; "%"," ")</f>
        <v xml:space="preserve"> </v>
      </c>
    </row>
    <row r="131" spans="1:12" x14ac:dyDescent="0.25">
      <c r="A131" s="19"/>
      <c r="C131" s="10" t="str" cm="1">
        <f t="array" ref="C131">IFERROR(_FV(FundManager[[#This Row],[Name]],"Ticker symbol",TRUE)," ")</f>
        <v xml:space="preserve"> </v>
      </c>
      <c r="E131" s="13"/>
      <c r="F131" s="13" t="str" cm="1">
        <f t="array" ref="F131">IFERROR(_FV(B131,"Price")," ")</f>
        <v xml:space="preserve"> </v>
      </c>
      <c r="G131" s="10" t="str">
        <f t="shared" si="4"/>
        <v xml:space="preserve"> </v>
      </c>
      <c r="H131" s="13"/>
      <c r="I131" s="24"/>
      <c r="J131" s="13">
        <f>IFERROR(FundManager[[#This Row],[Current Value]]-FundManager[[#This Row],[Amount Invested]]," ")</f>
        <v>0</v>
      </c>
      <c r="K131" s="14" t="str">
        <f t="shared" si="5"/>
        <v xml:space="preserve"> </v>
      </c>
      <c r="L131" s="15" t="str" cm="1">
        <f t="array" ref="L131">IFERROR(ROUND(_FV(B131,"Change (%)",TRUE),3) &amp; "%"," ")</f>
        <v xml:space="preserve"> </v>
      </c>
    </row>
    <row r="132" spans="1:12" x14ac:dyDescent="0.25">
      <c r="A132" s="19"/>
      <c r="C132" s="10" t="str" cm="1">
        <f t="array" ref="C132">IFERROR(_FV(FundManager[[#This Row],[Name]],"Ticker symbol",TRUE)," ")</f>
        <v xml:space="preserve"> </v>
      </c>
      <c r="E132" s="13"/>
      <c r="F132" s="13" t="str" cm="1">
        <f t="array" ref="F132">IFERROR(_FV(B132,"Price")," ")</f>
        <v xml:space="preserve"> </v>
      </c>
      <c r="G132" s="10" t="str">
        <f t="shared" si="4"/>
        <v xml:space="preserve"> </v>
      </c>
      <c r="H132" s="13"/>
      <c r="I132" s="24"/>
      <c r="J132" s="13">
        <f>IFERROR(FundManager[[#This Row],[Current Value]]-FundManager[[#This Row],[Amount Invested]]," ")</f>
        <v>0</v>
      </c>
      <c r="K132" s="14" t="str">
        <f t="shared" si="5"/>
        <v xml:space="preserve"> </v>
      </c>
      <c r="L132" s="15" t="str" cm="1">
        <f t="array" ref="L132">IFERROR(ROUND(_FV(B132,"Change (%)",TRUE),3) &amp; "%"," ")</f>
        <v xml:space="preserve"> </v>
      </c>
    </row>
    <row r="133" spans="1:12" x14ac:dyDescent="0.25">
      <c r="A133" s="19"/>
      <c r="C133" s="10" t="str" cm="1">
        <f t="array" ref="C133">IFERROR(_FV(FundManager[[#This Row],[Name]],"Ticker symbol",TRUE)," ")</f>
        <v xml:space="preserve"> </v>
      </c>
      <c r="E133" s="13"/>
      <c r="F133" s="13" t="str" cm="1">
        <f t="array" ref="F133">IFERROR(_FV(B133,"Price")," ")</f>
        <v xml:space="preserve"> </v>
      </c>
      <c r="G133" s="10" t="str">
        <f t="shared" si="4"/>
        <v xml:space="preserve"> </v>
      </c>
      <c r="H133" s="13"/>
      <c r="I133" s="24"/>
      <c r="J133" s="13">
        <f>IFERROR(FundManager[[#This Row],[Current Value]]-FundManager[[#This Row],[Amount Invested]]," ")</f>
        <v>0</v>
      </c>
      <c r="K133" s="14" t="str">
        <f t="shared" si="5"/>
        <v xml:space="preserve"> </v>
      </c>
      <c r="L133" s="15" t="str" cm="1">
        <f t="array" ref="L133">IFERROR(ROUND(_FV(B133,"Change (%)",TRUE),3) &amp; "%"," ")</f>
        <v xml:space="preserve"> </v>
      </c>
    </row>
    <row r="134" spans="1:12" x14ac:dyDescent="0.25">
      <c r="A134" s="19"/>
      <c r="C134" s="10" t="str" cm="1">
        <f t="array" ref="C134">IFERROR(_FV(FundManager[[#This Row],[Name]],"Ticker symbol",TRUE)," ")</f>
        <v xml:space="preserve"> </v>
      </c>
      <c r="E134" s="13"/>
      <c r="F134" s="13" t="str" cm="1">
        <f t="array" ref="F134">IFERROR(_FV(B134,"Price")," ")</f>
        <v xml:space="preserve"> </v>
      </c>
      <c r="G134" s="10" t="str">
        <f t="shared" si="4"/>
        <v xml:space="preserve"> </v>
      </c>
      <c r="H134" s="13"/>
      <c r="I134" s="24"/>
      <c r="J134" s="13">
        <f>IFERROR(FundManager[[#This Row],[Current Value]]-FundManager[[#This Row],[Amount Invested]]," ")</f>
        <v>0</v>
      </c>
      <c r="K134" s="14" t="str">
        <f t="shared" si="5"/>
        <v xml:space="preserve"> </v>
      </c>
      <c r="L134" s="15" t="str" cm="1">
        <f t="array" ref="L134">IFERROR(ROUND(_FV(B134,"Change (%)",TRUE),3) &amp; "%"," ")</f>
        <v xml:space="preserve"> </v>
      </c>
    </row>
    <row r="135" spans="1:12" x14ac:dyDescent="0.25">
      <c r="A135" s="19"/>
      <c r="C135" s="10" t="str" cm="1">
        <f t="array" ref="C135">IFERROR(_FV(FundManager[[#This Row],[Name]],"Ticker symbol",TRUE)," ")</f>
        <v xml:space="preserve"> </v>
      </c>
      <c r="E135" s="13"/>
      <c r="F135" s="13" t="str" cm="1">
        <f t="array" ref="F135">IFERROR(_FV(B135,"Price")," ")</f>
        <v xml:space="preserve"> </v>
      </c>
      <c r="G135" s="10" t="str">
        <f t="shared" si="4"/>
        <v xml:space="preserve"> </v>
      </c>
      <c r="H135" s="13"/>
      <c r="I135" s="24"/>
      <c r="J135" s="13">
        <f>IFERROR(FundManager[[#This Row],[Current Value]]-FundManager[[#This Row],[Amount Invested]]," ")</f>
        <v>0</v>
      </c>
      <c r="K135" s="14" t="str">
        <f t="shared" si="5"/>
        <v xml:space="preserve"> </v>
      </c>
      <c r="L135" s="15" t="str" cm="1">
        <f t="array" ref="L135">IFERROR(ROUND(_FV(B135,"Change (%)",TRUE),3) &amp; "%"," ")</f>
        <v xml:space="preserve"> </v>
      </c>
    </row>
    <row r="136" spans="1:12" x14ac:dyDescent="0.25">
      <c r="A136" s="19"/>
      <c r="C136" s="10" t="str" cm="1">
        <f t="array" ref="C136">IFERROR(_FV(FundManager[[#This Row],[Name]],"Ticker symbol",TRUE)," ")</f>
        <v xml:space="preserve"> </v>
      </c>
      <c r="E136" s="13"/>
      <c r="F136" s="13" t="str" cm="1">
        <f t="array" ref="F136">IFERROR(_FV(B136,"Price")," ")</f>
        <v xml:space="preserve"> </v>
      </c>
      <c r="G136" s="10" t="str">
        <f t="shared" si="4"/>
        <v xml:space="preserve"> </v>
      </c>
      <c r="H136" s="13"/>
      <c r="I136" s="24"/>
      <c r="J136" s="13">
        <f>IFERROR(FundManager[[#This Row],[Current Value]]-FundManager[[#This Row],[Amount Invested]]," ")</f>
        <v>0</v>
      </c>
      <c r="K136" s="14" t="str">
        <f t="shared" si="5"/>
        <v xml:space="preserve"> </v>
      </c>
      <c r="L136" s="15" t="str" cm="1">
        <f t="array" ref="L136">IFERROR(ROUND(_FV(B136,"Change (%)",TRUE),3) &amp; "%"," ")</f>
        <v xml:space="preserve"> </v>
      </c>
    </row>
    <row r="137" spans="1:12" x14ac:dyDescent="0.25">
      <c r="A137" s="19"/>
      <c r="C137" s="10" t="str" cm="1">
        <f t="array" ref="C137">IFERROR(_FV(FundManager[[#This Row],[Name]],"Ticker symbol",TRUE)," ")</f>
        <v xml:space="preserve"> </v>
      </c>
      <c r="E137" s="13"/>
      <c r="F137" s="13" t="str" cm="1">
        <f t="array" ref="F137">IFERROR(_FV(B137,"Price")," ")</f>
        <v xml:space="preserve"> </v>
      </c>
      <c r="G137" s="10" t="str">
        <f t="shared" si="4"/>
        <v xml:space="preserve"> </v>
      </c>
      <c r="H137" s="13"/>
      <c r="I137" s="24"/>
      <c r="J137" s="13">
        <f>IFERROR(FundManager[[#This Row],[Current Value]]-FundManager[[#This Row],[Amount Invested]]," ")</f>
        <v>0</v>
      </c>
      <c r="K137" s="14" t="str">
        <f t="shared" si="5"/>
        <v xml:space="preserve"> </v>
      </c>
      <c r="L137" s="15" t="str" cm="1">
        <f t="array" ref="L137">IFERROR(ROUND(_FV(B137,"Change (%)",TRUE),3) &amp; "%"," ")</f>
        <v xml:space="preserve"> </v>
      </c>
    </row>
    <row r="138" spans="1:12" x14ac:dyDescent="0.25">
      <c r="A138" s="19"/>
      <c r="C138" s="10" t="str" cm="1">
        <f t="array" ref="C138">IFERROR(_FV(FundManager[[#This Row],[Name]],"Ticker symbol",TRUE)," ")</f>
        <v xml:space="preserve"> </v>
      </c>
      <c r="E138" s="13"/>
      <c r="F138" s="13" t="str" cm="1">
        <f t="array" ref="F138">IFERROR(_FV(B138,"Price")," ")</f>
        <v xml:space="preserve"> </v>
      </c>
      <c r="G138" s="10" t="str">
        <f t="shared" si="4"/>
        <v xml:space="preserve"> </v>
      </c>
      <c r="H138" s="13"/>
      <c r="I138" s="24"/>
      <c r="J138" s="13">
        <f>IFERROR(FundManager[[#This Row],[Current Value]]-FundManager[[#This Row],[Amount Invested]]," ")</f>
        <v>0</v>
      </c>
      <c r="K138" s="14" t="str">
        <f t="shared" si="5"/>
        <v xml:space="preserve"> </v>
      </c>
      <c r="L138" s="15" t="str" cm="1">
        <f t="array" ref="L138">IFERROR(ROUND(_FV(B138,"Change (%)",TRUE),3) &amp; "%"," ")</f>
        <v xml:space="preserve"> </v>
      </c>
    </row>
    <row r="139" spans="1:12" x14ac:dyDescent="0.25">
      <c r="A139" s="19"/>
      <c r="C139" s="10" t="str" cm="1">
        <f t="array" ref="C139">IFERROR(_FV(FundManager[[#This Row],[Name]],"Ticker symbol",TRUE)," ")</f>
        <v xml:space="preserve"> </v>
      </c>
      <c r="E139" s="13"/>
      <c r="F139" s="13" t="str" cm="1">
        <f t="array" ref="F139">IFERROR(_FV(B139,"Price")," ")</f>
        <v xml:space="preserve"> </v>
      </c>
      <c r="G139" s="10" t="str">
        <f t="shared" si="4"/>
        <v xml:space="preserve"> </v>
      </c>
      <c r="H139" s="13"/>
      <c r="I139" s="24"/>
      <c r="J139" s="13">
        <f>IFERROR(FundManager[[#This Row],[Current Value]]-FundManager[[#This Row],[Amount Invested]]," ")</f>
        <v>0</v>
      </c>
      <c r="K139" s="14" t="str">
        <f t="shared" si="5"/>
        <v xml:space="preserve"> </v>
      </c>
      <c r="L139" s="15" t="str" cm="1">
        <f t="array" ref="L139">IFERROR(ROUND(_FV(B139,"Change (%)",TRUE),3) &amp; "%"," ")</f>
        <v xml:space="preserve"> </v>
      </c>
    </row>
    <row r="140" spans="1:12" x14ac:dyDescent="0.25">
      <c r="A140" s="19"/>
      <c r="C140" s="10" t="str" cm="1">
        <f t="array" ref="C140">IFERROR(_FV(FundManager[[#This Row],[Name]],"Ticker symbol",TRUE)," ")</f>
        <v xml:space="preserve"> </v>
      </c>
      <c r="E140" s="13"/>
      <c r="F140" s="13" t="str" cm="1">
        <f t="array" ref="F140">IFERROR(_FV(B140,"Price")," ")</f>
        <v xml:space="preserve"> </v>
      </c>
      <c r="G140" s="10" t="str">
        <f t="shared" si="4"/>
        <v xml:space="preserve"> </v>
      </c>
      <c r="H140" s="13"/>
      <c r="I140" s="24"/>
      <c r="J140" s="13">
        <f>IFERROR(FundManager[[#This Row],[Current Value]]-FundManager[[#This Row],[Amount Invested]]," ")</f>
        <v>0</v>
      </c>
      <c r="K140" s="14" t="str">
        <f t="shared" si="5"/>
        <v xml:space="preserve"> </v>
      </c>
      <c r="L140" s="15" t="str" cm="1">
        <f t="array" ref="L140">IFERROR(ROUND(_FV(B140,"Change (%)",TRUE),3) &amp; "%"," ")</f>
        <v xml:space="preserve"> </v>
      </c>
    </row>
    <row r="141" spans="1:12" x14ac:dyDescent="0.25">
      <c r="A141" s="19"/>
      <c r="C141" s="10" t="str" cm="1">
        <f t="array" ref="C141">IFERROR(_FV(FundManager[[#This Row],[Name]],"Ticker symbol",TRUE)," ")</f>
        <v xml:space="preserve"> </v>
      </c>
      <c r="E141" s="13"/>
      <c r="F141" s="13" t="str" cm="1">
        <f t="array" ref="F141">IFERROR(_FV(B141,"Price")," ")</f>
        <v xml:space="preserve"> </v>
      </c>
      <c r="G141" s="10" t="str">
        <f t="shared" si="4"/>
        <v xml:space="preserve"> </v>
      </c>
      <c r="H141" s="13"/>
      <c r="I141" s="24"/>
      <c r="J141" s="13">
        <f>IFERROR(FundManager[[#This Row],[Current Value]]-FundManager[[#This Row],[Amount Invested]]," ")</f>
        <v>0</v>
      </c>
      <c r="K141" s="14" t="str">
        <f t="shared" si="5"/>
        <v xml:space="preserve"> </v>
      </c>
      <c r="L141" s="15" t="str" cm="1">
        <f t="array" ref="L141">IFERROR(ROUND(_FV(B141,"Change (%)",TRUE),3) &amp; "%"," ")</f>
        <v xml:space="preserve"> </v>
      </c>
    </row>
    <row r="142" spans="1:12" x14ac:dyDescent="0.25">
      <c r="A142" s="19"/>
      <c r="C142" s="10" t="str" cm="1">
        <f t="array" ref="C142">IFERROR(_FV(FundManager[[#This Row],[Name]],"Ticker symbol",TRUE)," ")</f>
        <v xml:space="preserve"> </v>
      </c>
      <c r="E142" s="13"/>
      <c r="F142" s="13" t="str" cm="1">
        <f t="array" ref="F142">IFERROR(_FV(B142,"Price")," ")</f>
        <v xml:space="preserve"> </v>
      </c>
      <c r="G142" s="10" t="str">
        <f t="shared" si="4"/>
        <v xml:space="preserve"> </v>
      </c>
      <c r="H142" s="13"/>
      <c r="I142" s="24"/>
      <c r="J142" s="13">
        <f>IFERROR(FundManager[[#This Row],[Current Value]]-FundManager[[#This Row],[Amount Invested]]," ")</f>
        <v>0</v>
      </c>
      <c r="K142" s="14" t="str">
        <f t="shared" si="5"/>
        <v xml:space="preserve"> </v>
      </c>
      <c r="L142" s="15" t="str" cm="1">
        <f t="array" ref="L142">IFERROR(ROUND(_FV(B142,"Change (%)",TRUE),3) &amp; "%"," ")</f>
        <v xml:space="preserve"> </v>
      </c>
    </row>
    <row r="143" spans="1:12" x14ac:dyDescent="0.25">
      <c r="A143" s="19"/>
      <c r="C143" s="10" t="str" cm="1">
        <f t="array" ref="C143">IFERROR(_FV(FundManager[[#This Row],[Name]],"Ticker symbol",TRUE)," ")</f>
        <v xml:space="preserve"> </v>
      </c>
      <c r="E143" s="13"/>
      <c r="F143" s="13" t="str" cm="1">
        <f t="array" ref="F143">IFERROR(_FV(B143,"Price")," ")</f>
        <v xml:space="preserve"> </v>
      </c>
      <c r="G143" s="10" t="str">
        <f t="shared" si="4"/>
        <v xml:space="preserve"> </v>
      </c>
      <c r="H143" s="13"/>
      <c r="I143" s="24"/>
      <c r="J143" s="13">
        <f>IFERROR(FundManager[[#This Row],[Current Value]]-FundManager[[#This Row],[Amount Invested]]," ")</f>
        <v>0</v>
      </c>
      <c r="K143" s="14" t="str">
        <f t="shared" si="5"/>
        <v xml:space="preserve"> </v>
      </c>
      <c r="L143" s="15" t="str" cm="1">
        <f t="array" ref="L143">IFERROR(ROUND(_FV(B143,"Change (%)",TRUE),3) &amp; "%"," ")</f>
        <v xml:space="preserve"> </v>
      </c>
    </row>
    <row r="144" spans="1:12" x14ac:dyDescent="0.25">
      <c r="A144" s="19"/>
      <c r="C144" s="10" t="str" cm="1">
        <f t="array" ref="C144">IFERROR(_FV(FundManager[[#This Row],[Name]],"Ticker symbol",TRUE)," ")</f>
        <v xml:space="preserve"> </v>
      </c>
      <c r="E144" s="13"/>
      <c r="F144" s="13" t="str" cm="1">
        <f t="array" ref="F144">IFERROR(_FV(B144,"Price")," ")</f>
        <v xml:space="preserve"> </v>
      </c>
      <c r="G144" s="10" t="str">
        <f t="shared" si="4"/>
        <v xml:space="preserve"> </v>
      </c>
      <c r="H144" s="13"/>
      <c r="I144" s="24"/>
      <c r="J144" s="13">
        <f>IFERROR(FundManager[[#This Row],[Current Value]]-FundManager[[#This Row],[Amount Invested]]," ")</f>
        <v>0</v>
      </c>
      <c r="K144" s="14" t="str">
        <f t="shared" si="5"/>
        <v xml:space="preserve"> </v>
      </c>
      <c r="L144" s="15" t="str" cm="1">
        <f t="array" ref="L144">IFERROR(ROUND(_FV(B144,"Change (%)",TRUE),3) &amp; "%"," ")</f>
        <v xml:space="preserve"> </v>
      </c>
    </row>
    <row r="145" spans="1:12" x14ac:dyDescent="0.25">
      <c r="A145" s="19"/>
      <c r="C145" s="10" t="str" cm="1">
        <f t="array" ref="C145">IFERROR(_FV(FundManager[[#This Row],[Name]],"Ticker symbol",TRUE)," ")</f>
        <v xml:space="preserve"> </v>
      </c>
      <c r="E145" s="13"/>
      <c r="F145" s="13" t="str" cm="1">
        <f t="array" ref="F145">IFERROR(_FV(B145,"Price")," ")</f>
        <v xml:space="preserve"> </v>
      </c>
      <c r="G145" s="10" t="str">
        <f t="shared" si="4"/>
        <v xml:space="preserve"> </v>
      </c>
      <c r="H145" s="13"/>
      <c r="I145" s="24"/>
      <c r="J145" s="13">
        <f>IFERROR(FundManager[[#This Row],[Current Value]]-FundManager[[#This Row],[Amount Invested]]," ")</f>
        <v>0</v>
      </c>
      <c r="K145" s="14" t="str">
        <f t="shared" si="5"/>
        <v xml:space="preserve"> </v>
      </c>
      <c r="L145" s="15" t="str" cm="1">
        <f t="array" ref="L145">IFERROR(ROUND(_FV(B145,"Change (%)",TRUE),3) &amp; "%"," ")</f>
        <v xml:space="preserve"> </v>
      </c>
    </row>
    <row r="146" spans="1:12" x14ac:dyDescent="0.25">
      <c r="A146" s="19"/>
      <c r="C146" s="10" t="str" cm="1">
        <f t="array" ref="C146">IFERROR(_FV(FundManager[[#This Row],[Name]],"Ticker symbol",TRUE)," ")</f>
        <v xml:space="preserve"> </v>
      </c>
      <c r="E146" s="13"/>
      <c r="F146" s="13" t="str" cm="1">
        <f t="array" ref="F146">IFERROR(_FV(B146,"Price")," ")</f>
        <v xml:space="preserve"> </v>
      </c>
      <c r="G146" s="10" t="str">
        <f t="shared" si="4"/>
        <v xml:space="preserve"> </v>
      </c>
      <c r="H146" s="13"/>
      <c r="I146" s="24"/>
      <c r="J146" s="13">
        <f>IFERROR(FundManager[[#This Row],[Current Value]]-FundManager[[#This Row],[Amount Invested]]," ")</f>
        <v>0</v>
      </c>
      <c r="K146" s="14" t="str">
        <f t="shared" si="5"/>
        <v xml:space="preserve"> </v>
      </c>
      <c r="L146" s="15" t="str" cm="1">
        <f t="array" ref="L146">IFERROR(ROUND(_FV(B146,"Change (%)",TRUE),3) &amp; "%"," ")</f>
        <v xml:space="preserve"> </v>
      </c>
    </row>
    <row r="147" spans="1:12" x14ac:dyDescent="0.25">
      <c r="A147" s="19"/>
      <c r="C147" s="10" t="str" cm="1">
        <f t="array" ref="C147">IFERROR(_FV(FundManager[[#This Row],[Name]],"Ticker symbol",TRUE)," ")</f>
        <v xml:space="preserve"> </v>
      </c>
      <c r="E147" s="13"/>
      <c r="F147" s="13" t="str" cm="1">
        <f t="array" ref="F147">IFERROR(_FV(B147,"Price")," ")</f>
        <v xml:space="preserve"> </v>
      </c>
      <c r="G147" s="10" t="str">
        <f t="shared" si="4"/>
        <v xml:space="preserve"> </v>
      </c>
      <c r="H147" s="13"/>
      <c r="I147" s="24"/>
      <c r="J147" s="13">
        <f>IFERROR(FundManager[[#This Row],[Current Value]]-FundManager[[#This Row],[Amount Invested]]," ")</f>
        <v>0</v>
      </c>
      <c r="K147" s="14" t="str">
        <f t="shared" si="5"/>
        <v xml:space="preserve"> </v>
      </c>
      <c r="L147" s="15" t="str" cm="1">
        <f t="array" ref="L147">IFERROR(ROUND(_FV(B147,"Change (%)",TRUE),3) &amp; "%"," ")</f>
        <v xml:space="preserve"> </v>
      </c>
    </row>
    <row r="148" spans="1:12" x14ac:dyDescent="0.25">
      <c r="A148" s="19"/>
      <c r="C148" s="10" t="str" cm="1">
        <f t="array" ref="C148">IFERROR(_FV(FundManager[[#This Row],[Name]],"Ticker symbol",TRUE)," ")</f>
        <v xml:space="preserve"> </v>
      </c>
      <c r="E148" s="13"/>
      <c r="F148" s="13" t="str" cm="1">
        <f t="array" ref="F148">IFERROR(_FV(B148,"Price")," ")</f>
        <v xml:space="preserve"> </v>
      </c>
      <c r="G148" s="10" t="str">
        <f t="shared" si="4"/>
        <v xml:space="preserve"> </v>
      </c>
      <c r="H148" s="13"/>
      <c r="I148" s="24"/>
      <c r="J148" s="13">
        <f>IFERROR(FundManager[[#This Row],[Current Value]]-FundManager[[#This Row],[Amount Invested]]," ")</f>
        <v>0</v>
      </c>
      <c r="K148" s="14" t="str">
        <f t="shared" si="5"/>
        <v xml:space="preserve"> </v>
      </c>
      <c r="L148" s="15" t="str" cm="1">
        <f t="array" ref="L148">IFERROR(ROUND(_FV(B148,"Change (%)",TRUE),3) &amp; "%"," ")</f>
        <v xml:space="preserve"> </v>
      </c>
    </row>
    <row r="149" spans="1:12" x14ac:dyDescent="0.25">
      <c r="A149" s="19"/>
      <c r="C149" s="10" t="str" cm="1">
        <f t="array" ref="C149">IFERROR(_FV(FundManager[[#This Row],[Name]],"Ticker symbol",TRUE)," ")</f>
        <v xml:space="preserve"> </v>
      </c>
      <c r="E149" s="13"/>
      <c r="F149" s="13" t="str" cm="1">
        <f t="array" ref="F149">IFERROR(_FV(B149,"Price")," ")</f>
        <v xml:space="preserve"> </v>
      </c>
      <c r="G149" s="10" t="str">
        <f t="shared" si="4"/>
        <v xml:space="preserve"> </v>
      </c>
      <c r="H149" s="13"/>
      <c r="I149" s="24"/>
      <c r="J149" s="13">
        <f>IFERROR(FundManager[[#This Row],[Current Value]]-FundManager[[#This Row],[Amount Invested]]," ")</f>
        <v>0</v>
      </c>
      <c r="K149" s="14" t="str">
        <f t="shared" si="5"/>
        <v xml:space="preserve"> </v>
      </c>
      <c r="L149" s="15" t="str" cm="1">
        <f t="array" ref="L149">IFERROR(ROUND(_FV(B149,"Change (%)",TRUE),3) &amp; "%"," ")</f>
        <v xml:space="preserve"> </v>
      </c>
    </row>
    <row r="150" spans="1:12" x14ac:dyDescent="0.25">
      <c r="A150" s="19"/>
      <c r="C150" s="10" t="str" cm="1">
        <f t="array" ref="C150">IFERROR(_FV(FundManager[[#This Row],[Name]],"Ticker symbol",TRUE)," ")</f>
        <v xml:space="preserve"> </v>
      </c>
      <c r="E150" s="13"/>
      <c r="F150" s="13" t="str" cm="1">
        <f t="array" ref="F150">IFERROR(_FV(B150,"Price")," ")</f>
        <v xml:space="preserve"> </v>
      </c>
      <c r="G150" s="10" t="str">
        <f t="shared" si="4"/>
        <v xml:space="preserve"> </v>
      </c>
      <c r="H150" s="13"/>
      <c r="I150" s="24"/>
      <c r="J150" s="13">
        <f>IFERROR(FundManager[[#This Row],[Current Value]]-FundManager[[#This Row],[Amount Invested]]," ")</f>
        <v>0</v>
      </c>
      <c r="K150" s="14" t="str">
        <f t="shared" si="5"/>
        <v xml:space="preserve"> </v>
      </c>
      <c r="L150" s="15" t="str" cm="1">
        <f t="array" ref="L150">IFERROR(ROUND(_FV(B150,"Change (%)",TRUE),3) &amp; "%"," ")</f>
        <v xml:space="preserve"> </v>
      </c>
    </row>
    <row r="151" spans="1:12" x14ac:dyDescent="0.25">
      <c r="A151" s="19"/>
      <c r="C151" s="10" t="str" cm="1">
        <f t="array" ref="C151">IFERROR(_FV(FundManager[[#This Row],[Name]],"Ticker symbol",TRUE)," ")</f>
        <v xml:space="preserve"> </v>
      </c>
      <c r="E151" s="13"/>
      <c r="F151" s="13" t="str" cm="1">
        <f t="array" ref="F151">IFERROR(_FV(B151,"Price")," ")</f>
        <v xml:space="preserve"> </v>
      </c>
      <c r="G151" s="10" t="str">
        <f t="shared" ref="G151:G214" si="6">IFERROR(H151/E151," ")</f>
        <v xml:space="preserve"> </v>
      </c>
      <c r="H151" s="13"/>
      <c r="I151" s="24"/>
      <c r="J151" s="13">
        <f>IFERROR(FundManager[[#This Row],[Current Value]]-FundManager[[#This Row],[Amount Invested]]," ")</f>
        <v>0</v>
      </c>
      <c r="K151" s="14" t="str">
        <f t="shared" ref="K151:K214" si="7">IFERROR((I151-H151)/H151," ")</f>
        <v xml:space="preserve"> </v>
      </c>
      <c r="L151" s="15" t="str" cm="1">
        <f t="array" ref="L151">IFERROR(ROUND(_FV(B151,"Change (%)",TRUE),3) &amp; "%"," ")</f>
        <v xml:space="preserve"> </v>
      </c>
    </row>
    <row r="152" spans="1:12" x14ac:dyDescent="0.25">
      <c r="A152" s="19"/>
      <c r="C152" s="10" t="str" cm="1">
        <f t="array" ref="C152">IFERROR(_FV(FundManager[[#This Row],[Name]],"Ticker symbol",TRUE)," ")</f>
        <v xml:space="preserve"> </v>
      </c>
      <c r="E152" s="13"/>
      <c r="F152" s="13" t="str" cm="1">
        <f t="array" ref="F152">IFERROR(_FV(B152,"Price")," ")</f>
        <v xml:space="preserve"> </v>
      </c>
      <c r="G152" s="10" t="str">
        <f t="shared" si="6"/>
        <v xml:space="preserve"> </v>
      </c>
      <c r="H152" s="13"/>
      <c r="I152" s="24"/>
      <c r="J152" s="13">
        <f>IFERROR(FundManager[[#This Row],[Current Value]]-FundManager[[#This Row],[Amount Invested]]," ")</f>
        <v>0</v>
      </c>
      <c r="K152" s="14" t="str">
        <f t="shared" si="7"/>
        <v xml:space="preserve"> </v>
      </c>
      <c r="L152" s="15" t="str" cm="1">
        <f t="array" ref="L152">IFERROR(ROUND(_FV(B152,"Change (%)",TRUE),3) &amp; "%"," ")</f>
        <v xml:space="preserve"> </v>
      </c>
    </row>
    <row r="153" spans="1:12" x14ac:dyDescent="0.25">
      <c r="A153" s="19"/>
      <c r="C153" s="10" t="str" cm="1">
        <f t="array" ref="C153">IFERROR(_FV(FundManager[[#This Row],[Name]],"Ticker symbol",TRUE)," ")</f>
        <v xml:space="preserve"> </v>
      </c>
      <c r="E153" s="13"/>
      <c r="F153" s="13" t="str" cm="1">
        <f t="array" ref="F153">IFERROR(_FV(B153,"Price")," ")</f>
        <v xml:space="preserve"> </v>
      </c>
      <c r="G153" s="10" t="str">
        <f t="shared" si="6"/>
        <v xml:space="preserve"> </v>
      </c>
      <c r="H153" s="13"/>
      <c r="I153" s="24"/>
      <c r="J153" s="13">
        <f>IFERROR(FundManager[[#This Row],[Current Value]]-FundManager[[#This Row],[Amount Invested]]," ")</f>
        <v>0</v>
      </c>
      <c r="K153" s="14" t="str">
        <f t="shared" si="7"/>
        <v xml:space="preserve"> </v>
      </c>
      <c r="L153" s="15" t="str" cm="1">
        <f t="array" ref="L153">IFERROR(ROUND(_FV(B153,"Change (%)",TRUE),3) &amp; "%"," ")</f>
        <v xml:space="preserve"> </v>
      </c>
    </row>
    <row r="154" spans="1:12" x14ac:dyDescent="0.25">
      <c r="A154" s="19"/>
      <c r="C154" s="10" t="str" cm="1">
        <f t="array" ref="C154">IFERROR(_FV(FundManager[[#This Row],[Name]],"Ticker symbol",TRUE)," ")</f>
        <v xml:space="preserve"> </v>
      </c>
      <c r="E154" s="13"/>
      <c r="F154" s="13" t="str" cm="1">
        <f t="array" ref="F154">IFERROR(_FV(B154,"Price")," ")</f>
        <v xml:space="preserve"> </v>
      </c>
      <c r="G154" s="10" t="str">
        <f t="shared" si="6"/>
        <v xml:space="preserve"> </v>
      </c>
      <c r="H154" s="13"/>
      <c r="I154" s="24"/>
      <c r="J154" s="13">
        <f>IFERROR(FundManager[[#This Row],[Current Value]]-FundManager[[#This Row],[Amount Invested]]," ")</f>
        <v>0</v>
      </c>
      <c r="K154" s="14" t="str">
        <f t="shared" si="7"/>
        <v xml:space="preserve"> </v>
      </c>
      <c r="L154" s="15" t="str" cm="1">
        <f t="array" ref="L154">IFERROR(ROUND(_FV(B154,"Change (%)",TRUE),3) &amp; "%"," ")</f>
        <v xml:space="preserve"> </v>
      </c>
    </row>
    <row r="155" spans="1:12" x14ac:dyDescent="0.25">
      <c r="A155" s="19"/>
      <c r="C155" s="10" t="str" cm="1">
        <f t="array" ref="C155">IFERROR(_FV(FundManager[[#This Row],[Name]],"Ticker symbol",TRUE)," ")</f>
        <v xml:space="preserve"> </v>
      </c>
      <c r="E155" s="13"/>
      <c r="F155" s="13" t="str" cm="1">
        <f t="array" ref="F155">IFERROR(_FV(B155,"Price")," ")</f>
        <v xml:space="preserve"> </v>
      </c>
      <c r="G155" s="10" t="str">
        <f t="shared" si="6"/>
        <v xml:space="preserve"> </v>
      </c>
      <c r="H155" s="13"/>
      <c r="I155" s="24"/>
      <c r="J155" s="13">
        <f>IFERROR(FundManager[[#This Row],[Current Value]]-FundManager[[#This Row],[Amount Invested]]," ")</f>
        <v>0</v>
      </c>
      <c r="K155" s="14" t="str">
        <f t="shared" si="7"/>
        <v xml:space="preserve"> </v>
      </c>
      <c r="L155" s="15" t="str" cm="1">
        <f t="array" ref="L155">IFERROR(ROUND(_FV(B155,"Change (%)",TRUE),3) &amp; "%"," ")</f>
        <v xml:space="preserve"> </v>
      </c>
    </row>
    <row r="156" spans="1:12" x14ac:dyDescent="0.25">
      <c r="A156" s="19"/>
      <c r="C156" s="10" t="str" cm="1">
        <f t="array" ref="C156">IFERROR(_FV(FundManager[[#This Row],[Name]],"Ticker symbol",TRUE)," ")</f>
        <v xml:space="preserve"> </v>
      </c>
      <c r="E156" s="13"/>
      <c r="F156" s="13" t="str" cm="1">
        <f t="array" ref="F156">IFERROR(_FV(B156,"Price")," ")</f>
        <v xml:space="preserve"> </v>
      </c>
      <c r="G156" s="10" t="str">
        <f t="shared" si="6"/>
        <v xml:space="preserve"> </v>
      </c>
      <c r="H156" s="13"/>
      <c r="I156" s="24"/>
      <c r="J156" s="13">
        <f>IFERROR(FundManager[[#This Row],[Current Value]]-FundManager[[#This Row],[Amount Invested]]," ")</f>
        <v>0</v>
      </c>
      <c r="K156" s="14" t="str">
        <f t="shared" si="7"/>
        <v xml:space="preserve"> </v>
      </c>
      <c r="L156" s="15" t="str" cm="1">
        <f t="array" ref="L156">IFERROR(ROUND(_FV(B156,"Change (%)",TRUE),3) &amp; "%"," ")</f>
        <v xml:space="preserve"> </v>
      </c>
    </row>
    <row r="157" spans="1:12" x14ac:dyDescent="0.25">
      <c r="A157" s="19"/>
      <c r="C157" s="10" t="str" cm="1">
        <f t="array" ref="C157">IFERROR(_FV(FundManager[[#This Row],[Name]],"Ticker symbol",TRUE)," ")</f>
        <v xml:space="preserve"> </v>
      </c>
      <c r="E157" s="13"/>
      <c r="F157" s="13" t="str" cm="1">
        <f t="array" ref="F157">IFERROR(_FV(B157,"Price")," ")</f>
        <v xml:space="preserve"> </v>
      </c>
      <c r="G157" s="10" t="str">
        <f t="shared" si="6"/>
        <v xml:space="preserve"> </v>
      </c>
      <c r="H157" s="13"/>
      <c r="I157" s="24"/>
      <c r="J157" s="13">
        <f>IFERROR(FundManager[[#This Row],[Current Value]]-FundManager[[#This Row],[Amount Invested]]," ")</f>
        <v>0</v>
      </c>
      <c r="K157" s="14" t="str">
        <f t="shared" si="7"/>
        <v xml:space="preserve"> </v>
      </c>
      <c r="L157" s="15" t="str" cm="1">
        <f t="array" ref="L157">IFERROR(ROUND(_FV(B157,"Change (%)",TRUE),3) &amp; "%"," ")</f>
        <v xml:space="preserve"> </v>
      </c>
    </row>
    <row r="158" spans="1:12" x14ac:dyDescent="0.25">
      <c r="A158" s="19"/>
      <c r="C158" s="10" t="str" cm="1">
        <f t="array" ref="C158">IFERROR(_FV(FundManager[[#This Row],[Name]],"Ticker symbol",TRUE)," ")</f>
        <v xml:space="preserve"> </v>
      </c>
      <c r="E158" s="13"/>
      <c r="F158" s="13" t="str" cm="1">
        <f t="array" ref="F158">IFERROR(_FV(B158,"Price")," ")</f>
        <v xml:space="preserve"> </v>
      </c>
      <c r="G158" s="10" t="str">
        <f t="shared" si="6"/>
        <v xml:space="preserve"> </v>
      </c>
      <c r="H158" s="13"/>
      <c r="I158" s="24"/>
      <c r="J158" s="13">
        <f>IFERROR(FundManager[[#This Row],[Current Value]]-FundManager[[#This Row],[Amount Invested]]," ")</f>
        <v>0</v>
      </c>
      <c r="K158" s="14" t="str">
        <f t="shared" si="7"/>
        <v xml:space="preserve"> </v>
      </c>
      <c r="L158" s="15" t="str" cm="1">
        <f t="array" ref="L158">IFERROR(ROUND(_FV(B158,"Change (%)",TRUE),3) &amp; "%"," ")</f>
        <v xml:space="preserve"> </v>
      </c>
    </row>
    <row r="159" spans="1:12" x14ac:dyDescent="0.25">
      <c r="A159" s="19"/>
      <c r="C159" s="10" t="str" cm="1">
        <f t="array" ref="C159">IFERROR(_FV(FundManager[[#This Row],[Name]],"Ticker symbol",TRUE)," ")</f>
        <v xml:space="preserve"> </v>
      </c>
      <c r="E159" s="13"/>
      <c r="F159" s="13" t="str" cm="1">
        <f t="array" ref="F159">IFERROR(_FV(B159,"Price")," ")</f>
        <v xml:space="preserve"> </v>
      </c>
      <c r="G159" s="10" t="str">
        <f t="shared" si="6"/>
        <v xml:space="preserve"> </v>
      </c>
      <c r="H159" s="13"/>
      <c r="I159" s="24"/>
      <c r="J159" s="13">
        <f>IFERROR(FundManager[[#This Row],[Current Value]]-FundManager[[#This Row],[Amount Invested]]," ")</f>
        <v>0</v>
      </c>
      <c r="K159" s="14" t="str">
        <f t="shared" si="7"/>
        <v xml:space="preserve"> </v>
      </c>
      <c r="L159" s="15" t="str" cm="1">
        <f t="array" ref="L159">IFERROR(ROUND(_FV(B159,"Change (%)",TRUE),3) &amp; "%"," ")</f>
        <v xml:space="preserve"> </v>
      </c>
    </row>
    <row r="160" spans="1:12" x14ac:dyDescent="0.25">
      <c r="A160" s="19"/>
      <c r="C160" s="10" t="str" cm="1">
        <f t="array" ref="C160">IFERROR(_FV(FundManager[[#This Row],[Name]],"Ticker symbol",TRUE)," ")</f>
        <v xml:space="preserve"> </v>
      </c>
      <c r="E160" s="13"/>
      <c r="F160" s="13" t="str" cm="1">
        <f t="array" ref="F160">IFERROR(_FV(B160,"Price")," ")</f>
        <v xml:space="preserve"> </v>
      </c>
      <c r="G160" s="10" t="str">
        <f t="shared" si="6"/>
        <v xml:space="preserve"> </v>
      </c>
      <c r="H160" s="13"/>
      <c r="I160" s="24"/>
      <c r="J160" s="13">
        <f>IFERROR(FundManager[[#This Row],[Current Value]]-FundManager[[#This Row],[Amount Invested]]," ")</f>
        <v>0</v>
      </c>
      <c r="K160" s="14" t="str">
        <f t="shared" si="7"/>
        <v xml:space="preserve"> </v>
      </c>
      <c r="L160" s="15" t="str" cm="1">
        <f t="array" ref="L160">IFERROR(ROUND(_FV(B160,"Change (%)",TRUE),3) &amp; "%"," ")</f>
        <v xml:space="preserve"> </v>
      </c>
    </row>
    <row r="161" spans="1:12" x14ac:dyDescent="0.25">
      <c r="A161" s="19"/>
      <c r="C161" s="10" t="str" cm="1">
        <f t="array" ref="C161">IFERROR(_FV(FundManager[[#This Row],[Name]],"Ticker symbol",TRUE)," ")</f>
        <v xml:space="preserve"> </v>
      </c>
      <c r="E161" s="13"/>
      <c r="F161" s="13" t="str" cm="1">
        <f t="array" ref="F161">IFERROR(_FV(B161,"Price")," ")</f>
        <v xml:space="preserve"> </v>
      </c>
      <c r="G161" s="10" t="str">
        <f t="shared" si="6"/>
        <v xml:space="preserve"> </v>
      </c>
      <c r="H161" s="13"/>
      <c r="I161" s="24"/>
      <c r="J161" s="13">
        <f>IFERROR(FundManager[[#This Row],[Current Value]]-FundManager[[#This Row],[Amount Invested]]," ")</f>
        <v>0</v>
      </c>
      <c r="K161" s="14" t="str">
        <f t="shared" si="7"/>
        <v xml:space="preserve"> </v>
      </c>
      <c r="L161" s="15" t="str" cm="1">
        <f t="array" ref="L161">IFERROR(ROUND(_FV(B161,"Change (%)",TRUE),3) &amp; "%"," ")</f>
        <v xml:space="preserve"> </v>
      </c>
    </row>
    <row r="162" spans="1:12" x14ac:dyDescent="0.25">
      <c r="A162" s="19"/>
      <c r="C162" s="10" t="str" cm="1">
        <f t="array" ref="C162">IFERROR(_FV(FundManager[[#This Row],[Name]],"Ticker symbol",TRUE)," ")</f>
        <v xml:space="preserve"> </v>
      </c>
      <c r="E162" s="13"/>
      <c r="F162" s="13" t="str" cm="1">
        <f t="array" ref="F162">IFERROR(_FV(B162,"Price")," ")</f>
        <v xml:space="preserve"> </v>
      </c>
      <c r="G162" s="10" t="str">
        <f t="shared" si="6"/>
        <v xml:space="preserve"> </v>
      </c>
      <c r="H162" s="13"/>
      <c r="I162" s="24"/>
      <c r="J162" s="13">
        <f>IFERROR(FundManager[[#This Row],[Current Value]]-FundManager[[#This Row],[Amount Invested]]," ")</f>
        <v>0</v>
      </c>
      <c r="K162" s="14" t="str">
        <f t="shared" si="7"/>
        <v xml:space="preserve"> </v>
      </c>
      <c r="L162" s="15" t="str" cm="1">
        <f t="array" ref="L162">IFERROR(ROUND(_FV(B162,"Change (%)",TRUE),3) &amp; "%"," ")</f>
        <v xml:space="preserve"> </v>
      </c>
    </row>
    <row r="163" spans="1:12" x14ac:dyDescent="0.25">
      <c r="A163" s="19"/>
      <c r="C163" s="10" t="str" cm="1">
        <f t="array" ref="C163">IFERROR(_FV(FundManager[[#This Row],[Name]],"Ticker symbol",TRUE)," ")</f>
        <v xml:space="preserve"> </v>
      </c>
      <c r="E163" s="13"/>
      <c r="F163" s="13" t="str" cm="1">
        <f t="array" ref="F163">IFERROR(_FV(B163,"Price")," ")</f>
        <v xml:space="preserve"> </v>
      </c>
      <c r="G163" s="10" t="str">
        <f t="shared" si="6"/>
        <v xml:space="preserve"> </v>
      </c>
      <c r="H163" s="13"/>
      <c r="I163" s="24"/>
      <c r="J163" s="13">
        <f>IFERROR(FundManager[[#This Row],[Current Value]]-FundManager[[#This Row],[Amount Invested]]," ")</f>
        <v>0</v>
      </c>
      <c r="K163" s="14" t="str">
        <f t="shared" si="7"/>
        <v xml:space="preserve"> </v>
      </c>
      <c r="L163" s="15" t="str" cm="1">
        <f t="array" ref="L163">IFERROR(ROUND(_FV(B163,"Change (%)",TRUE),3) &amp; "%"," ")</f>
        <v xml:space="preserve"> </v>
      </c>
    </row>
    <row r="164" spans="1:12" x14ac:dyDescent="0.25">
      <c r="A164" s="19"/>
      <c r="C164" s="10" t="str" cm="1">
        <f t="array" ref="C164">IFERROR(_FV(FundManager[[#This Row],[Name]],"Ticker symbol",TRUE)," ")</f>
        <v xml:space="preserve"> </v>
      </c>
      <c r="E164" s="13"/>
      <c r="F164" s="13" t="str" cm="1">
        <f t="array" ref="F164">IFERROR(_FV(B164,"Price")," ")</f>
        <v xml:space="preserve"> </v>
      </c>
      <c r="G164" s="10" t="str">
        <f t="shared" si="6"/>
        <v xml:space="preserve"> </v>
      </c>
      <c r="H164" s="13"/>
      <c r="I164" s="24"/>
      <c r="J164" s="13">
        <f>IFERROR(FundManager[[#This Row],[Current Value]]-FundManager[[#This Row],[Amount Invested]]," ")</f>
        <v>0</v>
      </c>
      <c r="K164" s="14" t="str">
        <f t="shared" si="7"/>
        <v xml:space="preserve"> </v>
      </c>
      <c r="L164" s="15" t="str" cm="1">
        <f t="array" ref="L164">IFERROR(ROUND(_FV(B164,"Change (%)",TRUE),3) &amp; "%"," ")</f>
        <v xml:space="preserve"> </v>
      </c>
    </row>
    <row r="165" spans="1:12" x14ac:dyDescent="0.25">
      <c r="A165" s="19"/>
      <c r="C165" s="10" t="str" cm="1">
        <f t="array" ref="C165">IFERROR(_FV(FundManager[[#This Row],[Name]],"Ticker symbol",TRUE)," ")</f>
        <v xml:space="preserve"> </v>
      </c>
      <c r="E165" s="13"/>
      <c r="F165" s="13" t="str" cm="1">
        <f t="array" ref="F165">IFERROR(_FV(B165,"Price")," ")</f>
        <v xml:space="preserve"> </v>
      </c>
      <c r="G165" s="10" t="str">
        <f t="shared" si="6"/>
        <v xml:space="preserve"> </v>
      </c>
      <c r="H165" s="13"/>
      <c r="I165" s="24"/>
      <c r="J165" s="13">
        <f>IFERROR(FundManager[[#This Row],[Current Value]]-FundManager[[#This Row],[Amount Invested]]," ")</f>
        <v>0</v>
      </c>
      <c r="K165" s="14" t="str">
        <f t="shared" si="7"/>
        <v xml:space="preserve"> </v>
      </c>
      <c r="L165" s="15" t="str" cm="1">
        <f t="array" ref="L165">IFERROR(ROUND(_FV(B165,"Change (%)",TRUE),3) &amp; "%"," ")</f>
        <v xml:space="preserve"> </v>
      </c>
    </row>
    <row r="166" spans="1:12" x14ac:dyDescent="0.25">
      <c r="A166" s="19"/>
      <c r="C166" s="10" t="str" cm="1">
        <f t="array" ref="C166">IFERROR(_FV(FundManager[[#This Row],[Name]],"Ticker symbol",TRUE)," ")</f>
        <v xml:space="preserve"> </v>
      </c>
      <c r="E166" s="13"/>
      <c r="F166" s="13" t="str" cm="1">
        <f t="array" ref="F166">IFERROR(_FV(B166,"Price")," ")</f>
        <v xml:space="preserve"> </v>
      </c>
      <c r="G166" s="10" t="str">
        <f t="shared" si="6"/>
        <v xml:space="preserve"> </v>
      </c>
      <c r="H166" s="13"/>
      <c r="I166" s="24"/>
      <c r="J166" s="13">
        <f>IFERROR(FundManager[[#This Row],[Current Value]]-FundManager[[#This Row],[Amount Invested]]," ")</f>
        <v>0</v>
      </c>
      <c r="K166" s="14" t="str">
        <f t="shared" si="7"/>
        <v xml:space="preserve"> </v>
      </c>
      <c r="L166" s="15" t="str" cm="1">
        <f t="array" ref="L166">IFERROR(ROUND(_FV(B166,"Change (%)",TRUE),3) &amp; "%"," ")</f>
        <v xml:space="preserve"> </v>
      </c>
    </row>
    <row r="167" spans="1:12" x14ac:dyDescent="0.25">
      <c r="A167" s="19"/>
      <c r="C167" s="10" t="str" cm="1">
        <f t="array" ref="C167">IFERROR(_FV(FundManager[[#This Row],[Name]],"Ticker symbol",TRUE)," ")</f>
        <v xml:space="preserve"> </v>
      </c>
      <c r="E167" s="13"/>
      <c r="F167" s="13" t="str" cm="1">
        <f t="array" ref="F167">IFERROR(_FV(B167,"Price")," ")</f>
        <v xml:space="preserve"> </v>
      </c>
      <c r="G167" s="10" t="str">
        <f t="shared" si="6"/>
        <v xml:space="preserve"> </v>
      </c>
      <c r="H167" s="13"/>
      <c r="I167" s="24"/>
      <c r="J167" s="13">
        <f>IFERROR(FundManager[[#This Row],[Current Value]]-FundManager[[#This Row],[Amount Invested]]," ")</f>
        <v>0</v>
      </c>
      <c r="K167" s="14" t="str">
        <f t="shared" si="7"/>
        <v xml:space="preserve"> </v>
      </c>
      <c r="L167" s="15" t="str" cm="1">
        <f t="array" ref="L167">IFERROR(ROUND(_FV(B167,"Change (%)",TRUE),3) &amp; "%"," ")</f>
        <v xml:space="preserve"> </v>
      </c>
    </row>
    <row r="168" spans="1:12" x14ac:dyDescent="0.25">
      <c r="A168" s="19"/>
      <c r="C168" s="10" t="str" cm="1">
        <f t="array" ref="C168">IFERROR(_FV(FundManager[[#This Row],[Name]],"Ticker symbol",TRUE)," ")</f>
        <v xml:space="preserve"> </v>
      </c>
      <c r="E168" s="13"/>
      <c r="F168" s="13" t="str" cm="1">
        <f t="array" ref="F168">IFERROR(_FV(B168,"Price")," ")</f>
        <v xml:space="preserve"> </v>
      </c>
      <c r="G168" s="10" t="str">
        <f t="shared" si="6"/>
        <v xml:space="preserve"> </v>
      </c>
      <c r="H168" s="13"/>
      <c r="I168" s="24"/>
      <c r="J168" s="13">
        <f>IFERROR(FundManager[[#This Row],[Current Value]]-FundManager[[#This Row],[Amount Invested]]," ")</f>
        <v>0</v>
      </c>
      <c r="K168" s="14" t="str">
        <f t="shared" si="7"/>
        <v xml:space="preserve"> </v>
      </c>
      <c r="L168" s="15" t="str" cm="1">
        <f t="array" ref="L168">IFERROR(ROUND(_FV(B168,"Change (%)",TRUE),3) &amp; "%"," ")</f>
        <v xml:space="preserve"> </v>
      </c>
    </row>
    <row r="169" spans="1:12" x14ac:dyDescent="0.25">
      <c r="A169" s="19"/>
      <c r="C169" s="10" t="str" cm="1">
        <f t="array" ref="C169">IFERROR(_FV(FundManager[[#This Row],[Name]],"Ticker symbol",TRUE)," ")</f>
        <v xml:space="preserve"> </v>
      </c>
      <c r="E169" s="13"/>
      <c r="F169" s="13" t="str" cm="1">
        <f t="array" ref="F169">IFERROR(_FV(B169,"Price")," ")</f>
        <v xml:space="preserve"> </v>
      </c>
      <c r="G169" s="10" t="str">
        <f t="shared" si="6"/>
        <v xml:space="preserve"> </v>
      </c>
      <c r="H169" s="13"/>
      <c r="I169" s="24"/>
      <c r="J169" s="13">
        <f>IFERROR(FundManager[[#This Row],[Current Value]]-FundManager[[#This Row],[Amount Invested]]," ")</f>
        <v>0</v>
      </c>
      <c r="K169" s="14" t="str">
        <f t="shared" si="7"/>
        <v xml:space="preserve"> </v>
      </c>
      <c r="L169" s="15" t="str" cm="1">
        <f t="array" ref="L169">IFERROR(ROUND(_FV(B169,"Change (%)",TRUE),3) &amp; "%"," ")</f>
        <v xml:space="preserve"> </v>
      </c>
    </row>
    <row r="170" spans="1:12" x14ac:dyDescent="0.25">
      <c r="A170" s="19"/>
      <c r="C170" s="10" t="str" cm="1">
        <f t="array" ref="C170">IFERROR(_FV(FundManager[[#This Row],[Name]],"Ticker symbol",TRUE)," ")</f>
        <v xml:space="preserve"> </v>
      </c>
      <c r="E170" s="13"/>
      <c r="F170" s="13" t="str" cm="1">
        <f t="array" ref="F170">IFERROR(_FV(B170,"Price")," ")</f>
        <v xml:space="preserve"> </v>
      </c>
      <c r="G170" s="10" t="str">
        <f t="shared" si="6"/>
        <v xml:space="preserve"> </v>
      </c>
      <c r="H170" s="13"/>
      <c r="I170" s="24"/>
      <c r="J170" s="13">
        <f>IFERROR(FundManager[[#This Row],[Current Value]]-FundManager[[#This Row],[Amount Invested]]," ")</f>
        <v>0</v>
      </c>
      <c r="K170" s="14" t="str">
        <f t="shared" si="7"/>
        <v xml:space="preserve"> </v>
      </c>
      <c r="L170" s="15" t="str" cm="1">
        <f t="array" ref="L170">IFERROR(ROUND(_FV(B170,"Change (%)",TRUE),3) &amp; "%"," ")</f>
        <v xml:space="preserve"> </v>
      </c>
    </row>
    <row r="171" spans="1:12" x14ac:dyDescent="0.25">
      <c r="A171" s="19"/>
      <c r="C171" s="10" t="str" cm="1">
        <f t="array" ref="C171">IFERROR(_FV(FundManager[[#This Row],[Name]],"Ticker symbol",TRUE)," ")</f>
        <v xml:space="preserve"> </v>
      </c>
      <c r="E171" s="13"/>
      <c r="F171" s="13" t="str" cm="1">
        <f t="array" ref="F171">IFERROR(_FV(B171,"Price")," ")</f>
        <v xml:space="preserve"> </v>
      </c>
      <c r="G171" s="10" t="str">
        <f t="shared" si="6"/>
        <v xml:space="preserve"> </v>
      </c>
      <c r="H171" s="13"/>
      <c r="I171" s="24"/>
      <c r="J171" s="13">
        <f>IFERROR(FundManager[[#This Row],[Current Value]]-FundManager[[#This Row],[Amount Invested]]," ")</f>
        <v>0</v>
      </c>
      <c r="K171" s="14" t="str">
        <f t="shared" si="7"/>
        <v xml:space="preserve"> </v>
      </c>
      <c r="L171" s="15" t="str" cm="1">
        <f t="array" ref="L171">IFERROR(ROUND(_FV(B171,"Change (%)",TRUE),3) &amp; "%"," ")</f>
        <v xml:space="preserve"> </v>
      </c>
    </row>
    <row r="172" spans="1:12" x14ac:dyDescent="0.25">
      <c r="A172" s="19"/>
      <c r="C172" s="10" t="str" cm="1">
        <f t="array" ref="C172">IFERROR(_FV(FundManager[[#This Row],[Name]],"Ticker symbol",TRUE)," ")</f>
        <v xml:space="preserve"> </v>
      </c>
      <c r="E172" s="13"/>
      <c r="F172" s="13" t="str" cm="1">
        <f t="array" ref="F172">IFERROR(_FV(B172,"Price")," ")</f>
        <v xml:space="preserve"> </v>
      </c>
      <c r="G172" s="10" t="str">
        <f t="shared" si="6"/>
        <v xml:space="preserve"> </v>
      </c>
      <c r="H172" s="13"/>
      <c r="I172" s="24"/>
      <c r="J172" s="13">
        <f>IFERROR(FundManager[[#This Row],[Current Value]]-FundManager[[#This Row],[Amount Invested]]," ")</f>
        <v>0</v>
      </c>
      <c r="K172" s="14" t="str">
        <f t="shared" si="7"/>
        <v xml:space="preserve"> </v>
      </c>
      <c r="L172" s="15" t="str" cm="1">
        <f t="array" ref="L172">IFERROR(ROUND(_FV(B172,"Change (%)",TRUE),3) &amp; "%"," ")</f>
        <v xml:space="preserve"> </v>
      </c>
    </row>
    <row r="173" spans="1:12" x14ac:dyDescent="0.25">
      <c r="A173" s="19"/>
      <c r="C173" s="10" t="str" cm="1">
        <f t="array" ref="C173">IFERROR(_FV(FundManager[[#This Row],[Name]],"Ticker symbol",TRUE)," ")</f>
        <v xml:space="preserve"> </v>
      </c>
      <c r="E173" s="13"/>
      <c r="F173" s="13" t="str" cm="1">
        <f t="array" ref="F173">IFERROR(_FV(B173,"Price")," ")</f>
        <v xml:space="preserve"> </v>
      </c>
      <c r="G173" s="10" t="str">
        <f t="shared" si="6"/>
        <v xml:space="preserve"> </v>
      </c>
      <c r="H173" s="13"/>
      <c r="I173" s="24"/>
      <c r="J173" s="13">
        <f>IFERROR(FundManager[[#This Row],[Current Value]]-FundManager[[#This Row],[Amount Invested]]," ")</f>
        <v>0</v>
      </c>
      <c r="K173" s="14" t="str">
        <f t="shared" si="7"/>
        <v xml:space="preserve"> </v>
      </c>
      <c r="L173" s="15" t="str" cm="1">
        <f t="array" ref="L173">IFERROR(ROUND(_FV(B173,"Change (%)",TRUE),3) &amp; "%"," ")</f>
        <v xml:space="preserve"> </v>
      </c>
    </row>
    <row r="174" spans="1:12" x14ac:dyDescent="0.25">
      <c r="A174" s="19"/>
      <c r="C174" s="10" t="str" cm="1">
        <f t="array" ref="C174">IFERROR(_FV(FundManager[[#This Row],[Name]],"Ticker symbol",TRUE)," ")</f>
        <v xml:space="preserve"> </v>
      </c>
      <c r="E174" s="13"/>
      <c r="F174" s="13" t="str" cm="1">
        <f t="array" ref="F174">IFERROR(_FV(B174,"Price")," ")</f>
        <v xml:space="preserve"> </v>
      </c>
      <c r="G174" s="10" t="str">
        <f t="shared" si="6"/>
        <v xml:space="preserve"> </v>
      </c>
      <c r="H174" s="13"/>
      <c r="I174" s="24"/>
      <c r="J174" s="13">
        <f>IFERROR(FundManager[[#This Row],[Current Value]]-FundManager[[#This Row],[Amount Invested]]," ")</f>
        <v>0</v>
      </c>
      <c r="K174" s="14" t="str">
        <f t="shared" si="7"/>
        <v xml:space="preserve"> </v>
      </c>
      <c r="L174" s="15" t="str" cm="1">
        <f t="array" ref="L174">IFERROR(ROUND(_FV(B174,"Change (%)",TRUE),3) &amp; "%"," ")</f>
        <v xml:space="preserve"> </v>
      </c>
    </row>
    <row r="175" spans="1:12" x14ac:dyDescent="0.25">
      <c r="A175" s="19"/>
      <c r="C175" s="10" t="str" cm="1">
        <f t="array" ref="C175">IFERROR(_FV(FundManager[[#This Row],[Name]],"Ticker symbol",TRUE)," ")</f>
        <v xml:space="preserve"> </v>
      </c>
      <c r="E175" s="13"/>
      <c r="F175" s="13" t="str" cm="1">
        <f t="array" ref="F175">IFERROR(_FV(B175,"Price")," ")</f>
        <v xml:space="preserve"> </v>
      </c>
      <c r="G175" s="10" t="str">
        <f t="shared" si="6"/>
        <v xml:space="preserve"> </v>
      </c>
      <c r="H175" s="13"/>
      <c r="I175" s="24"/>
      <c r="J175" s="13">
        <f>IFERROR(FundManager[[#This Row],[Current Value]]-FundManager[[#This Row],[Amount Invested]]," ")</f>
        <v>0</v>
      </c>
      <c r="K175" s="14" t="str">
        <f t="shared" si="7"/>
        <v xml:space="preserve"> </v>
      </c>
      <c r="L175" s="15" t="str" cm="1">
        <f t="array" ref="L175">IFERROR(ROUND(_FV(B175,"Change (%)",TRUE),3) &amp; "%"," ")</f>
        <v xml:space="preserve"> </v>
      </c>
    </row>
    <row r="176" spans="1:12" x14ac:dyDescent="0.25">
      <c r="A176" s="19"/>
      <c r="C176" s="10" t="str" cm="1">
        <f t="array" ref="C176">IFERROR(_FV(FundManager[[#This Row],[Name]],"Ticker symbol",TRUE)," ")</f>
        <v xml:space="preserve"> </v>
      </c>
      <c r="E176" s="13"/>
      <c r="F176" s="13" t="str" cm="1">
        <f t="array" ref="F176">IFERROR(_FV(B176,"Price")," ")</f>
        <v xml:space="preserve"> </v>
      </c>
      <c r="G176" s="10" t="str">
        <f t="shared" si="6"/>
        <v xml:space="preserve"> </v>
      </c>
      <c r="H176" s="13"/>
      <c r="I176" s="24"/>
      <c r="J176" s="13">
        <f>IFERROR(FundManager[[#This Row],[Current Value]]-FundManager[[#This Row],[Amount Invested]]," ")</f>
        <v>0</v>
      </c>
      <c r="K176" s="14" t="str">
        <f t="shared" si="7"/>
        <v xml:space="preserve"> </v>
      </c>
      <c r="L176" s="15" t="str" cm="1">
        <f t="array" ref="L176">IFERROR(ROUND(_FV(B176,"Change (%)",TRUE),3) &amp; "%"," ")</f>
        <v xml:space="preserve"> </v>
      </c>
    </row>
    <row r="177" spans="1:12" x14ac:dyDescent="0.25">
      <c r="A177" s="19"/>
      <c r="C177" s="10" t="str" cm="1">
        <f t="array" ref="C177">IFERROR(_FV(FundManager[[#This Row],[Name]],"Ticker symbol",TRUE)," ")</f>
        <v xml:space="preserve"> </v>
      </c>
      <c r="E177" s="13"/>
      <c r="F177" s="13" t="str" cm="1">
        <f t="array" ref="F177">IFERROR(_FV(B177,"Price")," ")</f>
        <v xml:space="preserve"> </v>
      </c>
      <c r="G177" s="10" t="str">
        <f t="shared" si="6"/>
        <v xml:space="preserve"> </v>
      </c>
      <c r="H177" s="13"/>
      <c r="I177" s="24"/>
      <c r="J177" s="13">
        <f>IFERROR(FundManager[[#This Row],[Current Value]]-FundManager[[#This Row],[Amount Invested]]," ")</f>
        <v>0</v>
      </c>
      <c r="K177" s="14" t="str">
        <f t="shared" si="7"/>
        <v xml:space="preserve"> </v>
      </c>
      <c r="L177" s="15" t="str" cm="1">
        <f t="array" ref="L177">IFERROR(ROUND(_FV(B177,"Change (%)",TRUE),3) &amp; "%"," ")</f>
        <v xml:space="preserve"> </v>
      </c>
    </row>
    <row r="178" spans="1:12" x14ac:dyDescent="0.25">
      <c r="A178" s="19"/>
      <c r="C178" s="10" t="str" cm="1">
        <f t="array" ref="C178">IFERROR(_FV(FundManager[[#This Row],[Name]],"Ticker symbol",TRUE)," ")</f>
        <v xml:space="preserve"> </v>
      </c>
      <c r="E178" s="13"/>
      <c r="F178" s="13" t="str" cm="1">
        <f t="array" ref="F178">IFERROR(_FV(B178,"Price")," ")</f>
        <v xml:space="preserve"> </v>
      </c>
      <c r="G178" s="10" t="str">
        <f t="shared" si="6"/>
        <v xml:space="preserve"> </v>
      </c>
      <c r="H178" s="13"/>
      <c r="I178" s="24"/>
      <c r="J178" s="13">
        <f>IFERROR(FundManager[[#This Row],[Current Value]]-FundManager[[#This Row],[Amount Invested]]," ")</f>
        <v>0</v>
      </c>
      <c r="K178" s="14" t="str">
        <f t="shared" si="7"/>
        <v xml:space="preserve"> </v>
      </c>
      <c r="L178" s="15" t="str" cm="1">
        <f t="array" ref="L178">IFERROR(ROUND(_FV(B178,"Change (%)",TRUE),3) &amp; "%"," ")</f>
        <v xml:space="preserve"> </v>
      </c>
    </row>
    <row r="179" spans="1:12" x14ac:dyDescent="0.25">
      <c r="A179" s="19"/>
      <c r="C179" s="10" t="str" cm="1">
        <f t="array" ref="C179">IFERROR(_FV(FundManager[[#This Row],[Name]],"Ticker symbol",TRUE)," ")</f>
        <v xml:space="preserve"> </v>
      </c>
      <c r="E179" s="13"/>
      <c r="F179" s="13" t="str" cm="1">
        <f t="array" ref="F179">IFERROR(_FV(B179,"Price")," ")</f>
        <v xml:space="preserve"> </v>
      </c>
      <c r="G179" s="10" t="str">
        <f t="shared" si="6"/>
        <v xml:space="preserve"> </v>
      </c>
      <c r="H179" s="13"/>
      <c r="I179" s="24"/>
      <c r="J179" s="13">
        <f>IFERROR(FundManager[[#This Row],[Current Value]]-FundManager[[#This Row],[Amount Invested]]," ")</f>
        <v>0</v>
      </c>
      <c r="K179" s="14" t="str">
        <f t="shared" si="7"/>
        <v xml:space="preserve"> </v>
      </c>
      <c r="L179" s="15" t="str" cm="1">
        <f t="array" ref="L179">IFERROR(ROUND(_FV(B179,"Change (%)",TRUE),3) &amp; "%"," ")</f>
        <v xml:space="preserve"> </v>
      </c>
    </row>
    <row r="180" spans="1:12" x14ac:dyDescent="0.25">
      <c r="A180" s="19"/>
      <c r="C180" s="10" t="str" cm="1">
        <f t="array" ref="C180">IFERROR(_FV(FundManager[[#This Row],[Name]],"Ticker symbol",TRUE)," ")</f>
        <v xml:space="preserve"> </v>
      </c>
      <c r="E180" s="13"/>
      <c r="F180" s="13" t="str" cm="1">
        <f t="array" ref="F180">IFERROR(_FV(B180,"Price")," ")</f>
        <v xml:space="preserve"> </v>
      </c>
      <c r="G180" s="10" t="str">
        <f t="shared" si="6"/>
        <v xml:space="preserve"> </v>
      </c>
      <c r="H180" s="13"/>
      <c r="I180" s="24"/>
      <c r="J180" s="13">
        <f>IFERROR(FundManager[[#This Row],[Current Value]]-FundManager[[#This Row],[Amount Invested]]," ")</f>
        <v>0</v>
      </c>
      <c r="K180" s="14" t="str">
        <f t="shared" si="7"/>
        <v xml:space="preserve"> </v>
      </c>
      <c r="L180" s="15" t="str" cm="1">
        <f t="array" ref="L180">IFERROR(ROUND(_FV(B180,"Change (%)",TRUE),3) &amp; "%"," ")</f>
        <v xml:space="preserve"> </v>
      </c>
    </row>
    <row r="181" spans="1:12" x14ac:dyDescent="0.25">
      <c r="A181" s="19"/>
      <c r="C181" s="10" t="str" cm="1">
        <f t="array" ref="C181">IFERROR(_FV(FundManager[[#This Row],[Name]],"Ticker symbol",TRUE)," ")</f>
        <v xml:space="preserve"> </v>
      </c>
      <c r="E181" s="13"/>
      <c r="F181" s="13" t="str" cm="1">
        <f t="array" ref="F181">IFERROR(_FV(B181,"Price")," ")</f>
        <v xml:space="preserve"> </v>
      </c>
      <c r="G181" s="10" t="str">
        <f t="shared" si="6"/>
        <v xml:space="preserve"> </v>
      </c>
      <c r="H181" s="13"/>
      <c r="I181" s="24"/>
      <c r="J181" s="13">
        <f>IFERROR(FundManager[[#This Row],[Current Value]]-FundManager[[#This Row],[Amount Invested]]," ")</f>
        <v>0</v>
      </c>
      <c r="K181" s="14" t="str">
        <f t="shared" si="7"/>
        <v xml:space="preserve"> </v>
      </c>
      <c r="L181" s="15" t="str" cm="1">
        <f t="array" ref="L181">IFERROR(ROUND(_FV(B181,"Change (%)",TRUE),3) &amp; "%"," ")</f>
        <v xml:space="preserve"> </v>
      </c>
    </row>
    <row r="182" spans="1:12" x14ac:dyDescent="0.25">
      <c r="A182" s="19"/>
      <c r="C182" s="10" t="str" cm="1">
        <f t="array" ref="C182">IFERROR(_FV(FundManager[[#This Row],[Name]],"Ticker symbol",TRUE)," ")</f>
        <v xml:space="preserve"> </v>
      </c>
      <c r="E182" s="13"/>
      <c r="F182" s="13" t="str" cm="1">
        <f t="array" ref="F182">IFERROR(_FV(B182,"Price")," ")</f>
        <v xml:space="preserve"> </v>
      </c>
      <c r="G182" s="10" t="str">
        <f t="shared" si="6"/>
        <v xml:space="preserve"> </v>
      </c>
      <c r="H182" s="13"/>
      <c r="I182" s="24"/>
      <c r="J182" s="13">
        <f>IFERROR(FundManager[[#This Row],[Current Value]]-FundManager[[#This Row],[Amount Invested]]," ")</f>
        <v>0</v>
      </c>
      <c r="K182" s="14" t="str">
        <f t="shared" si="7"/>
        <v xml:space="preserve"> </v>
      </c>
      <c r="L182" s="15" t="str" cm="1">
        <f t="array" ref="L182">IFERROR(ROUND(_FV(B182,"Change (%)",TRUE),3) &amp; "%"," ")</f>
        <v xml:space="preserve"> </v>
      </c>
    </row>
    <row r="183" spans="1:12" x14ac:dyDescent="0.25">
      <c r="A183" s="19"/>
      <c r="C183" s="10" t="str" cm="1">
        <f t="array" ref="C183">IFERROR(_FV(FundManager[[#This Row],[Name]],"Ticker symbol",TRUE)," ")</f>
        <v xml:space="preserve"> </v>
      </c>
      <c r="E183" s="13"/>
      <c r="F183" s="13" t="str" cm="1">
        <f t="array" ref="F183">IFERROR(_FV(B183,"Price")," ")</f>
        <v xml:space="preserve"> </v>
      </c>
      <c r="G183" s="10" t="str">
        <f t="shared" si="6"/>
        <v xml:space="preserve"> </v>
      </c>
      <c r="H183" s="13"/>
      <c r="I183" s="24"/>
      <c r="J183" s="13">
        <f>IFERROR(FundManager[[#This Row],[Current Value]]-FundManager[[#This Row],[Amount Invested]]," ")</f>
        <v>0</v>
      </c>
      <c r="K183" s="14" t="str">
        <f t="shared" si="7"/>
        <v xml:space="preserve"> </v>
      </c>
      <c r="L183" s="15" t="str" cm="1">
        <f t="array" ref="L183">IFERROR(ROUND(_FV(B183,"Change (%)",TRUE),3) &amp; "%"," ")</f>
        <v xml:space="preserve"> </v>
      </c>
    </row>
    <row r="184" spans="1:12" x14ac:dyDescent="0.25">
      <c r="A184" s="19"/>
      <c r="C184" s="10" t="str" cm="1">
        <f t="array" ref="C184">IFERROR(_FV(FundManager[[#This Row],[Name]],"Ticker symbol",TRUE)," ")</f>
        <v xml:space="preserve"> </v>
      </c>
      <c r="E184" s="13"/>
      <c r="F184" s="13" t="str" cm="1">
        <f t="array" ref="F184">IFERROR(_FV(B184,"Price")," ")</f>
        <v xml:space="preserve"> </v>
      </c>
      <c r="G184" s="10" t="str">
        <f t="shared" si="6"/>
        <v xml:space="preserve"> </v>
      </c>
      <c r="H184" s="13"/>
      <c r="I184" s="24"/>
      <c r="J184" s="13">
        <f>IFERROR(FundManager[[#This Row],[Current Value]]-FundManager[[#This Row],[Amount Invested]]," ")</f>
        <v>0</v>
      </c>
      <c r="K184" s="14" t="str">
        <f t="shared" si="7"/>
        <v xml:space="preserve"> </v>
      </c>
      <c r="L184" s="15" t="str" cm="1">
        <f t="array" ref="L184">IFERROR(ROUND(_FV(B184,"Change (%)",TRUE),3) &amp; "%"," ")</f>
        <v xml:space="preserve"> </v>
      </c>
    </row>
    <row r="185" spans="1:12" x14ac:dyDescent="0.25">
      <c r="A185" s="19"/>
      <c r="C185" s="10" t="str" cm="1">
        <f t="array" ref="C185">IFERROR(_FV(FundManager[[#This Row],[Name]],"Ticker symbol",TRUE)," ")</f>
        <v xml:space="preserve"> </v>
      </c>
      <c r="E185" s="13"/>
      <c r="F185" s="13" t="str" cm="1">
        <f t="array" ref="F185">IFERROR(_FV(B185,"Price")," ")</f>
        <v xml:space="preserve"> </v>
      </c>
      <c r="G185" s="10" t="str">
        <f t="shared" si="6"/>
        <v xml:space="preserve"> </v>
      </c>
      <c r="H185" s="13"/>
      <c r="I185" s="24"/>
      <c r="J185" s="13">
        <f>IFERROR(FundManager[[#This Row],[Current Value]]-FundManager[[#This Row],[Amount Invested]]," ")</f>
        <v>0</v>
      </c>
      <c r="K185" s="14" t="str">
        <f t="shared" si="7"/>
        <v xml:space="preserve"> </v>
      </c>
      <c r="L185" s="15" t="str" cm="1">
        <f t="array" ref="L185">IFERROR(ROUND(_FV(B185,"Change (%)",TRUE),3) &amp; "%"," ")</f>
        <v xml:space="preserve"> </v>
      </c>
    </row>
    <row r="186" spans="1:12" x14ac:dyDescent="0.25">
      <c r="A186" s="19"/>
      <c r="C186" s="10" t="str" cm="1">
        <f t="array" ref="C186">IFERROR(_FV(FundManager[[#This Row],[Name]],"Ticker symbol",TRUE)," ")</f>
        <v xml:space="preserve"> </v>
      </c>
      <c r="E186" s="13"/>
      <c r="F186" s="13" t="str" cm="1">
        <f t="array" ref="F186">IFERROR(_FV(B186,"Price")," ")</f>
        <v xml:space="preserve"> </v>
      </c>
      <c r="G186" s="10" t="str">
        <f t="shared" si="6"/>
        <v xml:space="preserve"> </v>
      </c>
      <c r="H186" s="13"/>
      <c r="I186" s="24"/>
      <c r="J186" s="13">
        <f>IFERROR(FundManager[[#This Row],[Current Value]]-FundManager[[#This Row],[Amount Invested]]," ")</f>
        <v>0</v>
      </c>
      <c r="K186" s="14" t="str">
        <f t="shared" si="7"/>
        <v xml:space="preserve"> </v>
      </c>
      <c r="L186" s="15" t="str" cm="1">
        <f t="array" ref="L186">IFERROR(ROUND(_FV(B186,"Change (%)",TRUE),3) &amp; "%"," ")</f>
        <v xml:space="preserve"> </v>
      </c>
    </row>
    <row r="187" spans="1:12" x14ac:dyDescent="0.25">
      <c r="A187" s="19"/>
      <c r="C187" s="10" t="str" cm="1">
        <f t="array" ref="C187">IFERROR(_FV(FundManager[[#This Row],[Name]],"Ticker symbol",TRUE)," ")</f>
        <v xml:space="preserve"> </v>
      </c>
      <c r="E187" s="13"/>
      <c r="F187" s="13" t="str" cm="1">
        <f t="array" ref="F187">IFERROR(_FV(B187,"Price")," ")</f>
        <v xml:space="preserve"> </v>
      </c>
      <c r="G187" s="10" t="str">
        <f t="shared" si="6"/>
        <v xml:space="preserve"> </v>
      </c>
      <c r="H187" s="13"/>
      <c r="I187" s="24"/>
      <c r="J187" s="13">
        <f>IFERROR(FundManager[[#This Row],[Current Value]]-FundManager[[#This Row],[Amount Invested]]," ")</f>
        <v>0</v>
      </c>
      <c r="K187" s="14" t="str">
        <f t="shared" si="7"/>
        <v xml:space="preserve"> </v>
      </c>
      <c r="L187" s="15" t="str" cm="1">
        <f t="array" ref="L187">IFERROR(ROUND(_FV(B187,"Change (%)",TRUE),3) &amp; "%"," ")</f>
        <v xml:space="preserve"> </v>
      </c>
    </row>
    <row r="188" spans="1:12" x14ac:dyDescent="0.25">
      <c r="A188" s="19"/>
      <c r="C188" s="10" t="str" cm="1">
        <f t="array" ref="C188">IFERROR(_FV(FundManager[[#This Row],[Name]],"Ticker symbol",TRUE)," ")</f>
        <v xml:space="preserve"> </v>
      </c>
      <c r="E188" s="13"/>
      <c r="F188" s="13" t="str" cm="1">
        <f t="array" ref="F188">IFERROR(_FV(B188,"Price")," ")</f>
        <v xml:space="preserve"> </v>
      </c>
      <c r="G188" s="10" t="str">
        <f t="shared" si="6"/>
        <v xml:space="preserve"> </v>
      </c>
      <c r="H188" s="13"/>
      <c r="I188" s="24"/>
      <c r="J188" s="13">
        <f>IFERROR(FundManager[[#This Row],[Current Value]]-FundManager[[#This Row],[Amount Invested]]," ")</f>
        <v>0</v>
      </c>
      <c r="K188" s="14" t="str">
        <f t="shared" si="7"/>
        <v xml:space="preserve"> </v>
      </c>
      <c r="L188" s="15" t="str" cm="1">
        <f t="array" ref="L188">IFERROR(ROUND(_FV(B188,"Change (%)",TRUE),3) &amp; "%"," ")</f>
        <v xml:space="preserve"> </v>
      </c>
    </row>
    <row r="189" spans="1:12" x14ac:dyDescent="0.25">
      <c r="A189" s="19"/>
      <c r="C189" s="10" t="str" cm="1">
        <f t="array" ref="C189">IFERROR(_FV(FundManager[[#This Row],[Name]],"Ticker symbol",TRUE)," ")</f>
        <v xml:space="preserve"> </v>
      </c>
      <c r="E189" s="13"/>
      <c r="F189" s="13" t="str" cm="1">
        <f t="array" ref="F189">IFERROR(_FV(B189,"Price")," ")</f>
        <v xml:space="preserve"> </v>
      </c>
      <c r="G189" s="10" t="str">
        <f t="shared" si="6"/>
        <v xml:space="preserve"> </v>
      </c>
      <c r="H189" s="13"/>
      <c r="I189" s="24"/>
      <c r="J189" s="13">
        <f>IFERROR(FundManager[[#This Row],[Current Value]]-FundManager[[#This Row],[Amount Invested]]," ")</f>
        <v>0</v>
      </c>
      <c r="K189" s="14" t="str">
        <f t="shared" si="7"/>
        <v xml:space="preserve"> </v>
      </c>
      <c r="L189" s="15" t="str" cm="1">
        <f t="array" ref="L189">IFERROR(ROUND(_FV(B189,"Change (%)",TRUE),3) &amp; "%"," ")</f>
        <v xml:space="preserve"> </v>
      </c>
    </row>
    <row r="190" spans="1:12" x14ac:dyDescent="0.25">
      <c r="A190" s="19"/>
      <c r="C190" s="10" t="str" cm="1">
        <f t="array" ref="C190">IFERROR(_FV(FundManager[[#This Row],[Name]],"Ticker symbol",TRUE)," ")</f>
        <v xml:space="preserve"> </v>
      </c>
      <c r="E190" s="13"/>
      <c r="F190" s="13" t="str" cm="1">
        <f t="array" ref="F190">IFERROR(_FV(B190,"Price")," ")</f>
        <v xml:space="preserve"> </v>
      </c>
      <c r="G190" s="10" t="str">
        <f t="shared" si="6"/>
        <v xml:space="preserve"> </v>
      </c>
      <c r="H190" s="13"/>
      <c r="I190" s="24"/>
      <c r="J190" s="13">
        <f>IFERROR(FundManager[[#This Row],[Current Value]]-FundManager[[#This Row],[Amount Invested]]," ")</f>
        <v>0</v>
      </c>
      <c r="K190" s="14" t="str">
        <f t="shared" si="7"/>
        <v xml:space="preserve"> </v>
      </c>
      <c r="L190" s="15" t="str" cm="1">
        <f t="array" ref="L190">IFERROR(ROUND(_FV(B190,"Change (%)",TRUE),3) &amp; "%"," ")</f>
        <v xml:space="preserve"> </v>
      </c>
    </row>
    <row r="191" spans="1:12" x14ac:dyDescent="0.25">
      <c r="A191" s="19"/>
      <c r="C191" s="10" t="str" cm="1">
        <f t="array" ref="C191">IFERROR(_FV(FundManager[[#This Row],[Name]],"Ticker symbol",TRUE)," ")</f>
        <v xml:space="preserve"> </v>
      </c>
      <c r="E191" s="13"/>
      <c r="F191" s="13" t="str" cm="1">
        <f t="array" ref="F191">IFERROR(_FV(B191,"Price")," ")</f>
        <v xml:space="preserve"> </v>
      </c>
      <c r="G191" s="10" t="str">
        <f t="shared" si="6"/>
        <v xml:space="preserve"> </v>
      </c>
      <c r="H191" s="13"/>
      <c r="I191" s="24"/>
      <c r="J191" s="13">
        <f>IFERROR(FundManager[[#This Row],[Current Value]]-FundManager[[#This Row],[Amount Invested]]," ")</f>
        <v>0</v>
      </c>
      <c r="K191" s="14" t="str">
        <f t="shared" si="7"/>
        <v xml:space="preserve"> </v>
      </c>
      <c r="L191" s="15" t="str" cm="1">
        <f t="array" ref="L191">IFERROR(ROUND(_FV(B191,"Change (%)",TRUE),3) &amp; "%"," ")</f>
        <v xml:space="preserve"> </v>
      </c>
    </row>
    <row r="192" spans="1:12" x14ac:dyDescent="0.25">
      <c r="A192" s="19"/>
      <c r="C192" s="10" t="str" cm="1">
        <f t="array" ref="C192">IFERROR(_FV(FundManager[[#This Row],[Name]],"Ticker symbol",TRUE)," ")</f>
        <v xml:space="preserve"> </v>
      </c>
      <c r="E192" s="13"/>
      <c r="F192" s="13" t="str" cm="1">
        <f t="array" ref="F192">IFERROR(_FV(B192,"Price")," ")</f>
        <v xml:space="preserve"> </v>
      </c>
      <c r="G192" s="10" t="str">
        <f t="shared" si="6"/>
        <v xml:space="preserve"> </v>
      </c>
      <c r="H192" s="13"/>
      <c r="I192" s="24"/>
      <c r="J192" s="13">
        <f>IFERROR(FundManager[[#This Row],[Current Value]]-FundManager[[#This Row],[Amount Invested]]," ")</f>
        <v>0</v>
      </c>
      <c r="K192" s="14" t="str">
        <f t="shared" si="7"/>
        <v xml:space="preserve"> </v>
      </c>
      <c r="L192" s="15" t="str" cm="1">
        <f t="array" ref="L192">IFERROR(ROUND(_FV(B192,"Change (%)",TRUE),3) &amp; "%"," ")</f>
        <v xml:space="preserve"> </v>
      </c>
    </row>
    <row r="193" spans="1:12" x14ac:dyDescent="0.25">
      <c r="A193" s="19"/>
      <c r="C193" s="10" t="str" cm="1">
        <f t="array" ref="C193">IFERROR(_FV(FundManager[[#This Row],[Name]],"Ticker symbol",TRUE)," ")</f>
        <v xml:space="preserve"> </v>
      </c>
      <c r="E193" s="13"/>
      <c r="F193" s="13" t="str" cm="1">
        <f t="array" ref="F193">IFERROR(_FV(B193,"Price")," ")</f>
        <v xml:space="preserve"> </v>
      </c>
      <c r="G193" s="10" t="str">
        <f t="shared" si="6"/>
        <v xml:space="preserve"> </v>
      </c>
      <c r="H193" s="13"/>
      <c r="I193" s="24"/>
      <c r="J193" s="13">
        <f>IFERROR(FundManager[[#This Row],[Current Value]]-FundManager[[#This Row],[Amount Invested]]," ")</f>
        <v>0</v>
      </c>
      <c r="K193" s="14" t="str">
        <f t="shared" si="7"/>
        <v xml:space="preserve"> </v>
      </c>
      <c r="L193" s="15" t="str" cm="1">
        <f t="array" ref="L193">IFERROR(ROUND(_FV(B193,"Change (%)",TRUE),3) &amp; "%"," ")</f>
        <v xml:space="preserve"> </v>
      </c>
    </row>
    <row r="194" spans="1:12" x14ac:dyDescent="0.25">
      <c r="A194" s="19"/>
      <c r="C194" s="10" t="str" cm="1">
        <f t="array" ref="C194">IFERROR(_FV(FundManager[[#This Row],[Name]],"Ticker symbol",TRUE)," ")</f>
        <v xml:space="preserve"> </v>
      </c>
      <c r="E194" s="13"/>
      <c r="F194" s="13" t="str" cm="1">
        <f t="array" ref="F194">IFERROR(_FV(B194,"Price")," ")</f>
        <v xml:space="preserve"> </v>
      </c>
      <c r="G194" s="10" t="str">
        <f t="shared" si="6"/>
        <v xml:space="preserve"> </v>
      </c>
      <c r="H194" s="13"/>
      <c r="I194" s="24"/>
      <c r="J194" s="13">
        <f>IFERROR(FundManager[[#This Row],[Current Value]]-FundManager[[#This Row],[Amount Invested]]," ")</f>
        <v>0</v>
      </c>
      <c r="K194" s="14" t="str">
        <f t="shared" si="7"/>
        <v xml:space="preserve"> </v>
      </c>
      <c r="L194" s="15" t="str" cm="1">
        <f t="array" ref="L194">IFERROR(ROUND(_FV(B194,"Change (%)",TRUE),3) &amp; "%"," ")</f>
        <v xml:space="preserve"> </v>
      </c>
    </row>
    <row r="195" spans="1:12" x14ac:dyDescent="0.25">
      <c r="A195" s="19"/>
      <c r="C195" s="10" t="str" cm="1">
        <f t="array" ref="C195">IFERROR(_FV(FundManager[[#This Row],[Name]],"Ticker symbol",TRUE)," ")</f>
        <v xml:space="preserve"> </v>
      </c>
      <c r="E195" s="13"/>
      <c r="F195" s="13" t="str" cm="1">
        <f t="array" ref="F195">IFERROR(_FV(B195,"Price")," ")</f>
        <v xml:space="preserve"> </v>
      </c>
      <c r="G195" s="10" t="str">
        <f t="shared" si="6"/>
        <v xml:space="preserve"> </v>
      </c>
      <c r="H195" s="13"/>
      <c r="I195" s="24"/>
      <c r="J195" s="13">
        <f>IFERROR(FundManager[[#This Row],[Current Value]]-FundManager[[#This Row],[Amount Invested]]," ")</f>
        <v>0</v>
      </c>
      <c r="K195" s="14" t="str">
        <f t="shared" si="7"/>
        <v xml:space="preserve"> </v>
      </c>
      <c r="L195" s="15" t="str" cm="1">
        <f t="array" ref="L195">IFERROR(ROUND(_FV(B195,"Change (%)",TRUE),3) &amp; "%"," ")</f>
        <v xml:space="preserve"> </v>
      </c>
    </row>
    <row r="196" spans="1:12" x14ac:dyDescent="0.25">
      <c r="A196" s="19"/>
      <c r="C196" s="10" t="str" cm="1">
        <f t="array" ref="C196">IFERROR(_FV(FundManager[[#This Row],[Name]],"Ticker symbol",TRUE)," ")</f>
        <v xml:space="preserve"> </v>
      </c>
      <c r="E196" s="13"/>
      <c r="F196" s="13" t="str" cm="1">
        <f t="array" ref="F196">IFERROR(_FV(B196,"Price")," ")</f>
        <v xml:space="preserve"> </v>
      </c>
      <c r="G196" s="10" t="str">
        <f t="shared" si="6"/>
        <v xml:space="preserve"> </v>
      </c>
      <c r="H196" s="13"/>
      <c r="I196" s="24"/>
      <c r="J196" s="13">
        <f>IFERROR(FundManager[[#This Row],[Current Value]]-FundManager[[#This Row],[Amount Invested]]," ")</f>
        <v>0</v>
      </c>
      <c r="K196" s="14" t="str">
        <f t="shared" si="7"/>
        <v xml:space="preserve"> </v>
      </c>
      <c r="L196" s="15" t="str" cm="1">
        <f t="array" ref="L196">IFERROR(ROUND(_FV(B196,"Change (%)",TRUE),3) &amp; "%"," ")</f>
        <v xml:space="preserve"> </v>
      </c>
    </row>
    <row r="197" spans="1:12" x14ac:dyDescent="0.25">
      <c r="A197" s="19"/>
      <c r="C197" s="10" t="str" cm="1">
        <f t="array" ref="C197">IFERROR(_FV(FundManager[[#This Row],[Name]],"Ticker symbol",TRUE)," ")</f>
        <v xml:space="preserve"> </v>
      </c>
      <c r="E197" s="13"/>
      <c r="F197" s="13" t="str" cm="1">
        <f t="array" ref="F197">IFERROR(_FV(B197,"Price")," ")</f>
        <v xml:space="preserve"> </v>
      </c>
      <c r="G197" s="10" t="str">
        <f t="shared" si="6"/>
        <v xml:space="preserve"> </v>
      </c>
      <c r="H197" s="13"/>
      <c r="I197" s="24"/>
      <c r="J197" s="13">
        <f>IFERROR(FundManager[[#This Row],[Current Value]]-FundManager[[#This Row],[Amount Invested]]," ")</f>
        <v>0</v>
      </c>
      <c r="K197" s="14" t="str">
        <f t="shared" si="7"/>
        <v xml:space="preserve"> </v>
      </c>
      <c r="L197" s="15" t="str" cm="1">
        <f t="array" ref="L197">IFERROR(ROUND(_FV(B197,"Change (%)",TRUE),3) &amp; "%"," ")</f>
        <v xml:space="preserve"> </v>
      </c>
    </row>
    <row r="198" spans="1:12" x14ac:dyDescent="0.25">
      <c r="A198" s="19"/>
      <c r="C198" s="10" t="str" cm="1">
        <f t="array" ref="C198">IFERROR(_FV(FundManager[[#This Row],[Name]],"Ticker symbol",TRUE)," ")</f>
        <v xml:space="preserve"> </v>
      </c>
      <c r="E198" s="13"/>
      <c r="F198" s="13" t="str" cm="1">
        <f t="array" ref="F198">IFERROR(_FV(B198,"Price")," ")</f>
        <v xml:space="preserve"> </v>
      </c>
      <c r="G198" s="10" t="str">
        <f t="shared" si="6"/>
        <v xml:space="preserve"> </v>
      </c>
      <c r="H198" s="13"/>
      <c r="I198" s="24"/>
      <c r="J198" s="13">
        <f>IFERROR(FundManager[[#This Row],[Current Value]]-FundManager[[#This Row],[Amount Invested]]," ")</f>
        <v>0</v>
      </c>
      <c r="K198" s="14" t="str">
        <f t="shared" si="7"/>
        <v xml:space="preserve"> </v>
      </c>
      <c r="L198" s="15" t="str" cm="1">
        <f t="array" ref="L198">IFERROR(ROUND(_FV(B198,"Change (%)",TRUE),3) &amp; "%"," ")</f>
        <v xml:space="preserve"> </v>
      </c>
    </row>
    <row r="199" spans="1:12" x14ac:dyDescent="0.25">
      <c r="A199" s="19"/>
      <c r="C199" s="10" t="str" cm="1">
        <f t="array" ref="C199">IFERROR(_FV(FundManager[[#This Row],[Name]],"Ticker symbol",TRUE)," ")</f>
        <v xml:space="preserve"> </v>
      </c>
      <c r="E199" s="13"/>
      <c r="F199" s="13" t="str" cm="1">
        <f t="array" ref="F199">IFERROR(_FV(B199,"Price")," ")</f>
        <v xml:space="preserve"> </v>
      </c>
      <c r="G199" s="10" t="str">
        <f t="shared" si="6"/>
        <v xml:space="preserve"> </v>
      </c>
      <c r="H199" s="13"/>
      <c r="I199" s="24"/>
      <c r="J199" s="13">
        <f>IFERROR(FundManager[[#This Row],[Current Value]]-FundManager[[#This Row],[Amount Invested]]," ")</f>
        <v>0</v>
      </c>
      <c r="K199" s="14" t="str">
        <f t="shared" si="7"/>
        <v xml:space="preserve"> </v>
      </c>
      <c r="L199" s="15" t="str" cm="1">
        <f t="array" ref="L199">IFERROR(ROUND(_FV(B199,"Change (%)",TRUE),3) &amp; "%"," ")</f>
        <v xml:space="preserve"> </v>
      </c>
    </row>
    <row r="200" spans="1:12" x14ac:dyDescent="0.25">
      <c r="A200" s="19"/>
      <c r="C200" s="10" t="str" cm="1">
        <f t="array" ref="C200">IFERROR(_FV(FundManager[[#This Row],[Name]],"Ticker symbol",TRUE)," ")</f>
        <v xml:space="preserve"> </v>
      </c>
      <c r="E200" s="13"/>
      <c r="F200" s="13" t="str" cm="1">
        <f t="array" ref="F200">IFERROR(_FV(B200,"Price")," ")</f>
        <v xml:space="preserve"> </v>
      </c>
      <c r="G200" s="10" t="str">
        <f t="shared" si="6"/>
        <v xml:space="preserve"> </v>
      </c>
      <c r="H200" s="13"/>
      <c r="I200" s="24"/>
      <c r="J200" s="13">
        <f>IFERROR(FundManager[[#This Row],[Current Value]]-FundManager[[#This Row],[Amount Invested]]," ")</f>
        <v>0</v>
      </c>
      <c r="K200" s="14" t="str">
        <f t="shared" si="7"/>
        <v xml:space="preserve"> </v>
      </c>
      <c r="L200" s="15" t="str" cm="1">
        <f t="array" ref="L200">IFERROR(ROUND(_FV(B200,"Change (%)",TRUE),3) &amp; "%"," ")</f>
        <v xml:space="preserve"> </v>
      </c>
    </row>
    <row r="201" spans="1:12" x14ac:dyDescent="0.25">
      <c r="A201" s="19"/>
      <c r="C201" s="10" t="str" cm="1">
        <f t="array" ref="C201">IFERROR(_FV(FundManager[[#This Row],[Name]],"Ticker symbol",TRUE)," ")</f>
        <v xml:space="preserve"> </v>
      </c>
      <c r="E201" s="13"/>
      <c r="F201" s="13" t="str" cm="1">
        <f t="array" ref="F201">IFERROR(_FV(B201,"Price")," ")</f>
        <v xml:space="preserve"> </v>
      </c>
      <c r="G201" s="10" t="str">
        <f t="shared" si="6"/>
        <v xml:space="preserve"> </v>
      </c>
      <c r="H201" s="13"/>
      <c r="I201" s="24"/>
      <c r="J201" s="13">
        <f>IFERROR(FundManager[[#This Row],[Current Value]]-FundManager[[#This Row],[Amount Invested]]," ")</f>
        <v>0</v>
      </c>
      <c r="K201" s="14" t="str">
        <f t="shared" si="7"/>
        <v xml:space="preserve"> </v>
      </c>
      <c r="L201" s="15" t="str" cm="1">
        <f t="array" ref="L201">IFERROR(ROUND(_FV(B201,"Change (%)",TRUE),3) &amp; "%"," ")</f>
        <v xml:space="preserve"> </v>
      </c>
    </row>
    <row r="202" spans="1:12" x14ac:dyDescent="0.25">
      <c r="A202" s="19"/>
      <c r="C202" s="10" t="str" cm="1">
        <f t="array" ref="C202">IFERROR(_FV(FundManager[[#This Row],[Name]],"Ticker symbol",TRUE)," ")</f>
        <v xml:space="preserve"> </v>
      </c>
      <c r="E202" s="13"/>
      <c r="F202" s="13" t="str" cm="1">
        <f t="array" ref="F202">IFERROR(_FV(B202,"Price")," ")</f>
        <v xml:space="preserve"> </v>
      </c>
      <c r="G202" s="10" t="str">
        <f t="shared" si="6"/>
        <v xml:space="preserve"> </v>
      </c>
      <c r="H202" s="13"/>
      <c r="I202" s="24"/>
      <c r="J202" s="13">
        <f>IFERROR(FundManager[[#This Row],[Current Value]]-FundManager[[#This Row],[Amount Invested]]," ")</f>
        <v>0</v>
      </c>
      <c r="K202" s="14" t="str">
        <f t="shared" si="7"/>
        <v xml:space="preserve"> </v>
      </c>
      <c r="L202" s="15" t="str" cm="1">
        <f t="array" ref="L202">IFERROR(ROUND(_FV(B202,"Change (%)",TRUE),3) &amp; "%"," ")</f>
        <v xml:space="preserve"> </v>
      </c>
    </row>
    <row r="203" spans="1:12" x14ac:dyDescent="0.25">
      <c r="A203" s="19"/>
      <c r="C203" s="10" t="str" cm="1">
        <f t="array" ref="C203">IFERROR(_FV(FundManager[[#This Row],[Name]],"Ticker symbol",TRUE)," ")</f>
        <v xml:space="preserve"> </v>
      </c>
      <c r="E203" s="13"/>
      <c r="F203" s="13" t="str" cm="1">
        <f t="array" ref="F203">IFERROR(_FV(B203,"Price")," ")</f>
        <v xml:space="preserve"> </v>
      </c>
      <c r="G203" s="10" t="str">
        <f t="shared" si="6"/>
        <v xml:space="preserve"> </v>
      </c>
      <c r="H203" s="13"/>
      <c r="I203" s="24"/>
      <c r="J203" s="13">
        <f>IFERROR(FundManager[[#This Row],[Current Value]]-FundManager[[#This Row],[Amount Invested]]," ")</f>
        <v>0</v>
      </c>
      <c r="K203" s="14" t="str">
        <f t="shared" si="7"/>
        <v xml:space="preserve"> </v>
      </c>
      <c r="L203" s="15" t="str" cm="1">
        <f t="array" ref="L203">IFERROR(ROUND(_FV(B203,"Change (%)",TRUE),3) &amp; "%"," ")</f>
        <v xml:space="preserve"> </v>
      </c>
    </row>
    <row r="204" spans="1:12" x14ac:dyDescent="0.25">
      <c r="A204" s="19"/>
      <c r="C204" s="10" t="str" cm="1">
        <f t="array" ref="C204">IFERROR(_FV(FundManager[[#This Row],[Name]],"Ticker symbol",TRUE)," ")</f>
        <v xml:space="preserve"> </v>
      </c>
      <c r="E204" s="13"/>
      <c r="F204" s="13" t="str" cm="1">
        <f t="array" ref="F204">IFERROR(_FV(B204,"Price")," ")</f>
        <v xml:space="preserve"> </v>
      </c>
      <c r="G204" s="10" t="str">
        <f t="shared" si="6"/>
        <v xml:space="preserve"> </v>
      </c>
      <c r="H204" s="13"/>
      <c r="I204" s="24"/>
      <c r="J204" s="13">
        <f>IFERROR(FundManager[[#This Row],[Current Value]]-FundManager[[#This Row],[Amount Invested]]," ")</f>
        <v>0</v>
      </c>
      <c r="K204" s="14" t="str">
        <f t="shared" si="7"/>
        <v xml:space="preserve"> </v>
      </c>
      <c r="L204" s="15" t="str" cm="1">
        <f t="array" ref="L204">IFERROR(ROUND(_FV(B204,"Change (%)",TRUE),3) &amp; "%"," ")</f>
        <v xml:space="preserve"> </v>
      </c>
    </row>
    <row r="205" spans="1:12" x14ac:dyDescent="0.25">
      <c r="A205" s="19"/>
      <c r="C205" s="10" t="str" cm="1">
        <f t="array" ref="C205">IFERROR(_FV(FundManager[[#This Row],[Name]],"Ticker symbol",TRUE)," ")</f>
        <v xml:space="preserve"> </v>
      </c>
      <c r="E205" s="13"/>
      <c r="F205" s="13" t="str" cm="1">
        <f t="array" ref="F205">IFERROR(_FV(B205,"Price")," ")</f>
        <v xml:space="preserve"> </v>
      </c>
      <c r="G205" s="10" t="str">
        <f t="shared" si="6"/>
        <v xml:space="preserve"> </v>
      </c>
      <c r="H205" s="13"/>
      <c r="I205" s="24"/>
      <c r="J205" s="13">
        <f>IFERROR(FundManager[[#This Row],[Current Value]]-FundManager[[#This Row],[Amount Invested]]," ")</f>
        <v>0</v>
      </c>
      <c r="K205" s="14" t="str">
        <f t="shared" si="7"/>
        <v xml:space="preserve"> </v>
      </c>
      <c r="L205" s="15" t="str" cm="1">
        <f t="array" ref="L205">IFERROR(ROUND(_FV(B205,"Change (%)",TRUE),3) &amp; "%"," ")</f>
        <v xml:space="preserve"> </v>
      </c>
    </row>
    <row r="206" spans="1:12" x14ac:dyDescent="0.25">
      <c r="A206" s="19"/>
      <c r="C206" s="10" t="str" cm="1">
        <f t="array" ref="C206">IFERROR(_FV(FundManager[[#This Row],[Name]],"Ticker symbol",TRUE)," ")</f>
        <v xml:space="preserve"> </v>
      </c>
      <c r="E206" s="13"/>
      <c r="F206" s="13" t="str" cm="1">
        <f t="array" ref="F206">IFERROR(_FV(B206,"Price")," ")</f>
        <v xml:space="preserve"> </v>
      </c>
      <c r="G206" s="10" t="str">
        <f t="shared" si="6"/>
        <v xml:space="preserve"> </v>
      </c>
      <c r="H206" s="13"/>
      <c r="I206" s="24"/>
      <c r="J206" s="13">
        <f>IFERROR(FundManager[[#This Row],[Current Value]]-FundManager[[#This Row],[Amount Invested]]," ")</f>
        <v>0</v>
      </c>
      <c r="K206" s="14" t="str">
        <f t="shared" si="7"/>
        <v xml:space="preserve"> </v>
      </c>
      <c r="L206" s="15" t="str" cm="1">
        <f t="array" ref="L206">IFERROR(ROUND(_FV(B206,"Change (%)",TRUE),3) &amp; "%"," ")</f>
        <v xml:space="preserve"> </v>
      </c>
    </row>
    <row r="207" spans="1:12" x14ac:dyDescent="0.25">
      <c r="A207" s="19"/>
      <c r="C207" s="10" t="str" cm="1">
        <f t="array" ref="C207">IFERROR(_FV(FundManager[[#This Row],[Name]],"Ticker symbol",TRUE)," ")</f>
        <v xml:space="preserve"> </v>
      </c>
      <c r="E207" s="13"/>
      <c r="F207" s="13" t="str" cm="1">
        <f t="array" ref="F207">IFERROR(_FV(B207,"Price")," ")</f>
        <v xml:space="preserve"> </v>
      </c>
      <c r="G207" s="10" t="str">
        <f t="shared" si="6"/>
        <v xml:space="preserve"> </v>
      </c>
      <c r="H207" s="13"/>
      <c r="I207" s="24"/>
      <c r="J207" s="13">
        <f>IFERROR(FundManager[[#This Row],[Current Value]]-FundManager[[#This Row],[Amount Invested]]," ")</f>
        <v>0</v>
      </c>
      <c r="K207" s="14" t="str">
        <f t="shared" si="7"/>
        <v xml:space="preserve"> </v>
      </c>
      <c r="L207" s="15" t="str" cm="1">
        <f t="array" ref="L207">IFERROR(ROUND(_FV(B207,"Change (%)",TRUE),3) &amp; "%"," ")</f>
        <v xml:space="preserve"> </v>
      </c>
    </row>
    <row r="208" spans="1:12" x14ac:dyDescent="0.25">
      <c r="A208" s="19"/>
      <c r="C208" s="10" t="str" cm="1">
        <f t="array" ref="C208">IFERROR(_FV(FundManager[[#This Row],[Name]],"Ticker symbol",TRUE)," ")</f>
        <v xml:space="preserve"> </v>
      </c>
      <c r="E208" s="13"/>
      <c r="F208" s="13" t="str" cm="1">
        <f t="array" ref="F208">IFERROR(_FV(B208,"Price")," ")</f>
        <v xml:space="preserve"> </v>
      </c>
      <c r="G208" s="10" t="str">
        <f t="shared" si="6"/>
        <v xml:space="preserve"> </v>
      </c>
      <c r="H208" s="13"/>
      <c r="I208" s="24"/>
      <c r="J208" s="13">
        <f>IFERROR(FundManager[[#This Row],[Current Value]]-FundManager[[#This Row],[Amount Invested]]," ")</f>
        <v>0</v>
      </c>
      <c r="K208" s="14" t="str">
        <f t="shared" si="7"/>
        <v xml:space="preserve"> </v>
      </c>
      <c r="L208" s="15" t="str" cm="1">
        <f t="array" ref="L208">IFERROR(ROUND(_FV(B208,"Change (%)",TRUE),3) &amp; "%"," ")</f>
        <v xml:space="preserve"> </v>
      </c>
    </row>
    <row r="209" spans="1:12" x14ac:dyDescent="0.25">
      <c r="A209" s="19"/>
      <c r="C209" s="10" t="str" cm="1">
        <f t="array" ref="C209">IFERROR(_FV(FundManager[[#This Row],[Name]],"Ticker symbol",TRUE)," ")</f>
        <v xml:space="preserve"> </v>
      </c>
      <c r="E209" s="13"/>
      <c r="F209" s="13" t="str" cm="1">
        <f t="array" ref="F209">IFERROR(_FV(B209,"Price")," ")</f>
        <v xml:space="preserve"> </v>
      </c>
      <c r="G209" s="10" t="str">
        <f t="shared" si="6"/>
        <v xml:space="preserve"> </v>
      </c>
      <c r="H209" s="13"/>
      <c r="I209" s="24"/>
      <c r="J209" s="13">
        <f>IFERROR(FundManager[[#This Row],[Current Value]]-FundManager[[#This Row],[Amount Invested]]," ")</f>
        <v>0</v>
      </c>
      <c r="K209" s="14" t="str">
        <f t="shared" si="7"/>
        <v xml:space="preserve"> </v>
      </c>
      <c r="L209" s="15" t="str" cm="1">
        <f t="array" ref="L209">IFERROR(ROUND(_FV(B209,"Change (%)",TRUE),3) &amp; "%"," ")</f>
        <v xml:space="preserve"> </v>
      </c>
    </row>
    <row r="210" spans="1:12" x14ac:dyDescent="0.25">
      <c r="A210" s="19"/>
      <c r="C210" s="10" t="str" cm="1">
        <f t="array" ref="C210">IFERROR(_FV(FundManager[[#This Row],[Name]],"Ticker symbol",TRUE)," ")</f>
        <v xml:space="preserve"> </v>
      </c>
      <c r="E210" s="13"/>
      <c r="F210" s="13" t="str" cm="1">
        <f t="array" ref="F210">IFERROR(_FV(B210,"Price")," ")</f>
        <v xml:space="preserve"> </v>
      </c>
      <c r="G210" s="10" t="str">
        <f t="shared" si="6"/>
        <v xml:space="preserve"> </v>
      </c>
      <c r="H210" s="13"/>
      <c r="I210" s="24"/>
      <c r="J210" s="13">
        <f>IFERROR(FundManager[[#This Row],[Current Value]]-FundManager[[#This Row],[Amount Invested]]," ")</f>
        <v>0</v>
      </c>
      <c r="K210" s="14" t="str">
        <f t="shared" si="7"/>
        <v xml:space="preserve"> </v>
      </c>
      <c r="L210" s="15" t="str" cm="1">
        <f t="array" ref="L210">IFERROR(ROUND(_FV(B210,"Change (%)",TRUE),3) &amp; "%"," ")</f>
        <v xml:space="preserve"> </v>
      </c>
    </row>
    <row r="211" spans="1:12" x14ac:dyDescent="0.25">
      <c r="A211" s="19"/>
      <c r="C211" s="10" t="str" cm="1">
        <f t="array" ref="C211">IFERROR(_FV(FundManager[[#This Row],[Name]],"Ticker symbol",TRUE)," ")</f>
        <v xml:space="preserve"> </v>
      </c>
      <c r="E211" s="13"/>
      <c r="F211" s="13" t="str" cm="1">
        <f t="array" ref="F211">IFERROR(_FV(B211,"Price")," ")</f>
        <v xml:space="preserve"> </v>
      </c>
      <c r="G211" s="10" t="str">
        <f t="shared" si="6"/>
        <v xml:space="preserve"> </v>
      </c>
      <c r="H211" s="13"/>
      <c r="I211" s="24"/>
      <c r="J211" s="13">
        <f>IFERROR(FundManager[[#This Row],[Current Value]]-FundManager[[#This Row],[Amount Invested]]," ")</f>
        <v>0</v>
      </c>
      <c r="K211" s="14" t="str">
        <f t="shared" si="7"/>
        <v xml:space="preserve"> </v>
      </c>
      <c r="L211" s="15" t="str" cm="1">
        <f t="array" ref="L211">IFERROR(ROUND(_FV(B211,"Change (%)",TRUE),3) &amp; "%"," ")</f>
        <v xml:space="preserve"> </v>
      </c>
    </row>
    <row r="212" spans="1:12" x14ac:dyDescent="0.25">
      <c r="A212" s="19"/>
      <c r="C212" s="10" t="str" cm="1">
        <f t="array" ref="C212">IFERROR(_FV(FundManager[[#This Row],[Name]],"Ticker symbol",TRUE)," ")</f>
        <v xml:space="preserve"> </v>
      </c>
      <c r="E212" s="13"/>
      <c r="F212" s="13" t="str" cm="1">
        <f t="array" ref="F212">IFERROR(_FV(B212,"Price")," ")</f>
        <v xml:space="preserve"> </v>
      </c>
      <c r="G212" s="10" t="str">
        <f t="shared" si="6"/>
        <v xml:space="preserve"> </v>
      </c>
      <c r="H212" s="13"/>
      <c r="I212" s="24"/>
      <c r="J212" s="13">
        <f>IFERROR(FundManager[[#This Row],[Current Value]]-FundManager[[#This Row],[Amount Invested]]," ")</f>
        <v>0</v>
      </c>
      <c r="K212" s="14" t="str">
        <f t="shared" si="7"/>
        <v xml:space="preserve"> </v>
      </c>
      <c r="L212" s="15" t="str" cm="1">
        <f t="array" ref="L212">IFERROR(ROUND(_FV(B212,"Change (%)",TRUE),3) &amp; "%"," ")</f>
        <v xml:space="preserve"> </v>
      </c>
    </row>
    <row r="213" spans="1:12" x14ac:dyDescent="0.25">
      <c r="A213" s="19"/>
      <c r="C213" s="10" t="str" cm="1">
        <f t="array" ref="C213">IFERROR(_FV(FundManager[[#This Row],[Name]],"Ticker symbol",TRUE)," ")</f>
        <v xml:space="preserve"> </v>
      </c>
      <c r="E213" s="13"/>
      <c r="F213" s="13" t="str" cm="1">
        <f t="array" ref="F213">IFERROR(_FV(B213,"Price")," ")</f>
        <v xml:space="preserve"> </v>
      </c>
      <c r="G213" s="10" t="str">
        <f t="shared" si="6"/>
        <v xml:space="preserve"> </v>
      </c>
      <c r="H213" s="13"/>
      <c r="I213" s="24"/>
      <c r="J213" s="13">
        <f>IFERROR(FundManager[[#This Row],[Current Value]]-FundManager[[#This Row],[Amount Invested]]," ")</f>
        <v>0</v>
      </c>
      <c r="K213" s="14" t="str">
        <f t="shared" si="7"/>
        <v xml:space="preserve"> </v>
      </c>
      <c r="L213" s="15" t="str" cm="1">
        <f t="array" ref="L213">IFERROR(ROUND(_FV(B213,"Change (%)",TRUE),3) &amp; "%"," ")</f>
        <v xml:space="preserve"> </v>
      </c>
    </row>
    <row r="214" spans="1:12" x14ac:dyDescent="0.25">
      <c r="A214" s="19"/>
      <c r="C214" s="10" t="str" cm="1">
        <f t="array" ref="C214">IFERROR(_FV(FundManager[[#This Row],[Name]],"Ticker symbol",TRUE)," ")</f>
        <v xml:space="preserve"> </v>
      </c>
      <c r="E214" s="13"/>
      <c r="F214" s="13" t="str" cm="1">
        <f t="array" ref="F214">IFERROR(_FV(B214,"Price")," ")</f>
        <v xml:space="preserve"> </v>
      </c>
      <c r="G214" s="10" t="str">
        <f t="shared" si="6"/>
        <v xml:space="preserve"> </v>
      </c>
      <c r="H214" s="13"/>
      <c r="I214" s="24"/>
      <c r="J214" s="13">
        <f>IFERROR(FundManager[[#This Row],[Current Value]]-FundManager[[#This Row],[Amount Invested]]," ")</f>
        <v>0</v>
      </c>
      <c r="K214" s="14" t="str">
        <f t="shared" si="7"/>
        <v xml:space="preserve"> </v>
      </c>
      <c r="L214" s="15" t="str" cm="1">
        <f t="array" ref="L214">IFERROR(ROUND(_FV(B214,"Change (%)",TRUE),3) &amp; "%"," ")</f>
        <v xml:space="preserve"> </v>
      </c>
    </row>
    <row r="215" spans="1:12" x14ac:dyDescent="0.25">
      <c r="A215" s="19"/>
      <c r="C215" s="10" t="str" cm="1">
        <f t="array" ref="C215">IFERROR(_FV(FundManager[[#This Row],[Name]],"Ticker symbol",TRUE)," ")</f>
        <v xml:space="preserve"> </v>
      </c>
      <c r="E215" s="13"/>
      <c r="F215" s="13" t="str" cm="1">
        <f t="array" ref="F215">IFERROR(_FV(B215,"Price")," ")</f>
        <v xml:space="preserve"> </v>
      </c>
      <c r="G215" s="10" t="str">
        <f t="shared" ref="G215:G278" si="8">IFERROR(H215/E215," ")</f>
        <v xml:space="preserve"> </v>
      </c>
      <c r="H215" s="13"/>
      <c r="I215" s="24"/>
      <c r="J215" s="13">
        <f>IFERROR(FundManager[[#This Row],[Current Value]]-FundManager[[#This Row],[Amount Invested]]," ")</f>
        <v>0</v>
      </c>
      <c r="K215" s="14" t="str">
        <f t="shared" ref="K215:K278" si="9">IFERROR((I215-H215)/H215," ")</f>
        <v xml:space="preserve"> </v>
      </c>
      <c r="L215" s="15" t="str" cm="1">
        <f t="array" ref="L215">IFERROR(ROUND(_FV(B215,"Change (%)",TRUE),3) &amp; "%"," ")</f>
        <v xml:space="preserve"> </v>
      </c>
    </row>
    <row r="216" spans="1:12" x14ac:dyDescent="0.25">
      <c r="A216" s="19"/>
      <c r="C216" s="10" t="str" cm="1">
        <f t="array" ref="C216">IFERROR(_FV(FundManager[[#This Row],[Name]],"Ticker symbol",TRUE)," ")</f>
        <v xml:space="preserve"> </v>
      </c>
      <c r="E216" s="13"/>
      <c r="F216" s="13" t="str" cm="1">
        <f t="array" ref="F216">IFERROR(_FV(B216,"Price")," ")</f>
        <v xml:space="preserve"> </v>
      </c>
      <c r="G216" s="10" t="str">
        <f t="shared" si="8"/>
        <v xml:space="preserve"> </v>
      </c>
      <c r="H216" s="13"/>
      <c r="I216" s="24"/>
      <c r="J216" s="13">
        <f>IFERROR(FundManager[[#This Row],[Current Value]]-FundManager[[#This Row],[Amount Invested]]," ")</f>
        <v>0</v>
      </c>
      <c r="K216" s="14" t="str">
        <f t="shared" si="9"/>
        <v xml:space="preserve"> </v>
      </c>
      <c r="L216" s="15" t="str" cm="1">
        <f t="array" ref="L216">IFERROR(ROUND(_FV(B216,"Change (%)",TRUE),3) &amp; "%"," ")</f>
        <v xml:space="preserve"> </v>
      </c>
    </row>
    <row r="217" spans="1:12" x14ac:dyDescent="0.25">
      <c r="A217" s="19"/>
      <c r="C217" s="10" t="str" cm="1">
        <f t="array" ref="C217">IFERROR(_FV(FundManager[[#This Row],[Name]],"Ticker symbol",TRUE)," ")</f>
        <v xml:space="preserve"> </v>
      </c>
      <c r="E217" s="13"/>
      <c r="F217" s="13" t="str" cm="1">
        <f t="array" ref="F217">IFERROR(_FV(B217,"Price")," ")</f>
        <v xml:space="preserve"> </v>
      </c>
      <c r="G217" s="10" t="str">
        <f t="shared" si="8"/>
        <v xml:space="preserve"> </v>
      </c>
      <c r="H217" s="13"/>
      <c r="I217" s="24"/>
      <c r="J217" s="13">
        <f>IFERROR(FundManager[[#This Row],[Current Value]]-FundManager[[#This Row],[Amount Invested]]," ")</f>
        <v>0</v>
      </c>
      <c r="K217" s="14" t="str">
        <f t="shared" si="9"/>
        <v xml:space="preserve"> </v>
      </c>
      <c r="L217" s="15" t="str" cm="1">
        <f t="array" ref="L217">IFERROR(ROUND(_FV(B217,"Change (%)",TRUE),3) &amp; "%"," ")</f>
        <v xml:space="preserve"> </v>
      </c>
    </row>
    <row r="218" spans="1:12" x14ac:dyDescent="0.25">
      <c r="A218" s="19"/>
      <c r="C218" s="10" t="str" cm="1">
        <f t="array" ref="C218">IFERROR(_FV(FundManager[[#This Row],[Name]],"Ticker symbol",TRUE)," ")</f>
        <v xml:space="preserve"> </v>
      </c>
      <c r="E218" s="13"/>
      <c r="F218" s="13" t="str" cm="1">
        <f t="array" ref="F218">IFERROR(_FV(B218,"Price")," ")</f>
        <v xml:space="preserve"> </v>
      </c>
      <c r="G218" s="10" t="str">
        <f t="shared" si="8"/>
        <v xml:space="preserve"> </v>
      </c>
      <c r="H218" s="13"/>
      <c r="I218" s="24"/>
      <c r="J218" s="13">
        <f>IFERROR(FundManager[[#This Row],[Current Value]]-FundManager[[#This Row],[Amount Invested]]," ")</f>
        <v>0</v>
      </c>
      <c r="K218" s="14" t="str">
        <f t="shared" si="9"/>
        <v xml:space="preserve"> </v>
      </c>
      <c r="L218" s="15" t="str" cm="1">
        <f t="array" ref="L218">IFERROR(ROUND(_FV(B218,"Change (%)",TRUE),3) &amp; "%"," ")</f>
        <v xml:space="preserve"> </v>
      </c>
    </row>
    <row r="219" spans="1:12" x14ac:dyDescent="0.25">
      <c r="A219" s="19"/>
      <c r="C219" s="10" t="str" cm="1">
        <f t="array" ref="C219">IFERROR(_FV(FundManager[[#This Row],[Name]],"Ticker symbol",TRUE)," ")</f>
        <v xml:space="preserve"> </v>
      </c>
      <c r="E219" s="13"/>
      <c r="F219" s="13" t="str" cm="1">
        <f t="array" ref="F219">IFERROR(_FV(B219,"Price")," ")</f>
        <v xml:space="preserve"> </v>
      </c>
      <c r="G219" s="10" t="str">
        <f t="shared" si="8"/>
        <v xml:space="preserve"> </v>
      </c>
      <c r="H219" s="13"/>
      <c r="I219" s="24"/>
      <c r="J219" s="13">
        <f>IFERROR(FundManager[[#This Row],[Current Value]]-FundManager[[#This Row],[Amount Invested]]," ")</f>
        <v>0</v>
      </c>
      <c r="K219" s="14" t="str">
        <f t="shared" si="9"/>
        <v xml:space="preserve"> </v>
      </c>
      <c r="L219" s="15" t="str" cm="1">
        <f t="array" ref="L219">IFERROR(ROUND(_FV(B219,"Change (%)",TRUE),3) &amp; "%"," ")</f>
        <v xml:space="preserve"> </v>
      </c>
    </row>
    <row r="220" spans="1:12" x14ac:dyDescent="0.25">
      <c r="A220" s="19"/>
      <c r="C220" s="10" t="str" cm="1">
        <f t="array" ref="C220">IFERROR(_FV(FundManager[[#This Row],[Name]],"Ticker symbol",TRUE)," ")</f>
        <v xml:space="preserve"> </v>
      </c>
      <c r="E220" s="13"/>
      <c r="F220" s="13" t="str" cm="1">
        <f t="array" ref="F220">IFERROR(_FV(B220,"Price")," ")</f>
        <v xml:space="preserve"> </v>
      </c>
      <c r="G220" s="10" t="str">
        <f t="shared" si="8"/>
        <v xml:space="preserve"> </v>
      </c>
      <c r="H220" s="13"/>
      <c r="I220" s="24"/>
      <c r="J220" s="13">
        <f>IFERROR(FundManager[[#This Row],[Current Value]]-FundManager[[#This Row],[Amount Invested]]," ")</f>
        <v>0</v>
      </c>
      <c r="K220" s="14" t="str">
        <f t="shared" si="9"/>
        <v xml:space="preserve"> </v>
      </c>
      <c r="L220" s="15" t="str" cm="1">
        <f t="array" ref="L220">IFERROR(ROUND(_FV(B220,"Change (%)",TRUE),3) &amp; "%"," ")</f>
        <v xml:space="preserve"> </v>
      </c>
    </row>
    <row r="221" spans="1:12" x14ac:dyDescent="0.25">
      <c r="A221" s="19"/>
      <c r="C221" s="10" t="str" cm="1">
        <f t="array" ref="C221">IFERROR(_FV(FundManager[[#This Row],[Name]],"Ticker symbol",TRUE)," ")</f>
        <v xml:space="preserve"> </v>
      </c>
      <c r="E221" s="13"/>
      <c r="F221" s="13" t="str" cm="1">
        <f t="array" ref="F221">IFERROR(_FV(B221,"Price")," ")</f>
        <v xml:space="preserve"> </v>
      </c>
      <c r="G221" s="10" t="str">
        <f t="shared" si="8"/>
        <v xml:space="preserve"> </v>
      </c>
      <c r="H221" s="13"/>
      <c r="I221" s="24"/>
      <c r="J221" s="13">
        <f>IFERROR(FundManager[[#This Row],[Current Value]]-FundManager[[#This Row],[Amount Invested]]," ")</f>
        <v>0</v>
      </c>
      <c r="K221" s="14" t="str">
        <f t="shared" si="9"/>
        <v xml:space="preserve"> </v>
      </c>
      <c r="L221" s="15" t="str" cm="1">
        <f t="array" ref="L221">IFERROR(ROUND(_FV(B221,"Change (%)",TRUE),3) &amp; "%"," ")</f>
        <v xml:space="preserve"> </v>
      </c>
    </row>
    <row r="222" spans="1:12" x14ac:dyDescent="0.25">
      <c r="A222" s="19"/>
      <c r="C222" s="10" t="str" cm="1">
        <f t="array" ref="C222">IFERROR(_FV(FundManager[[#This Row],[Name]],"Ticker symbol",TRUE)," ")</f>
        <v xml:space="preserve"> </v>
      </c>
      <c r="E222" s="13"/>
      <c r="F222" s="13" t="str" cm="1">
        <f t="array" ref="F222">IFERROR(_FV(B222,"Price")," ")</f>
        <v xml:space="preserve"> </v>
      </c>
      <c r="G222" s="10" t="str">
        <f t="shared" si="8"/>
        <v xml:space="preserve"> </v>
      </c>
      <c r="H222" s="13"/>
      <c r="I222" s="24"/>
      <c r="J222" s="13">
        <f>IFERROR(FundManager[[#This Row],[Current Value]]-FundManager[[#This Row],[Amount Invested]]," ")</f>
        <v>0</v>
      </c>
      <c r="K222" s="14" t="str">
        <f t="shared" si="9"/>
        <v xml:space="preserve"> </v>
      </c>
      <c r="L222" s="15" t="str" cm="1">
        <f t="array" ref="L222">IFERROR(ROUND(_FV(B222,"Change (%)",TRUE),3) &amp; "%"," ")</f>
        <v xml:space="preserve"> </v>
      </c>
    </row>
    <row r="223" spans="1:12" x14ac:dyDescent="0.25">
      <c r="A223" s="19"/>
      <c r="C223" s="10" t="str" cm="1">
        <f t="array" ref="C223">IFERROR(_FV(FundManager[[#This Row],[Name]],"Ticker symbol",TRUE)," ")</f>
        <v xml:space="preserve"> </v>
      </c>
      <c r="E223" s="13"/>
      <c r="F223" s="13" t="str" cm="1">
        <f t="array" ref="F223">IFERROR(_FV(B223,"Price")," ")</f>
        <v xml:space="preserve"> </v>
      </c>
      <c r="G223" s="10" t="str">
        <f t="shared" si="8"/>
        <v xml:space="preserve"> </v>
      </c>
      <c r="H223" s="13"/>
      <c r="I223" s="24"/>
      <c r="J223" s="13">
        <f>IFERROR(FundManager[[#This Row],[Current Value]]-FundManager[[#This Row],[Amount Invested]]," ")</f>
        <v>0</v>
      </c>
      <c r="K223" s="14" t="str">
        <f t="shared" si="9"/>
        <v xml:space="preserve"> </v>
      </c>
      <c r="L223" s="15" t="str" cm="1">
        <f t="array" ref="L223">IFERROR(ROUND(_FV(B223,"Change (%)",TRUE),3) &amp; "%"," ")</f>
        <v xml:space="preserve"> </v>
      </c>
    </row>
    <row r="224" spans="1:12" x14ac:dyDescent="0.25">
      <c r="A224" s="19"/>
      <c r="C224" s="10" t="str" cm="1">
        <f t="array" ref="C224">IFERROR(_FV(FundManager[[#This Row],[Name]],"Ticker symbol",TRUE)," ")</f>
        <v xml:space="preserve"> </v>
      </c>
      <c r="E224" s="13"/>
      <c r="F224" s="13" t="str" cm="1">
        <f t="array" ref="F224">IFERROR(_FV(B224,"Price")," ")</f>
        <v xml:space="preserve"> </v>
      </c>
      <c r="G224" s="10" t="str">
        <f t="shared" si="8"/>
        <v xml:space="preserve"> </v>
      </c>
      <c r="H224" s="13"/>
      <c r="I224" s="24"/>
      <c r="J224" s="13">
        <f>IFERROR(FundManager[[#This Row],[Current Value]]-FundManager[[#This Row],[Amount Invested]]," ")</f>
        <v>0</v>
      </c>
      <c r="K224" s="14" t="str">
        <f t="shared" si="9"/>
        <v xml:space="preserve"> </v>
      </c>
      <c r="L224" s="15" t="str" cm="1">
        <f t="array" ref="L224">IFERROR(ROUND(_FV(B224,"Change (%)",TRUE),3) &amp; "%"," ")</f>
        <v xml:space="preserve"> </v>
      </c>
    </row>
    <row r="225" spans="1:12" x14ac:dyDescent="0.25">
      <c r="A225" s="19"/>
      <c r="C225" s="10" t="str" cm="1">
        <f t="array" ref="C225">IFERROR(_FV(FundManager[[#This Row],[Name]],"Ticker symbol",TRUE)," ")</f>
        <v xml:space="preserve"> </v>
      </c>
      <c r="E225" s="13"/>
      <c r="F225" s="13" t="str" cm="1">
        <f t="array" ref="F225">IFERROR(_FV(B225,"Price")," ")</f>
        <v xml:space="preserve"> </v>
      </c>
      <c r="G225" s="10" t="str">
        <f t="shared" si="8"/>
        <v xml:space="preserve"> </v>
      </c>
      <c r="H225" s="13"/>
      <c r="I225" s="24"/>
      <c r="J225" s="13">
        <f>IFERROR(FundManager[[#This Row],[Current Value]]-FundManager[[#This Row],[Amount Invested]]," ")</f>
        <v>0</v>
      </c>
      <c r="K225" s="14" t="str">
        <f t="shared" si="9"/>
        <v xml:space="preserve"> </v>
      </c>
      <c r="L225" s="15" t="str" cm="1">
        <f t="array" ref="L225">IFERROR(ROUND(_FV(B225,"Change (%)",TRUE),3) &amp; "%"," ")</f>
        <v xml:space="preserve"> </v>
      </c>
    </row>
    <row r="226" spans="1:12" x14ac:dyDescent="0.25">
      <c r="A226" s="19"/>
      <c r="C226" s="10" t="str" cm="1">
        <f t="array" ref="C226">IFERROR(_FV(FundManager[[#This Row],[Name]],"Ticker symbol",TRUE)," ")</f>
        <v xml:space="preserve"> </v>
      </c>
      <c r="E226" s="13"/>
      <c r="F226" s="13" t="str" cm="1">
        <f t="array" ref="F226">IFERROR(_FV(B226,"Price")," ")</f>
        <v xml:space="preserve"> </v>
      </c>
      <c r="G226" s="10" t="str">
        <f t="shared" si="8"/>
        <v xml:space="preserve"> </v>
      </c>
      <c r="H226" s="13"/>
      <c r="I226" s="24"/>
      <c r="J226" s="13">
        <f>IFERROR(FundManager[[#This Row],[Current Value]]-FundManager[[#This Row],[Amount Invested]]," ")</f>
        <v>0</v>
      </c>
      <c r="K226" s="14" t="str">
        <f t="shared" si="9"/>
        <v xml:space="preserve"> </v>
      </c>
      <c r="L226" s="15" t="str" cm="1">
        <f t="array" ref="L226">IFERROR(ROUND(_FV(B226,"Change (%)",TRUE),3) &amp; "%"," ")</f>
        <v xml:space="preserve"> </v>
      </c>
    </row>
    <row r="227" spans="1:12" x14ac:dyDescent="0.25">
      <c r="A227" s="19"/>
      <c r="C227" s="10" t="str" cm="1">
        <f t="array" ref="C227">IFERROR(_FV(FundManager[[#This Row],[Name]],"Ticker symbol",TRUE)," ")</f>
        <v xml:space="preserve"> </v>
      </c>
      <c r="E227" s="13"/>
      <c r="F227" s="13" t="str" cm="1">
        <f t="array" ref="F227">IFERROR(_FV(B227,"Price")," ")</f>
        <v xml:space="preserve"> </v>
      </c>
      <c r="G227" s="10" t="str">
        <f t="shared" si="8"/>
        <v xml:space="preserve"> </v>
      </c>
      <c r="H227" s="13"/>
      <c r="I227" s="24"/>
      <c r="J227" s="13">
        <f>IFERROR(FundManager[[#This Row],[Current Value]]-FundManager[[#This Row],[Amount Invested]]," ")</f>
        <v>0</v>
      </c>
      <c r="K227" s="14" t="str">
        <f t="shared" si="9"/>
        <v xml:space="preserve"> </v>
      </c>
      <c r="L227" s="15" t="str" cm="1">
        <f t="array" ref="L227">IFERROR(ROUND(_FV(B227,"Change (%)",TRUE),3) &amp; "%"," ")</f>
        <v xml:space="preserve"> </v>
      </c>
    </row>
    <row r="228" spans="1:12" x14ac:dyDescent="0.25">
      <c r="A228" s="19"/>
      <c r="C228" s="10" t="str" cm="1">
        <f t="array" ref="C228">IFERROR(_FV(FundManager[[#This Row],[Name]],"Ticker symbol",TRUE)," ")</f>
        <v xml:space="preserve"> </v>
      </c>
      <c r="E228" s="13"/>
      <c r="F228" s="13" t="str" cm="1">
        <f t="array" ref="F228">IFERROR(_FV(B228,"Price")," ")</f>
        <v xml:space="preserve"> </v>
      </c>
      <c r="G228" s="10" t="str">
        <f t="shared" si="8"/>
        <v xml:space="preserve"> </v>
      </c>
      <c r="H228" s="13"/>
      <c r="I228" s="24"/>
      <c r="J228" s="13">
        <f>IFERROR(FundManager[[#This Row],[Current Value]]-FundManager[[#This Row],[Amount Invested]]," ")</f>
        <v>0</v>
      </c>
      <c r="K228" s="14" t="str">
        <f t="shared" si="9"/>
        <v xml:space="preserve"> </v>
      </c>
      <c r="L228" s="15" t="str" cm="1">
        <f t="array" ref="L228">IFERROR(ROUND(_FV(B228,"Change (%)",TRUE),3) &amp; "%"," ")</f>
        <v xml:space="preserve"> </v>
      </c>
    </row>
    <row r="229" spans="1:12" x14ac:dyDescent="0.25">
      <c r="A229" s="19"/>
      <c r="C229" s="10" t="str" cm="1">
        <f t="array" ref="C229">IFERROR(_FV(FundManager[[#This Row],[Name]],"Ticker symbol",TRUE)," ")</f>
        <v xml:space="preserve"> </v>
      </c>
      <c r="E229" s="13"/>
      <c r="F229" s="13" t="str" cm="1">
        <f t="array" ref="F229">IFERROR(_FV(B229,"Price")," ")</f>
        <v xml:space="preserve"> </v>
      </c>
      <c r="G229" s="10" t="str">
        <f t="shared" si="8"/>
        <v xml:space="preserve"> </v>
      </c>
      <c r="H229" s="13"/>
      <c r="I229" s="24"/>
      <c r="J229" s="13">
        <f>IFERROR(FundManager[[#This Row],[Current Value]]-FundManager[[#This Row],[Amount Invested]]," ")</f>
        <v>0</v>
      </c>
      <c r="K229" s="14" t="str">
        <f t="shared" si="9"/>
        <v xml:space="preserve"> </v>
      </c>
      <c r="L229" s="15" t="str" cm="1">
        <f t="array" ref="L229">IFERROR(ROUND(_FV(B229,"Change (%)",TRUE),3) &amp; "%"," ")</f>
        <v xml:space="preserve"> </v>
      </c>
    </row>
    <row r="230" spans="1:12" x14ac:dyDescent="0.25">
      <c r="A230" s="19"/>
      <c r="C230" s="10" t="str" cm="1">
        <f t="array" ref="C230">IFERROR(_FV(FundManager[[#This Row],[Name]],"Ticker symbol",TRUE)," ")</f>
        <v xml:space="preserve"> </v>
      </c>
      <c r="E230" s="13"/>
      <c r="F230" s="13" t="str" cm="1">
        <f t="array" ref="F230">IFERROR(_FV(B230,"Price")," ")</f>
        <v xml:space="preserve"> </v>
      </c>
      <c r="G230" s="10" t="str">
        <f t="shared" si="8"/>
        <v xml:space="preserve"> </v>
      </c>
      <c r="H230" s="13"/>
      <c r="I230" s="24"/>
      <c r="J230" s="13">
        <f>IFERROR(FundManager[[#This Row],[Current Value]]-FundManager[[#This Row],[Amount Invested]]," ")</f>
        <v>0</v>
      </c>
      <c r="K230" s="14" t="str">
        <f t="shared" si="9"/>
        <v xml:space="preserve"> </v>
      </c>
      <c r="L230" s="15" t="str" cm="1">
        <f t="array" ref="L230">IFERROR(ROUND(_FV(B230,"Change (%)",TRUE),3) &amp; "%"," ")</f>
        <v xml:space="preserve"> </v>
      </c>
    </row>
    <row r="231" spans="1:12" x14ac:dyDescent="0.25">
      <c r="A231" s="19"/>
      <c r="C231" s="10" t="str" cm="1">
        <f t="array" ref="C231">IFERROR(_FV(FundManager[[#This Row],[Name]],"Ticker symbol",TRUE)," ")</f>
        <v xml:space="preserve"> </v>
      </c>
      <c r="E231" s="13"/>
      <c r="F231" s="13" t="str" cm="1">
        <f t="array" ref="F231">IFERROR(_FV(B231,"Price")," ")</f>
        <v xml:space="preserve"> </v>
      </c>
      <c r="G231" s="10" t="str">
        <f t="shared" si="8"/>
        <v xml:space="preserve"> </v>
      </c>
      <c r="H231" s="13"/>
      <c r="I231" s="24"/>
      <c r="J231" s="13">
        <f>IFERROR(FundManager[[#This Row],[Current Value]]-FundManager[[#This Row],[Amount Invested]]," ")</f>
        <v>0</v>
      </c>
      <c r="K231" s="14" t="str">
        <f t="shared" si="9"/>
        <v xml:space="preserve"> </v>
      </c>
      <c r="L231" s="15" t="str" cm="1">
        <f t="array" ref="L231">IFERROR(ROUND(_FV(B231,"Change (%)",TRUE),3) &amp; "%"," ")</f>
        <v xml:space="preserve"> </v>
      </c>
    </row>
    <row r="232" spans="1:12" x14ac:dyDescent="0.25">
      <c r="A232" s="19"/>
      <c r="C232" s="10" t="str" cm="1">
        <f t="array" ref="C232">IFERROR(_FV(FundManager[[#This Row],[Name]],"Ticker symbol",TRUE)," ")</f>
        <v xml:space="preserve"> </v>
      </c>
      <c r="E232" s="13"/>
      <c r="F232" s="13" t="str" cm="1">
        <f t="array" ref="F232">IFERROR(_FV(B232,"Price")," ")</f>
        <v xml:space="preserve"> </v>
      </c>
      <c r="G232" s="10" t="str">
        <f t="shared" si="8"/>
        <v xml:space="preserve"> </v>
      </c>
      <c r="H232" s="13"/>
      <c r="I232" s="24"/>
      <c r="J232" s="13">
        <f>IFERROR(FundManager[[#This Row],[Current Value]]-FundManager[[#This Row],[Amount Invested]]," ")</f>
        <v>0</v>
      </c>
      <c r="K232" s="14" t="str">
        <f t="shared" si="9"/>
        <v xml:space="preserve"> </v>
      </c>
      <c r="L232" s="15" t="str" cm="1">
        <f t="array" ref="L232">IFERROR(ROUND(_FV(B232,"Change (%)",TRUE),3) &amp; "%"," ")</f>
        <v xml:space="preserve"> </v>
      </c>
    </row>
    <row r="233" spans="1:12" x14ac:dyDescent="0.25">
      <c r="A233" s="19"/>
      <c r="C233" s="10" t="str" cm="1">
        <f t="array" ref="C233">IFERROR(_FV(FundManager[[#This Row],[Name]],"Ticker symbol",TRUE)," ")</f>
        <v xml:space="preserve"> </v>
      </c>
      <c r="E233" s="13"/>
      <c r="F233" s="13" t="str" cm="1">
        <f t="array" ref="F233">IFERROR(_FV(B233,"Price")," ")</f>
        <v xml:space="preserve"> </v>
      </c>
      <c r="G233" s="10" t="str">
        <f t="shared" si="8"/>
        <v xml:space="preserve"> </v>
      </c>
      <c r="H233" s="13"/>
      <c r="I233" s="24"/>
      <c r="J233" s="13">
        <f>IFERROR(FundManager[[#This Row],[Current Value]]-FundManager[[#This Row],[Amount Invested]]," ")</f>
        <v>0</v>
      </c>
      <c r="K233" s="14" t="str">
        <f t="shared" si="9"/>
        <v xml:space="preserve"> </v>
      </c>
      <c r="L233" s="15" t="str" cm="1">
        <f t="array" ref="L233">IFERROR(ROUND(_FV(B233,"Change (%)",TRUE),3) &amp; "%"," ")</f>
        <v xml:space="preserve"> </v>
      </c>
    </row>
    <row r="234" spans="1:12" x14ac:dyDescent="0.25">
      <c r="A234" s="19"/>
      <c r="C234" s="10" t="str" cm="1">
        <f t="array" ref="C234">IFERROR(_FV(FundManager[[#This Row],[Name]],"Ticker symbol",TRUE)," ")</f>
        <v xml:space="preserve"> </v>
      </c>
      <c r="E234" s="13"/>
      <c r="F234" s="13" t="str" cm="1">
        <f t="array" ref="F234">IFERROR(_FV(B234,"Price")," ")</f>
        <v xml:space="preserve"> </v>
      </c>
      <c r="G234" s="10" t="str">
        <f t="shared" si="8"/>
        <v xml:space="preserve"> </v>
      </c>
      <c r="H234" s="13"/>
      <c r="I234" s="24"/>
      <c r="J234" s="13">
        <f>IFERROR(FundManager[[#This Row],[Current Value]]-FundManager[[#This Row],[Amount Invested]]," ")</f>
        <v>0</v>
      </c>
      <c r="K234" s="14" t="str">
        <f t="shared" si="9"/>
        <v xml:space="preserve"> </v>
      </c>
      <c r="L234" s="15" t="str" cm="1">
        <f t="array" ref="L234">IFERROR(ROUND(_FV(B234,"Change (%)",TRUE),3) &amp; "%"," ")</f>
        <v xml:space="preserve"> </v>
      </c>
    </row>
    <row r="235" spans="1:12" x14ac:dyDescent="0.25">
      <c r="A235" s="19"/>
      <c r="C235" s="10" t="str" cm="1">
        <f t="array" ref="C235">IFERROR(_FV(FundManager[[#This Row],[Name]],"Ticker symbol",TRUE)," ")</f>
        <v xml:space="preserve"> </v>
      </c>
      <c r="E235" s="13"/>
      <c r="F235" s="13" t="str" cm="1">
        <f t="array" ref="F235">IFERROR(_FV(B235,"Price")," ")</f>
        <v xml:space="preserve"> </v>
      </c>
      <c r="G235" s="10" t="str">
        <f t="shared" si="8"/>
        <v xml:space="preserve"> </v>
      </c>
      <c r="H235" s="13"/>
      <c r="I235" s="24"/>
      <c r="J235" s="13">
        <f>IFERROR(FundManager[[#This Row],[Current Value]]-FundManager[[#This Row],[Amount Invested]]," ")</f>
        <v>0</v>
      </c>
      <c r="K235" s="14" t="str">
        <f t="shared" si="9"/>
        <v xml:space="preserve"> </v>
      </c>
      <c r="L235" s="15" t="str" cm="1">
        <f t="array" ref="L235">IFERROR(ROUND(_FV(B235,"Change (%)",TRUE),3) &amp; "%"," ")</f>
        <v xml:space="preserve"> </v>
      </c>
    </row>
    <row r="236" spans="1:12" x14ac:dyDescent="0.25">
      <c r="A236" s="19"/>
      <c r="C236" s="10" t="str" cm="1">
        <f t="array" ref="C236">IFERROR(_FV(FundManager[[#This Row],[Name]],"Ticker symbol",TRUE)," ")</f>
        <v xml:space="preserve"> </v>
      </c>
      <c r="E236" s="13"/>
      <c r="F236" s="13" t="str" cm="1">
        <f t="array" ref="F236">IFERROR(_FV(B236,"Price")," ")</f>
        <v xml:space="preserve"> </v>
      </c>
      <c r="G236" s="10" t="str">
        <f t="shared" si="8"/>
        <v xml:space="preserve"> </v>
      </c>
      <c r="H236" s="13"/>
      <c r="I236" s="24"/>
      <c r="J236" s="13">
        <f>IFERROR(FundManager[[#This Row],[Current Value]]-FundManager[[#This Row],[Amount Invested]]," ")</f>
        <v>0</v>
      </c>
      <c r="K236" s="14" t="str">
        <f t="shared" si="9"/>
        <v xml:space="preserve"> </v>
      </c>
      <c r="L236" s="15" t="str" cm="1">
        <f t="array" ref="L236">IFERROR(ROUND(_FV(B236,"Change (%)",TRUE),3) &amp; "%"," ")</f>
        <v xml:space="preserve"> </v>
      </c>
    </row>
    <row r="237" spans="1:12" x14ac:dyDescent="0.25">
      <c r="A237" s="19"/>
      <c r="C237" s="10" t="str" cm="1">
        <f t="array" ref="C237">IFERROR(_FV(FundManager[[#This Row],[Name]],"Ticker symbol",TRUE)," ")</f>
        <v xml:space="preserve"> </v>
      </c>
      <c r="E237" s="13"/>
      <c r="F237" s="13" t="str" cm="1">
        <f t="array" ref="F237">IFERROR(_FV(B237,"Price")," ")</f>
        <v xml:space="preserve"> </v>
      </c>
      <c r="G237" s="10" t="str">
        <f t="shared" si="8"/>
        <v xml:space="preserve"> </v>
      </c>
      <c r="H237" s="13"/>
      <c r="I237" s="24"/>
      <c r="J237" s="13">
        <f>IFERROR(FundManager[[#This Row],[Current Value]]-FundManager[[#This Row],[Amount Invested]]," ")</f>
        <v>0</v>
      </c>
      <c r="K237" s="14" t="str">
        <f t="shared" si="9"/>
        <v xml:space="preserve"> </v>
      </c>
      <c r="L237" s="15" t="str" cm="1">
        <f t="array" ref="L237">IFERROR(ROUND(_FV(B237,"Change (%)",TRUE),3) &amp; "%"," ")</f>
        <v xml:space="preserve"> </v>
      </c>
    </row>
    <row r="238" spans="1:12" x14ac:dyDescent="0.25">
      <c r="A238" s="19"/>
      <c r="C238" s="10" t="str" cm="1">
        <f t="array" ref="C238">IFERROR(_FV(FundManager[[#This Row],[Name]],"Ticker symbol",TRUE)," ")</f>
        <v xml:space="preserve"> </v>
      </c>
      <c r="E238" s="13"/>
      <c r="F238" s="13" t="str" cm="1">
        <f t="array" ref="F238">IFERROR(_FV(B238,"Price")," ")</f>
        <v xml:space="preserve"> </v>
      </c>
      <c r="G238" s="10" t="str">
        <f t="shared" si="8"/>
        <v xml:space="preserve"> </v>
      </c>
      <c r="H238" s="13"/>
      <c r="I238" s="24"/>
      <c r="J238" s="13">
        <f>IFERROR(FundManager[[#This Row],[Current Value]]-FundManager[[#This Row],[Amount Invested]]," ")</f>
        <v>0</v>
      </c>
      <c r="K238" s="14" t="str">
        <f t="shared" si="9"/>
        <v xml:space="preserve"> </v>
      </c>
      <c r="L238" s="15" t="str" cm="1">
        <f t="array" ref="L238">IFERROR(ROUND(_FV(B238,"Change (%)",TRUE),3) &amp; "%"," ")</f>
        <v xml:space="preserve"> </v>
      </c>
    </row>
    <row r="239" spans="1:12" x14ac:dyDescent="0.25">
      <c r="A239" s="19"/>
      <c r="C239" s="10" t="str" cm="1">
        <f t="array" ref="C239">IFERROR(_FV(FundManager[[#This Row],[Name]],"Ticker symbol",TRUE)," ")</f>
        <v xml:space="preserve"> </v>
      </c>
      <c r="E239" s="13"/>
      <c r="F239" s="13" t="str" cm="1">
        <f t="array" ref="F239">IFERROR(_FV(B239,"Price")," ")</f>
        <v xml:space="preserve"> </v>
      </c>
      <c r="G239" s="10" t="str">
        <f t="shared" si="8"/>
        <v xml:space="preserve"> </v>
      </c>
      <c r="H239" s="13"/>
      <c r="I239" s="24"/>
      <c r="J239" s="13">
        <f>IFERROR(FundManager[[#This Row],[Current Value]]-FundManager[[#This Row],[Amount Invested]]," ")</f>
        <v>0</v>
      </c>
      <c r="K239" s="14" t="str">
        <f t="shared" si="9"/>
        <v xml:space="preserve"> </v>
      </c>
      <c r="L239" s="15" t="str" cm="1">
        <f t="array" ref="L239">IFERROR(ROUND(_FV(B239,"Change (%)",TRUE),3) &amp; "%"," ")</f>
        <v xml:space="preserve"> </v>
      </c>
    </row>
    <row r="240" spans="1:12" x14ac:dyDescent="0.25">
      <c r="A240" s="19"/>
      <c r="C240" s="10" t="str" cm="1">
        <f t="array" ref="C240">IFERROR(_FV(FundManager[[#This Row],[Name]],"Ticker symbol",TRUE)," ")</f>
        <v xml:space="preserve"> </v>
      </c>
      <c r="E240" s="13"/>
      <c r="F240" s="13" t="str" cm="1">
        <f t="array" ref="F240">IFERROR(_FV(B240,"Price")," ")</f>
        <v xml:space="preserve"> </v>
      </c>
      <c r="G240" s="10" t="str">
        <f t="shared" si="8"/>
        <v xml:space="preserve"> </v>
      </c>
      <c r="H240" s="13"/>
      <c r="I240" s="24"/>
      <c r="J240" s="13">
        <f>IFERROR(FundManager[[#This Row],[Current Value]]-FundManager[[#This Row],[Amount Invested]]," ")</f>
        <v>0</v>
      </c>
      <c r="K240" s="14" t="str">
        <f t="shared" si="9"/>
        <v xml:space="preserve"> </v>
      </c>
      <c r="L240" s="15" t="str" cm="1">
        <f t="array" ref="L240">IFERROR(ROUND(_FV(B240,"Change (%)",TRUE),3) &amp; "%"," ")</f>
        <v xml:space="preserve"> </v>
      </c>
    </row>
    <row r="241" spans="1:12" x14ac:dyDescent="0.25">
      <c r="A241" s="19"/>
      <c r="C241" s="10" t="str" cm="1">
        <f t="array" ref="C241">IFERROR(_FV(FundManager[[#This Row],[Name]],"Ticker symbol",TRUE)," ")</f>
        <v xml:space="preserve"> </v>
      </c>
      <c r="E241" s="13"/>
      <c r="F241" s="13" t="str" cm="1">
        <f t="array" ref="F241">IFERROR(_FV(B241,"Price")," ")</f>
        <v xml:space="preserve"> </v>
      </c>
      <c r="G241" s="10" t="str">
        <f t="shared" si="8"/>
        <v xml:space="preserve"> </v>
      </c>
      <c r="H241" s="13"/>
      <c r="I241" s="24"/>
      <c r="J241" s="13">
        <f>IFERROR(FundManager[[#This Row],[Current Value]]-FundManager[[#This Row],[Amount Invested]]," ")</f>
        <v>0</v>
      </c>
      <c r="K241" s="14" t="str">
        <f t="shared" si="9"/>
        <v xml:space="preserve"> </v>
      </c>
      <c r="L241" s="15" t="str" cm="1">
        <f t="array" ref="L241">IFERROR(ROUND(_FV(B241,"Change (%)",TRUE),3) &amp; "%"," ")</f>
        <v xml:space="preserve"> </v>
      </c>
    </row>
    <row r="242" spans="1:12" x14ac:dyDescent="0.25">
      <c r="A242" s="19"/>
      <c r="C242" s="10" t="str" cm="1">
        <f t="array" ref="C242">IFERROR(_FV(FundManager[[#This Row],[Name]],"Ticker symbol",TRUE)," ")</f>
        <v xml:space="preserve"> </v>
      </c>
      <c r="E242" s="13"/>
      <c r="F242" s="13" t="str" cm="1">
        <f t="array" ref="F242">IFERROR(_FV(B242,"Price")," ")</f>
        <v xml:space="preserve"> </v>
      </c>
      <c r="G242" s="10" t="str">
        <f t="shared" si="8"/>
        <v xml:space="preserve"> </v>
      </c>
      <c r="H242" s="13"/>
      <c r="I242" s="24"/>
      <c r="J242" s="13">
        <f>IFERROR(FundManager[[#This Row],[Current Value]]-FundManager[[#This Row],[Amount Invested]]," ")</f>
        <v>0</v>
      </c>
      <c r="K242" s="14" t="str">
        <f t="shared" si="9"/>
        <v xml:space="preserve"> </v>
      </c>
      <c r="L242" s="15" t="str" cm="1">
        <f t="array" ref="L242">IFERROR(ROUND(_FV(B242,"Change (%)",TRUE),3) &amp; "%"," ")</f>
        <v xml:space="preserve"> </v>
      </c>
    </row>
    <row r="243" spans="1:12" x14ac:dyDescent="0.25">
      <c r="A243" s="19"/>
      <c r="C243" s="10" t="str" cm="1">
        <f t="array" ref="C243">IFERROR(_FV(FundManager[[#This Row],[Name]],"Ticker symbol",TRUE)," ")</f>
        <v xml:space="preserve"> </v>
      </c>
      <c r="E243" s="13"/>
      <c r="F243" s="13" t="str" cm="1">
        <f t="array" ref="F243">IFERROR(_FV(B243,"Price")," ")</f>
        <v xml:space="preserve"> </v>
      </c>
      <c r="G243" s="10" t="str">
        <f t="shared" si="8"/>
        <v xml:space="preserve"> </v>
      </c>
      <c r="H243" s="13"/>
      <c r="I243" s="24"/>
      <c r="J243" s="13">
        <f>IFERROR(FundManager[[#This Row],[Current Value]]-FundManager[[#This Row],[Amount Invested]]," ")</f>
        <v>0</v>
      </c>
      <c r="K243" s="14" t="str">
        <f t="shared" si="9"/>
        <v xml:space="preserve"> </v>
      </c>
      <c r="L243" s="15" t="str" cm="1">
        <f t="array" ref="L243">IFERROR(ROUND(_FV(B243,"Change (%)",TRUE),3) &amp; "%"," ")</f>
        <v xml:space="preserve"> </v>
      </c>
    </row>
    <row r="244" spans="1:12" x14ac:dyDescent="0.25">
      <c r="A244" s="19"/>
      <c r="C244" s="10" t="str" cm="1">
        <f t="array" ref="C244">IFERROR(_FV(FundManager[[#This Row],[Name]],"Ticker symbol",TRUE)," ")</f>
        <v xml:space="preserve"> </v>
      </c>
      <c r="E244" s="13"/>
      <c r="F244" s="13" t="str" cm="1">
        <f t="array" ref="F244">IFERROR(_FV(B244,"Price")," ")</f>
        <v xml:space="preserve"> </v>
      </c>
      <c r="G244" s="10" t="str">
        <f t="shared" si="8"/>
        <v xml:space="preserve"> </v>
      </c>
      <c r="H244" s="13"/>
      <c r="I244" s="24"/>
      <c r="J244" s="13">
        <f>IFERROR(FundManager[[#This Row],[Current Value]]-FundManager[[#This Row],[Amount Invested]]," ")</f>
        <v>0</v>
      </c>
      <c r="K244" s="14" t="str">
        <f t="shared" si="9"/>
        <v xml:space="preserve"> </v>
      </c>
      <c r="L244" s="15" t="str" cm="1">
        <f t="array" ref="L244">IFERROR(ROUND(_FV(B244,"Change (%)",TRUE),3) &amp; "%"," ")</f>
        <v xml:space="preserve"> </v>
      </c>
    </row>
    <row r="245" spans="1:12" x14ac:dyDescent="0.25">
      <c r="A245" s="19"/>
      <c r="C245" s="10" t="str" cm="1">
        <f t="array" ref="C245">IFERROR(_FV(FundManager[[#This Row],[Name]],"Ticker symbol",TRUE)," ")</f>
        <v xml:space="preserve"> </v>
      </c>
      <c r="E245" s="13"/>
      <c r="F245" s="13" t="str" cm="1">
        <f t="array" ref="F245">IFERROR(_FV(B245,"Price")," ")</f>
        <v xml:space="preserve"> </v>
      </c>
      <c r="G245" s="10" t="str">
        <f t="shared" si="8"/>
        <v xml:space="preserve"> </v>
      </c>
      <c r="H245" s="13"/>
      <c r="I245" s="24"/>
      <c r="J245" s="13">
        <f>IFERROR(FundManager[[#This Row],[Current Value]]-FundManager[[#This Row],[Amount Invested]]," ")</f>
        <v>0</v>
      </c>
      <c r="K245" s="14" t="str">
        <f t="shared" si="9"/>
        <v xml:space="preserve"> </v>
      </c>
      <c r="L245" s="15" t="str" cm="1">
        <f t="array" ref="L245">IFERROR(ROUND(_FV(B245,"Change (%)",TRUE),3) &amp; "%"," ")</f>
        <v xml:space="preserve"> </v>
      </c>
    </row>
    <row r="246" spans="1:12" x14ac:dyDescent="0.25">
      <c r="A246" s="19"/>
      <c r="C246" s="10" t="str" cm="1">
        <f t="array" ref="C246">IFERROR(_FV(FundManager[[#This Row],[Name]],"Ticker symbol",TRUE)," ")</f>
        <v xml:space="preserve"> </v>
      </c>
      <c r="E246" s="13"/>
      <c r="F246" s="13" t="str" cm="1">
        <f t="array" ref="F246">IFERROR(_FV(B246,"Price")," ")</f>
        <v xml:space="preserve"> </v>
      </c>
      <c r="G246" s="10" t="str">
        <f t="shared" si="8"/>
        <v xml:space="preserve"> </v>
      </c>
      <c r="H246" s="13"/>
      <c r="I246" s="24"/>
      <c r="J246" s="13">
        <f>IFERROR(FundManager[[#This Row],[Current Value]]-FundManager[[#This Row],[Amount Invested]]," ")</f>
        <v>0</v>
      </c>
      <c r="K246" s="14" t="str">
        <f t="shared" si="9"/>
        <v xml:space="preserve"> </v>
      </c>
      <c r="L246" s="15" t="str" cm="1">
        <f t="array" ref="L246">IFERROR(ROUND(_FV(B246,"Change (%)",TRUE),3) &amp; "%"," ")</f>
        <v xml:space="preserve"> </v>
      </c>
    </row>
    <row r="247" spans="1:12" x14ac:dyDescent="0.25">
      <c r="A247" s="19"/>
      <c r="C247" s="10" t="str" cm="1">
        <f t="array" ref="C247">IFERROR(_FV(FundManager[[#This Row],[Name]],"Ticker symbol",TRUE)," ")</f>
        <v xml:space="preserve"> </v>
      </c>
      <c r="E247" s="13"/>
      <c r="F247" s="13" t="str" cm="1">
        <f t="array" ref="F247">IFERROR(_FV(B247,"Price")," ")</f>
        <v xml:space="preserve"> </v>
      </c>
      <c r="G247" s="10" t="str">
        <f t="shared" si="8"/>
        <v xml:space="preserve"> </v>
      </c>
      <c r="H247" s="13"/>
      <c r="I247" s="24"/>
      <c r="J247" s="13">
        <f>IFERROR(FundManager[[#This Row],[Current Value]]-FundManager[[#This Row],[Amount Invested]]," ")</f>
        <v>0</v>
      </c>
      <c r="K247" s="14" t="str">
        <f t="shared" si="9"/>
        <v xml:space="preserve"> </v>
      </c>
      <c r="L247" s="15" t="str" cm="1">
        <f t="array" ref="L247">IFERROR(ROUND(_FV(B247,"Change (%)",TRUE),3) &amp; "%"," ")</f>
        <v xml:space="preserve"> </v>
      </c>
    </row>
    <row r="248" spans="1:12" x14ac:dyDescent="0.25">
      <c r="A248" s="19"/>
      <c r="C248" s="10" t="str" cm="1">
        <f t="array" ref="C248">IFERROR(_FV(FundManager[[#This Row],[Name]],"Ticker symbol",TRUE)," ")</f>
        <v xml:space="preserve"> </v>
      </c>
      <c r="E248" s="13"/>
      <c r="F248" s="13" t="str" cm="1">
        <f t="array" ref="F248">IFERROR(_FV(B248,"Price")," ")</f>
        <v xml:space="preserve"> </v>
      </c>
      <c r="G248" s="10" t="str">
        <f t="shared" si="8"/>
        <v xml:space="preserve"> </v>
      </c>
      <c r="H248" s="13"/>
      <c r="I248" s="24"/>
      <c r="J248" s="13">
        <f>IFERROR(FundManager[[#This Row],[Current Value]]-FundManager[[#This Row],[Amount Invested]]," ")</f>
        <v>0</v>
      </c>
      <c r="K248" s="14" t="str">
        <f t="shared" si="9"/>
        <v xml:space="preserve"> </v>
      </c>
      <c r="L248" s="15" t="str" cm="1">
        <f t="array" ref="L248">IFERROR(ROUND(_FV(B248,"Change (%)",TRUE),3) &amp; "%"," ")</f>
        <v xml:space="preserve"> </v>
      </c>
    </row>
    <row r="249" spans="1:12" x14ac:dyDescent="0.25">
      <c r="A249" s="19"/>
      <c r="C249" s="10" t="str" cm="1">
        <f t="array" ref="C249">IFERROR(_FV(FundManager[[#This Row],[Name]],"Ticker symbol",TRUE)," ")</f>
        <v xml:space="preserve"> </v>
      </c>
      <c r="E249" s="13"/>
      <c r="F249" s="13" t="str" cm="1">
        <f t="array" ref="F249">IFERROR(_FV(B249,"Price")," ")</f>
        <v xml:space="preserve"> </v>
      </c>
      <c r="G249" s="10" t="str">
        <f t="shared" si="8"/>
        <v xml:space="preserve"> </v>
      </c>
      <c r="H249" s="13"/>
      <c r="I249" s="24"/>
      <c r="J249" s="13">
        <f>IFERROR(FundManager[[#This Row],[Current Value]]-FundManager[[#This Row],[Amount Invested]]," ")</f>
        <v>0</v>
      </c>
      <c r="K249" s="14" t="str">
        <f t="shared" si="9"/>
        <v xml:space="preserve"> </v>
      </c>
      <c r="L249" s="15" t="str" cm="1">
        <f t="array" ref="L249">IFERROR(ROUND(_FV(B249,"Change (%)",TRUE),3) &amp; "%"," ")</f>
        <v xml:space="preserve"> </v>
      </c>
    </row>
    <row r="250" spans="1:12" x14ac:dyDescent="0.25">
      <c r="A250" s="19"/>
      <c r="C250" s="10" t="str" cm="1">
        <f t="array" ref="C250">IFERROR(_FV(FundManager[[#This Row],[Name]],"Ticker symbol",TRUE)," ")</f>
        <v xml:space="preserve"> </v>
      </c>
      <c r="E250" s="13"/>
      <c r="F250" s="13" t="str" cm="1">
        <f t="array" ref="F250">IFERROR(_FV(B250,"Price")," ")</f>
        <v xml:space="preserve"> </v>
      </c>
      <c r="G250" s="10" t="str">
        <f t="shared" si="8"/>
        <v xml:space="preserve"> </v>
      </c>
      <c r="H250" s="13"/>
      <c r="I250" s="24"/>
      <c r="J250" s="13">
        <f>IFERROR(FundManager[[#This Row],[Current Value]]-FundManager[[#This Row],[Amount Invested]]," ")</f>
        <v>0</v>
      </c>
      <c r="K250" s="14" t="str">
        <f t="shared" si="9"/>
        <v xml:space="preserve"> </v>
      </c>
      <c r="L250" s="15" t="str" cm="1">
        <f t="array" ref="L250">IFERROR(ROUND(_FV(B250,"Change (%)",TRUE),3) &amp; "%"," ")</f>
        <v xml:space="preserve"> </v>
      </c>
    </row>
    <row r="251" spans="1:12" x14ac:dyDescent="0.25">
      <c r="A251" s="19"/>
      <c r="C251" s="10" t="str" cm="1">
        <f t="array" ref="C251">IFERROR(_FV(FundManager[[#This Row],[Name]],"Ticker symbol",TRUE)," ")</f>
        <v xml:space="preserve"> </v>
      </c>
      <c r="E251" s="13"/>
      <c r="F251" s="13" t="str" cm="1">
        <f t="array" ref="F251">IFERROR(_FV(B251,"Price")," ")</f>
        <v xml:space="preserve"> </v>
      </c>
      <c r="G251" s="10" t="str">
        <f t="shared" si="8"/>
        <v xml:space="preserve"> </v>
      </c>
      <c r="H251" s="13"/>
      <c r="I251" s="24"/>
      <c r="J251" s="13">
        <f>IFERROR(FundManager[[#This Row],[Current Value]]-FundManager[[#This Row],[Amount Invested]]," ")</f>
        <v>0</v>
      </c>
      <c r="K251" s="14" t="str">
        <f t="shared" si="9"/>
        <v xml:space="preserve"> </v>
      </c>
      <c r="L251" s="15" t="str" cm="1">
        <f t="array" ref="L251">IFERROR(ROUND(_FV(B251,"Change (%)",TRUE),3) &amp; "%"," ")</f>
        <v xml:space="preserve"> </v>
      </c>
    </row>
    <row r="252" spans="1:12" x14ac:dyDescent="0.25">
      <c r="A252" s="19"/>
      <c r="C252" s="10" t="str" cm="1">
        <f t="array" ref="C252">IFERROR(_FV(FundManager[[#This Row],[Name]],"Ticker symbol",TRUE)," ")</f>
        <v xml:space="preserve"> </v>
      </c>
      <c r="E252" s="13"/>
      <c r="F252" s="13" t="str" cm="1">
        <f t="array" ref="F252">IFERROR(_FV(B252,"Price")," ")</f>
        <v xml:space="preserve"> </v>
      </c>
      <c r="G252" s="10" t="str">
        <f t="shared" si="8"/>
        <v xml:space="preserve"> </v>
      </c>
      <c r="H252" s="13"/>
      <c r="I252" s="24"/>
      <c r="J252" s="13">
        <f>IFERROR(FundManager[[#This Row],[Current Value]]-FundManager[[#This Row],[Amount Invested]]," ")</f>
        <v>0</v>
      </c>
      <c r="K252" s="14" t="str">
        <f t="shared" si="9"/>
        <v xml:space="preserve"> </v>
      </c>
      <c r="L252" s="15" t="str" cm="1">
        <f t="array" ref="L252">IFERROR(ROUND(_FV(B252,"Change (%)",TRUE),3) &amp; "%"," ")</f>
        <v xml:space="preserve"> </v>
      </c>
    </row>
    <row r="253" spans="1:12" x14ac:dyDescent="0.25">
      <c r="A253" s="19"/>
      <c r="C253" s="10" t="str" cm="1">
        <f t="array" ref="C253">IFERROR(_FV(FundManager[[#This Row],[Name]],"Ticker symbol",TRUE)," ")</f>
        <v xml:space="preserve"> </v>
      </c>
      <c r="E253" s="13"/>
      <c r="F253" s="13" t="str" cm="1">
        <f t="array" ref="F253">IFERROR(_FV(B253,"Price")," ")</f>
        <v xml:space="preserve"> </v>
      </c>
      <c r="G253" s="10" t="str">
        <f t="shared" si="8"/>
        <v xml:space="preserve"> </v>
      </c>
      <c r="H253" s="13"/>
      <c r="I253" s="24"/>
      <c r="J253" s="13">
        <f>IFERROR(FundManager[[#This Row],[Current Value]]-FundManager[[#This Row],[Amount Invested]]," ")</f>
        <v>0</v>
      </c>
      <c r="K253" s="14" t="str">
        <f t="shared" si="9"/>
        <v xml:space="preserve"> </v>
      </c>
      <c r="L253" s="15" t="str" cm="1">
        <f t="array" ref="L253">IFERROR(ROUND(_FV(B253,"Change (%)",TRUE),3) &amp; "%"," ")</f>
        <v xml:space="preserve"> </v>
      </c>
    </row>
    <row r="254" spans="1:12" x14ac:dyDescent="0.25">
      <c r="A254" s="19"/>
      <c r="C254" s="10" t="str" cm="1">
        <f t="array" ref="C254">IFERROR(_FV(FundManager[[#This Row],[Name]],"Ticker symbol",TRUE)," ")</f>
        <v xml:space="preserve"> </v>
      </c>
      <c r="E254" s="13"/>
      <c r="F254" s="13" t="str" cm="1">
        <f t="array" ref="F254">IFERROR(_FV(B254,"Price")," ")</f>
        <v xml:space="preserve"> </v>
      </c>
      <c r="G254" s="10" t="str">
        <f t="shared" si="8"/>
        <v xml:space="preserve"> </v>
      </c>
      <c r="H254" s="13"/>
      <c r="I254" s="24"/>
      <c r="J254" s="13">
        <f>IFERROR(FundManager[[#This Row],[Current Value]]-FundManager[[#This Row],[Amount Invested]]," ")</f>
        <v>0</v>
      </c>
      <c r="K254" s="14" t="str">
        <f t="shared" si="9"/>
        <v xml:space="preserve"> </v>
      </c>
      <c r="L254" s="15" t="str" cm="1">
        <f t="array" ref="L254">IFERROR(ROUND(_FV(B254,"Change (%)",TRUE),3) &amp; "%"," ")</f>
        <v xml:space="preserve"> </v>
      </c>
    </row>
    <row r="255" spans="1:12" x14ac:dyDescent="0.25">
      <c r="A255" s="19"/>
      <c r="C255" s="10" t="str" cm="1">
        <f t="array" ref="C255">IFERROR(_FV(FundManager[[#This Row],[Name]],"Ticker symbol",TRUE)," ")</f>
        <v xml:space="preserve"> </v>
      </c>
      <c r="E255" s="13"/>
      <c r="F255" s="13" t="str" cm="1">
        <f t="array" ref="F255">IFERROR(_FV(B255,"Price")," ")</f>
        <v xml:space="preserve"> </v>
      </c>
      <c r="G255" s="10" t="str">
        <f t="shared" si="8"/>
        <v xml:space="preserve"> </v>
      </c>
      <c r="H255" s="13"/>
      <c r="I255" s="24"/>
      <c r="J255" s="13">
        <f>IFERROR(FundManager[[#This Row],[Current Value]]-FundManager[[#This Row],[Amount Invested]]," ")</f>
        <v>0</v>
      </c>
      <c r="K255" s="14" t="str">
        <f t="shared" si="9"/>
        <v xml:space="preserve"> </v>
      </c>
      <c r="L255" s="15" t="str" cm="1">
        <f t="array" ref="L255">IFERROR(ROUND(_FV(B255,"Change (%)",TRUE),3) &amp; "%"," ")</f>
        <v xml:space="preserve"> </v>
      </c>
    </row>
    <row r="256" spans="1:12" x14ac:dyDescent="0.25">
      <c r="A256" s="19"/>
      <c r="C256" s="10" t="str" cm="1">
        <f t="array" ref="C256">IFERROR(_FV(FundManager[[#This Row],[Name]],"Ticker symbol",TRUE)," ")</f>
        <v xml:space="preserve"> </v>
      </c>
      <c r="E256" s="13"/>
      <c r="F256" s="13" t="str" cm="1">
        <f t="array" ref="F256">IFERROR(_FV(B256,"Price")," ")</f>
        <v xml:space="preserve"> </v>
      </c>
      <c r="G256" s="10" t="str">
        <f t="shared" si="8"/>
        <v xml:space="preserve"> </v>
      </c>
      <c r="H256" s="13"/>
      <c r="I256" s="24"/>
      <c r="J256" s="13">
        <f>IFERROR(FundManager[[#This Row],[Current Value]]-FundManager[[#This Row],[Amount Invested]]," ")</f>
        <v>0</v>
      </c>
      <c r="K256" s="14" t="str">
        <f t="shared" si="9"/>
        <v xml:space="preserve"> </v>
      </c>
      <c r="L256" s="15" t="str" cm="1">
        <f t="array" ref="L256">IFERROR(ROUND(_FV(B256,"Change (%)",TRUE),3) &amp; "%"," ")</f>
        <v xml:space="preserve"> </v>
      </c>
    </row>
    <row r="257" spans="1:12" x14ac:dyDescent="0.25">
      <c r="A257" s="19"/>
      <c r="C257" s="10" t="str" cm="1">
        <f t="array" ref="C257">IFERROR(_FV(FundManager[[#This Row],[Name]],"Ticker symbol",TRUE)," ")</f>
        <v xml:space="preserve"> </v>
      </c>
      <c r="E257" s="13"/>
      <c r="F257" s="13" t="str" cm="1">
        <f t="array" ref="F257">IFERROR(_FV(B257,"Price")," ")</f>
        <v xml:space="preserve"> </v>
      </c>
      <c r="G257" s="10" t="str">
        <f t="shared" si="8"/>
        <v xml:space="preserve"> </v>
      </c>
      <c r="H257" s="13"/>
      <c r="I257" s="24"/>
      <c r="J257" s="13">
        <f>IFERROR(FundManager[[#This Row],[Current Value]]-FundManager[[#This Row],[Amount Invested]]," ")</f>
        <v>0</v>
      </c>
      <c r="K257" s="14" t="str">
        <f t="shared" si="9"/>
        <v xml:space="preserve"> </v>
      </c>
      <c r="L257" s="15" t="str" cm="1">
        <f t="array" ref="L257">IFERROR(ROUND(_FV(B257,"Change (%)",TRUE),3) &amp; "%"," ")</f>
        <v xml:space="preserve"> </v>
      </c>
    </row>
    <row r="258" spans="1:12" x14ac:dyDescent="0.25">
      <c r="A258" s="19"/>
      <c r="C258" s="10" t="str" cm="1">
        <f t="array" ref="C258">IFERROR(_FV(FundManager[[#This Row],[Name]],"Ticker symbol",TRUE)," ")</f>
        <v xml:space="preserve"> </v>
      </c>
      <c r="E258" s="13"/>
      <c r="F258" s="13" t="str" cm="1">
        <f t="array" ref="F258">IFERROR(_FV(B258,"Price")," ")</f>
        <v xml:space="preserve"> </v>
      </c>
      <c r="G258" s="10" t="str">
        <f t="shared" si="8"/>
        <v xml:space="preserve"> </v>
      </c>
      <c r="H258" s="13"/>
      <c r="I258" s="24"/>
      <c r="J258" s="13">
        <f>IFERROR(FundManager[[#This Row],[Current Value]]-FundManager[[#This Row],[Amount Invested]]," ")</f>
        <v>0</v>
      </c>
      <c r="K258" s="14" t="str">
        <f t="shared" si="9"/>
        <v xml:space="preserve"> </v>
      </c>
      <c r="L258" s="15" t="str" cm="1">
        <f t="array" ref="L258">IFERROR(ROUND(_FV(B258,"Change (%)",TRUE),3) &amp; "%"," ")</f>
        <v xml:space="preserve"> </v>
      </c>
    </row>
    <row r="259" spans="1:12" x14ac:dyDescent="0.25">
      <c r="A259" s="19"/>
      <c r="C259" s="10" t="str" cm="1">
        <f t="array" ref="C259">IFERROR(_FV(FundManager[[#This Row],[Name]],"Ticker symbol",TRUE)," ")</f>
        <v xml:space="preserve"> </v>
      </c>
      <c r="E259" s="13"/>
      <c r="F259" s="13" t="str" cm="1">
        <f t="array" ref="F259">IFERROR(_FV(B259,"Price")," ")</f>
        <v xml:space="preserve"> </v>
      </c>
      <c r="G259" s="10" t="str">
        <f t="shared" si="8"/>
        <v xml:space="preserve"> </v>
      </c>
      <c r="H259" s="13"/>
      <c r="I259" s="24"/>
      <c r="J259" s="13">
        <f>IFERROR(FundManager[[#This Row],[Current Value]]-FundManager[[#This Row],[Amount Invested]]," ")</f>
        <v>0</v>
      </c>
      <c r="K259" s="14" t="str">
        <f t="shared" si="9"/>
        <v xml:space="preserve"> </v>
      </c>
      <c r="L259" s="15" t="str" cm="1">
        <f t="array" ref="L259">IFERROR(ROUND(_FV(B259,"Change (%)",TRUE),3) &amp; "%"," ")</f>
        <v xml:space="preserve"> </v>
      </c>
    </row>
    <row r="260" spans="1:12" x14ac:dyDescent="0.25">
      <c r="A260" s="19"/>
      <c r="C260" s="10" t="str" cm="1">
        <f t="array" ref="C260">IFERROR(_FV(FundManager[[#This Row],[Name]],"Ticker symbol",TRUE)," ")</f>
        <v xml:space="preserve"> </v>
      </c>
      <c r="E260" s="13"/>
      <c r="F260" s="13" t="str" cm="1">
        <f t="array" ref="F260">IFERROR(_FV(B260,"Price")," ")</f>
        <v xml:space="preserve"> </v>
      </c>
      <c r="G260" s="10" t="str">
        <f t="shared" si="8"/>
        <v xml:space="preserve"> </v>
      </c>
      <c r="H260" s="13"/>
      <c r="I260" s="24"/>
      <c r="J260" s="13">
        <f>IFERROR(FundManager[[#This Row],[Current Value]]-FundManager[[#This Row],[Amount Invested]]," ")</f>
        <v>0</v>
      </c>
      <c r="K260" s="14" t="str">
        <f t="shared" si="9"/>
        <v xml:space="preserve"> </v>
      </c>
      <c r="L260" s="15" t="str" cm="1">
        <f t="array" ref="L260">IFERROR(ROUND(_FV(B260,"Change (%)",TRUE),3) &amp; "%"," ")</f>
        <v xml:space="preserve"> </v>
      </c>
    </row>
    <row r="261" spans="1:12" x14ac:dyDescent="0.25">
      <c r="A261" s="19"/>
      <c r="C261" s="10" t="str" cm="1">
        <f t="array" ref="C261">IFERROR(_FV(FundManager[[#This Row],[Name]],"Ticker symbol",TRUE)," ")</f>
        <v xml:space="preserve"> </v>
      </c>
      <c r="E261" s="13"/>
      <c r="F261" s="13" t="str" cm="1">
        <f t="array" ref="F261">IFERROR(_FV(B261,"Price")," ")</f>
        <v xml:space="preserve"> </v>
      </c>
      <c r="G261" s="10" t="str">
        <f t="shared" si="8"/>
        <v xml:space="preserve"> </v>
      </c>
      <c r="H261" s="13"/>
      <c r="I261" s="24"/>
      <c r="J261" s="13">
        <f>IFERROR(FundManager[[#This Row],[Current Value]]-FundManager[[#This Row],[Amount Invested]]," ")</f>
        <v>0</v>
      </c>
      <c r="K261" s="14" t="str">
        <f t="shared" si="9"/>
        <v xml:space="preserve"> </v>
      </c>
      <c r="L261" s="15" t="str" cm="1">
        <f t="array" ref="L261">IFERROR(ROUND(_FV(B261,"Change (%)",TRUE),3) &amp; "%"," ")</f>
        <v xml:space="preserve"> </v>
      </c>
    </row>
    <row r="262" spans="1:12" x14ac:dyDescent="0.25">
      <c r="A262" s="19"/>
      <c r="C262" s="10" t="str" cm="1">
        <f t="array" ref="C262">IFERROR(_FV(FundManager[[#This Row],[Name]],"Ticker symbol",TRUE)," ")</f>
        <v xml:space="preserve"> </v>
      </c>
      <c r="E262" s="13"/>
      <c r="F262" s="13" t="str" cm="1">
        <f t="array" ref="F262">IFERROR(_FV(B262,"Price")," ")</f>
        <v xml:space="preserve"> </v>
      </c>
      <c r="G262" s="10" t="str">
        <f t="shared" si="8"/>
        <v xml:space="preserve"> </v>
      </c>
      <c r="H262" s="13"/>
      <c r="I262" s="24"/>
      <c r="J262" s="13">
        <f>IFERROR(FundManager[[#This Row],[Current Value]]-FundManager[[#This Row],[Amount Invested]]," ")</f>
        <v>0</v>
      </c>
      <c r="K262" s="14" t="str">
        <f t="shared" si="9"/>
        <v xml:space="preserve"> </v>
      </c>
      <c r="L262" s="15" t="str" cm="1">
        <f t="array" ref="L262">IFERROR(ROUND(_FV(B262,"Change (%)",TRUE),3) &amp; "%"," ")</f>
        <v xml:space="preserve"> </v>
      </c>
    </row>
    <row r="263" spans="1:12" x14ac:dyDescent="0.25">
      <c r="A263" s="19"/>
      <c r="C263" s="10" t="str" cm="1">
        <f t="array" ref="C263">IFERROR(_FV(FundManager[[#This Row],[Name]],"Ticker symbol",TRUE)," ")</f>
        <v xml:space="preserve"> </v>
      </c>
      <c r="E263" s="13"/>
      <c r="F263" s="13" t="str" cm="1">
        <f t="array" ref="F263">IFERROR(_FV(B263,"Price")," ")</f>
        <v xml:space="preserve"> </v>
      </c>
      <c r="G263" s="10" t="str">
        <f t="shared" si="8"/>
        <v xml:space="preserve"> </v>
      </c>
      <c r="H263" s="13"/>
      <c r="I263" s="24"/>
      <c r="J263" s="13">
        <f>IFERROR(FundManager[[#This Row],[Current Value]]-FundManager[[#This Row],[Amount Invested]]," ")</f>
        <v>0</v>
      </c>
      <c r="K263" s="14" t="str">
        <f t="shared" si="9"/>
        <v xml:space="preserve"> </v>
      </c>
      <c r="L263" s="15" t="str" cm="1">
        <f t="array" ref="L263">IFERROR(ROUND(_FV(B263,"Change (%)",TRUE),3) &amp; "%"," ")</f>
        <v xml:space="preserve"> </v>
      </c>
    </row>
    <row r="264" spans="1:12" x14ac:dyDescent="0.25">
      <c r="A264" s="19"/>
      <c r="C264" s="10" t="str" cm="1">
        <f t="array" ref="C264">IFERROR(_FV(FundManager[[#This Row],[Name]],"Ticker symbol",TRUE)," ")</f>
        <v xml:space="preserve"> </v>
      </c>
      <c r="E264" s="13"/>
      <c r="F264" s="13" t="str" cm="1">
        <f t="array" ref="F264">IFERROR(_FV(B264,"Price")," ")</f>
        <v xml:space="preserve"> </v>
      </c>
      <c r="G264" s="10" t="str">
        <f t="shared" si="8"/>
        <v xml:space="preserve"> </v>
      </c>
      <c r="H264" s="13"/>
      <c r="I264" s="24"/>
      <c r="J264" s="13">
        <f>IFERROR(FundManager[[#This Row],[Current Value]]-FundManager[[#This Row],[Amount Invested]]," ")</f>
        <v>0</v>
      </c>
      <c r="K264" s="14" t="str">
        <f t="shared" si="9"/>
        <v xml:space="preserve"> </v>
      </c>
      <c r="L264" s="15" t="str" cm="1">
        <f t="array" ref="L264">IFERROR(ROUND(_FV(B264,"Change (%)",TRUE),3) &amp; "%"," ")</f>
        <v xml:space="preserve"> </v>
      </c>
    </row>
    <row r="265" spans="1:12" x14ac:dyDescent="0.25">
      <c r="A265" s="19"/>
      <c r="C265" s="10" t="str" cm="1">
        <f t="array" ref="C265">IFERROR(_FV(FundManager[[#This Row],[Name]],"Ticker symbol",TRUE)," ")</f>
        <v xml:space="preserve"> </v>
      </c>
      <c r="E265" s="13"/>
      <c r="F265" s="13" t="str" cm="1">
        <f t="array" ref="F265">IFERROR(_FV(B265,"Price")," ")</f>
        <v xml:space="preserve"> </v>
      </c>
      <c r="G265" s="10" t="str">
        <f t="shared" si="8"/>
        <v xml:space="preserve"> </v>
      </c>
      <c r="H265" s="13"/>
      <c r="I265" s="24"/>
      <c r="J265" s="13">
        <f>IFERROR(FundManager[[#This Row],[Current Value]]-FundManager[[#This Row],[Amount Invested]]," ")</f>
        <v>0</v>
      </c>
      <c r="K265" s="14" t="str">
        <f t="shared" si="9"/>
        <v xml:space="preserve"> </v>
      </c>
      <c r="L265" s="15" t="str" cm="1">
        <f t="array" ref="L265">IFERROR(ROUND(_FV(B265,"Change (%)",TRUE),3) &amp; "%"," ")</f>
        <v xml:space="preserve"> </v>
      </c>
    </row>
    <row r="266" spans="1:12" x14ac:dyDescent="0.25">
      <c r="A266" s="19"/>
      <c r="C266" s="10" t="str" cm="1">
        <f t="array" ref="C266">IFERROR(_FV(FundManager[[#This Row],[Name]],"Ticker symbol",TRUE)," ")</f>
        <v xml:space="preserve"> </v>
      </c>
      <c r="E266" s="13"/>
      <c r="F266" s="13" t="str" cm="1">
        <f t="array" ref="F266">IFERROR(_FV(B266,"Price")," ")</f>
        <v xml:space="preserve"> </v>
      </c>
      <c r="G266" s="10" t="str">
        <f t="shared" si="8"/>
        <v xml:space="preserve"> </v>
      </c>
      <c r="H266" s="13"/>
      <c r="I266" s="24"/>
      <c r="J266" s="13">
        <f>IFERROR(FundManager[[#This Row],[Current Value]]-FundManager[[#This Row],[Amount Invested]]," ")</f>
        <v>0</v>
      </c>
      <c r="K266" s="14" t="str">
        <f t="shared" si="9"/>
        <v xml:space="preserve"> </v>
      </c>
      <c r="L266" s="15" t="str" cm="1">
        <f t="array" ref="L266">IFERROR(ROUND(_FV(B266,"Change (%)",TRUE),3) &amp; "%"," ")</f>
        <v xml:space="preserve"> </v>
      </c>
    </row>
    <row r="267" spans="1:12" x14ac:dyDescent="0.25">
      <c r="A267" s="19"/>
      <c r="C267" s="10" t="str" cm="1">
        <f t="array" ref="C267">IFERROR(_FV(FundManager[[#This Row],[Name]],"Ticker symbol",TRUE)," ")</f>
        <v xml:space="preserve"> </v>
      </c>
      <c r="E267" s="13"/>
      <c r="F267" s="13" t="str" cm="1">
        <f t="array" ref="F267">IFERROR(_FV(B267,"Price")," ")</f>
        <v xml:space="preserve"> </v>
      </c>
      <c r="G267" s="10" t="str">
        <f t="shared" si="8"/>
        <v xml:space="preserve"> </v>
      </c>
      <c r="H267" s="13"/>
      <c r="I267" s="24"/>
      <c r="J267" s="13">
        <f>IFERROR(FundManager[[#This Row],[Current Value]]-FundManager[[#This Row],[Amount Invested]]," ")</f>
        <v>0</v>
      </c>
      <c r="K267" s="14" t="str">
        <f t="shared" si="9"/>
        <v xml:space="preserve"> </v>
      </c>
      <c r="L267" s="15" t="str" cm="1">
        <f t="array" ref="L267">IFERROR(ROUND(_FV(B267,"Change (%)",TRUE),3) &amp; "%"," ")</f>
        <v xml:space="preserve"> </v>
      </c>
    </row>
    <row r="268" spans="1:12" x14ac:dyDescent="0.25">
      <c r="A268" s="19"/>
      <c r="C268" s="10" t="str" cm="1">
        <f t="array" ref="C268">IFERROR(_FV(FundManager[[#This Row],[Name]],"Ticker symbol",TRUE)," ")</f>
        <v xml:space="preserve"> </v>
      </c>
      <c r="E268" s="13"/>
      <c r="F268" s="13" t="str" cm="1">
        <f t="array" ref="F268">IFERROR(_FV(B268,"Price")," ")</f>
        <v xml:space="preserve"> </v>
      </c>
      <c r="G268" s="10" t="str">
        <f t="shared" si="8"/>
        <v xml:space="preserve"> </v>
      </c>
      <c r="H268" s="13"/>
      <c r="I268" s="24"/>
      <c r="J268" s="13">
        <f>IFERROR(FundManager[[#This Row],[Current Value]]-FundManager[[#This Row],[Amount Invested]]," ")</f>
        <v>0</v>
      </c>
      <c r="K268" s="14" t="str">
        <f t="shared" si="9"/>
        <v xml:space="preserve"> </v>
      </c>
      <c r="L268" s="15" t="str" cm="1">
        <f t="array" ref="L268">IFERROR(ROUND(_FV(B268,"Change (%)",TRUE),3) &amp; "%"," ")</f>
        <v xml:space="preserve"> </v>
      </c>
    </row>
    <row r="269" spans="1:12" x14ac:dyDescent="0.25">
      <c r="A269" s="19"/>
      <c r="C269" s="10" t="str" cm="1">
        <f t="array" ref="C269">IFERROR(_FV(FundManager[[#This Row],[Name]],"Ticker symbol",TRUE)," ")</f>
        <v xml:space="preserve"> </v>
      </c>
      <c r="E269" s="13"/>
      <c r="F269" s="13" t="str" cm="1">
        <f t="array" ref="F269">IFERROR(_FV(B269,"Price")," ")</f>
        <v xml:space="preserve"> </v>
      </c>
      <c r="G269" s="10" t="str">
        <f t="shared" si="8"/>
        <v xml:space="preserve"> </v>
      </c>
      <c r="H269" s="13"/>
      <c r="I269" s="24"/>
      <c r="J269" s="13">
        <f>IFERROR(FundManager[[#This Row],[Current Value]]-FundManager[[#This Row],[Amount Invested]]," ")</f>
        <v>0</v>
      </c>
      <c r="K269" s="14" t="str">
        <f t="shared" si="9"/>
        <v xml:space="preserve"> </v>
      </c>
      <c r="L269" s="15" t="str" cm="1">
        <f t="array" ref="L269">IFERROR(ROUND(_FV(B269,"Change (%)",TRUE),3) &amp; "%"," ")</f>
        <v xml:space="preserve"> </v>
      </c>
    </row>
    <row r="270" spans="1:12" x14ac:dyDescent="0.25">
      <c r="A270" s="19"/>
      <c r="C270" s="10" t="str" cm="1">
        <f t="array" ref="C270">IFERROR(_FV(FundManager[[#This Row],[Name]],"Ticker symbol",TRUE)," ")</f>
        <v xml:space="preserve"> </v>
      </c>
      <c r="E270" s="13"/>
      <c r="F270" s="13" t="str" cm="1">
        <f t="array" ref="F270">IFERROR(_FV(B270,"Price")," ")</f>
        <v xml:space="preserve"> </v>
      </c>
      <c r="G270" s="10" t="str">
        <f t="shared" si="8"/>
        <v xml:space="preserve"> </v>
      </c>
      <c r="H270" s="13"/>
      <c r="I270" s="24"/>
      <c r="J270" s="13">
        <f>IFERROR(FundManager[[#This Row],[Current Value]]-FundManager[[#This Row],[Amount Invested]]," ")</f>
        <v>0</v>
      </c>
      <c r="K270" s="14" t="str">
        <f t="shared" si="9"/>
        <v xml:space="preserve"> </v>
      </c>
      <c r="L270" s="15" t="str" cm="1">
        <f t="array" ref="L270">IFERROR(ROUND(_FV(B270,"Change (%)",TRUE),3) &amp; "%"," ")</f>
        <v xml:space="preserve"> </v>
      </c>
    </row>
    <row r="271" spans="1:12" x14ac:dyDescent="0.25">
      <c r="A271" s="19"/>
      <c r="C271" s="10" t="str" cm="1">
        <f t="array" ref="C271">IFERROR(_FV(FundManager[[#This Row],[Name]],"Ticker symbol",TRUE)," ")</f>
        <v xml:space="preserve"> </v>
      </c>
      <c r="E271" s="13"/>
      <c r="F271" s="13" t="str" cm="1">
        <f t="array" ref="F271">IFERROR(_FV(B271,"Price")," ")</f>
        <v xml:space="preserve"> </v>
      </c>
      <c r="G271" s="10" t="str">
        <f t="shared" si="8"/>
        <v xml:space="preserve"> </v>
      </c>
      <c r="H271" s="13"/>
      <c r="I271" s="24"/>
      <c r="J271" s="13">
        <f>IFERROR(FundManager[[#This Row],[Current Value]]-FundManager[[#This Row],[Amount Invested]]," ")</f>
        <v>0</v>
      </c>
      <c r="K271" s="14" t="str">
        <f t="shared" si="9"/>
        <v xml:space="preserve"> </v>
      </c>
      <c r="L271" s="15" t="str" cm="1">
        <f t="array" ref="L271">IFERROR(ROUND(_FV(B271,"Change (%)",TRUE),3) &amp; "%"," ")</f>
        <v xml:space="preserve"> </v>
      </c>
    </row>
    <row r="272" spans="1:12" x14ac:dyDescent="0.25">
      <c r="A272" s="19"/>
      <c r="C272" s="10" t="str" cm="1">
        <f t="array" ref="C272">IFERROR(_FV(FundManager[[#This Row],[Name]],"Ticker symbol",TRUE)," ")</f>
        <v xml:space="preserve"> </v>
      </c>
      <c r="E272" s="13"/>
      <c r="F272" s="13" t="str" cm="1">
        <f t="array" ref="F272">IFERROR(_FV(B272,"Price")," ")</f>
        <v xml:space="preserve"> </v>
      </c>
      <c r="G272" s="10" t="str">
        <f t="shared" si="8"/>
        <v xml:space="preserve"> </v>
      </c>
      <c r="H272" s="13"/>
      <c r="I272" s="24"/>
      <c r="J272" s="13">
        <f>IFERROR(FundManager[[#This Row],[Current Value]]-FundManager[[#This Row],[Amount Invested]]," ")</f>
        <v>0</v>
      </c>
      <c r="K272" s="14" t="str">
        <f t="shared" si="9"/>
        <v xml:space="preserve"> </v>
      </c>
      <c r="L272" s="15" t="str" cm="1">
        <f t="array" ref="L272">IFERROR(ROUND(_FV(B272,"Change (%)",TRUE),3) &amp; "%"," ")</f>
        <v xml:space="preserve"> </v>
      </c>
    </row>
    <row r="273" spans="1:12" x14ac:dyDescent="0.25">
      <c r="A273" s="19"/>
      <c r="C273" s="10" t="str" cm="1">
        <f t="array" ref="C273">IFERROR(_FV(FundManager[[#This Row],[Name]],"Ticker symbol",TRUE)," ")</f>
        <v xml:space="preserve"> </v>
      </c>
      <c r="E273" s="13"/>
      <c r="F273" s="13" t="str" cm="1">
        <f t="array" ref="F273">IFERROR(_FV(B273,"Price")," ")</f>
        <v xml:space="preserve"> </v>
      </c>
      <c r="G273" s="10" t="str">
        <f t="shared" si="8"/>
        <v xml:space="preserve"> </v>
      </c>
      <c r="H273" s="13"/>
      <c r="I273" s="24"/>
      <c r="J273" s="13">
        <f>IFERROR(FundManager[[#This Row],[Current Value]]-FundManager[[#This Row],[Amount Invested]]," ")</f>
        <v>0</v>
      </c>
      <c r="K273" s="14" t="str">
        <f t="shared" si="9"/>
        <v xml:space="preserve"> </v>
      </c>
      <c r="L273" s="15" t="str" cm="1">
        <f t="array" ref="L273">IFERROR(ROUND(_FV(B273,"Change (%)",TRUE),3) &amp; "%"," ")</f>
        <v xml:space="preserve"> </v>
      </c>
    </row>
    <row r="274" spans="1:12" x14ac:dyDescent="0.25">
      <c r="A274" s="19"/>
      <c r="C274" s="10" t="str" cm="1">
        <f t="array" ref="C274">IFERROR(_FV(FundManager[[#This Row],[Name]],"Ticker symbol",TRUE)," ")</f>
        <v xml:space="preserve"> </v>
      </c>
      <c r="E274" s="13"/>
      <c r="F274" s="13" t="str" cm="1">
        <f t="array" ref="F274">IFERROR(_FV(B274,"Price")," ")</f>
        <v xml:space="preserve"> </v>
      </c>
      <c r="G274" s="10" t="str">
        <f t="shared" si="8"/>
        <v xml:space="preserve"> </v>
      </c>
      <c r="H274" s="13"/>
      <c r="I274" s="24"/>
      <c r="J274" s="13">
        <f>IFERROR(FundManager[[#This Row],[Current Value]]-FundManager[[#This Row],[Amount Invested]]," ")</f>
        <v>0</v>
      </c>
      <c r="K274" s="14" t="str">
        <f t="shared" si="9"/>
        <v xml:space="preserve"> </v>
      </c>
      <c r="L274" s="15" t="str" cm="1">
        <f t="array" ref="L274">IFERROR(ROUND(_FV(B274,"Change (%)",TRUE),3) &amp; "%"," ")</f>
        <v xml:space="preserve"> </v>
      </c>
    </row>
    <row r="275" spans="1:12" x14ac:dyDescent="0.25">
      <c r="A275" s="19"/>
      <c r="C275" s="10" t="str" cm="1">
        <f t="array" ref="C275">IFERROR(_FV(FundManager[[#This Row],[Name]],"Ticker symbol",TRUE)," ")</f>
        <v xml:space="preserve"> </v>
      </c>
      <c r="E275" s="13"/>
      <c r="F275" s="13" t="str" cm="1">
        <f t="array" ref="F275">IFERROR(_FV(B275,"Price")," ")</f>
        <v xml:space="preserve"> </v>
      </c>
      <c r="G275" s="10" t="str">
        <f t="shared" si="8"/>
        <v xml:space="preserve"> </v>
      </c>
      <c r="H275" s="13"/>
      <c r="I275" s="24"/>
      <c r="J275" s="13">
        <f>IFERROR(FundManager[[#This Row],[Current Value]]-FundManager[[#This Row],[Amount Invested]]," ")</f>
        <v>0</v>
      </c>
      <c r="K275" s="14" t="str">
        <f t="shared" si="9"/>
        <v xml:space="preserve"> </v>
      </c>
      <c r="L275" s="15" t="str" cm="1">
        <f t="array" ref="L275">IFERROR(ROUND(_FV(B275,"Change (%)",TRUE),3) &amp; "%"," ")</f>
        <v xml:space="preserve"> </v>
      </c>
    </row>
    <row r="276" spans="1:12" x14ac:dyDescent="0.25">
      <c r="A276" s="19"/>
      <c r="C276" s="10" t="str" cm="1">
        <f t="array" ref="C276">IFERROR(_FV(FundManager[[#This Row],[Name]],"Ticker symbol",TRUE)," ")</f>
        <v xml:space="preserve"> </v>
      </c>
      <c r="E276" s="13"/>
      <c r="F276" s="13" t="str" cm="1">
        <f t="array" ref="F276">IFERROR(_FV(B276,"Price")," ")</f>
        <v xml:space="preserve"> </v>
      </c>
      <c r="G276" s="10" t="str">
        <f t="shared" si="8"/>
        <v xml:space="preserve"> </v>
      </c>
      <c r="H276" s="13"/>
      <c r="I276" s="24"/>
      <c r="J276" s="13">
        <f>IFERROR(FundManager[[#This Row],[Current Value]]-FundManager[[#This Row],[Amount Invested]]," ")</f>
        <v>0</v>
      </c>
      <c r="K276" s="14" t="str">
        <f t="shared" si="9"/>
        <v xml:space="preserve"> </v>
      </c>
      <c r="L276" s="15" t="str" cm="1">
        <f t="array" ref="L276">IFERROR(ROUND(_FV(B276,"Change (%)",TRUE),3) &amp; "%"," ")</f>
        <v xml:space="preserve"> </v>
      </c>
    </row>
    <row r="277" spans="1:12" x14ac:dyDescent="0.25">
      <c r="A277" s="19"/>
      <c r="C277" s="10" t="str" cm="1">
        <f t="array" ref="C277">IFERROR(_FV(FundManager[[#This Row],[Name]],"Ticker symbol",TRUE)," ")</f>
        <v xml:space="preserve"> </v>
      </c>
      <c r="E277" s="13"/>
      <c r="F277" s="13" t="str" cm="1">
        <f t="array" ref="F277">IFERROR(_FV(B277,"Price")," ")</f>
        <v xml:space="preserve"> </v>
      </c>
      <c r="G277" s="10" t="str">
        <f t="shared" si="8"/>
        <v xml:space="preserve"> </v>
      </c>
      <c r="H277" s="13"/>
      <c r="I277" s="24"/>
      <c r="J277" s="13">
        <f>IFERROR(FundManager[[#This Row],[Current Value]]-FundManager[[#This Row],[Amount Invested]]," ")</f>
        <v>0</v>
      </c>
      <c r="K277" s="14" t="str">
        <f t="shared" si="9"/>
        <v xml:space="preserve"> </v>
      </c>
      <c r="L277" s="15" t="str" cm="1">
        <f t="array" ref="L277">IFERROR(ROUND(_FV(B277,"Change (%)",TRUE),3) &amp; "%"," ")</f>
        <v xml:space="preserve"> </v>
      </c>
    </row>
    <row r="278" spans="1:12" x14ac:dyDescent="0.25">
      <c r="A278" s="19"/>
      <c r="C278" s="10" t="str" cm="1">
        <f t="array" ref="C278">IFERROR(_FV(FundManager[[#This Row],[Name]],"Ticker symbol",TRUE)," ")</f>
        <v xml:space="preserve"> </v>
      </c>
      <c r="E278" s="13"/>
      <c r="F278" s="13" t="str" cm="1">
        <f t="array" ref="F278">IFERROR(_FV(B278,"Price")," ")</f>
        <v xml:space="preserve"> </v>
      </c>
      <c r="G278" s="10" t="str">
        <f t="shared" si="8"/>
        <v xml:space="preserve"> </v>
      </c>
      <c r="H278" s="13"/>
      <c r="I278" s="24"/>
      <c r="J278" s="13">
        <f>IFERROR(FundManager[[#This Row],[Current Value]]-FundManager[[#This Row],[Amount Invested]]," ")</f>
        <v>0</v>
      </c>
      <c r="K278" s="14" t="str">
        <f t="shared" si="9"/>
        <v xml:space="preserve"> </v>
      </c>
      <c r="L278" s="15" t="str" cm="1">
        <f t="array" ref="L278">IFERROR(ROUND(_FV(B278,"Change (%)",TRUE),3) &amp; "%"," ")</f>
        <v xml:space="preserve"> </v>
      </c>
    </row>
    <row r="279" spans="1:12" x14ac:dyDescent="0.25">
      <c r="A279" s="19"/>
      <c r="C279" s="10" t="str" cm="1">
        <f t="array" ref="C279">IFERROR(_FV(FundManager[[#This Row],[Name]],"Ticker symbol",TRUE)," ")</f>
        <v xml:space="preserve"> </v>
      </c>
      <c r="E279" s="13"/>
      <c r="F279" s="13" t="str" cm="1">
        <f t="array" ref="F279">IFERROR(_FV(B279,"Price")," ")</f>
        <v xml:space="preserve"> </v>
      </c>
      <c r="G279" s="10" t="str">
        <f t="shared" ref="G279:G342" si="10">IFERROR(H279/E279," ")</f>
        <v xml:space="preserve"> </v>
      </c>
      <c r="H279" s="13"/>
      <c r="I279" s="24"/>
      <c r="J279" s="13">
        <f>IFERROR(FundManager[[#This Row],[Current Value]]-FundManager[[#This Row],[Amount Invested]]," ")</f>
        <v>0</v>
      </c>
      <c r="K279" s="14" t="str">
        <f t="shared" ref="K279:K342" si="11">IFERROR((I279-H279)/H279," ")</f>
        <v xml:space="preserve"> </v>
      </c>
      <c r="L279" s="15" t="str" cm="1">
        <f t="array" ref="L279">IFERROR(ROUND(_FV(B279,"Change (%)",TRUE),3) &amp; "%"," ")</f>
        <v xml:space="preserve"> </v>
      </c>
    </row>
    <row r="280" spans="1:12" x14ac:dyDescent="0.25">
      <c r="A280" s="19"/>
      <c r="C280" s="10" t="str" cm="1">
        <f t="array" ref="C280">IFERROR(_FV(FundManager[[#This Row],[Name]],"Ticker symbol",TRUE)," ")</f>
        <v xml:space="preserve"> </v>
      </c>
      <c r="E280" s="13"/>
      <c r="F280" s="13" t="str" cm="1">
        <f t="array" ref="F280">IFERROR(_FV(B280,"Price")," ")</f>
        <v xml:space="preserve"> </v>
      </c>
      <c r="G280" s="10" t="str">
        <f t="shared" si="10"/>
        <v xml:space="preserve"> </v>
      </c>
      <c r="H280" s="13"/>
      <c r="I280" s="24"/>
      <c r="J280" s="13">
        <f>IFERROR(FundManager[[#This Row],[Current Value]]-FundManager[[#This Row],[Amount Invested]]," ")</f>
        <v>0</v>
      </c>
      <c r="K280" s="14" t="str">
        <f t="shared" si="11"/>
        <v xml:space="preserve"> </v>
      </c>
      <c r="L280" s="15" t="str" cm="1">
        <f t="array" ref="L280">IFERROR(ROUND(_FV(B280,"Change (%)",TRUE),3) &amp; "%"," ")</f>
        <v xml:space="preserve"> </v>
      </c>
    </row>
    <row r="281" spans="1:12" x14ac:dyDescent="0.25">
      <c r="A281" s="19"/>
      <c r="C281" s="10" t="str" cm="1">
        <f t="array" ref="C281">IFERROR(_FV(FundManager[[#This Row],[Name]],"Ticker symbol",TRUE)," ")</f>
        <v xml:space="preserve"> </v>
      </c>
      <c r="E281" s="13"/>
      <c r="F281" s="13" t="str" cm="1">
        <f t="array" ref="F281">IFERROR(_FV(B281,"Price")," ")</f>
        <v xml:space="preserve"> </v>
      </c>
      <c r="G281" s="10" t="str">
        <f t="shared" si="10"/>
        <v xml:space="preserve"> </v>
      </c>
      <c r="H281" s="13"/>
      <c r="I281" s="24"/>
      <c r="J281" s="13">
        <f>IFERROR(FundManager[[#This Row],[Current Value]]-FundManager[[#This Row],[Amount Invested]]," ")</f>
        <v>0</v>
      </c>
      <c r="K281" s="14" t="str">
        <f t="shared" si="11"/>
        <v xml:space="preserve"> </v>
      </c>
      <c r="L281" s="15" t="str" cm="1">
        <f t="array" ref="L281">IFERROR(ROUND(_FV(B281,"Change (%)",TRUE),3) &amp; "%"," ")</f>
        <v xml:space="preserve"> </v>
      </c>
    </row>
    <row r="282" spans="1:12" x14ac:dyDescent="0.25">
      <c r="A282" s="19"/>
      <c r="C282" s="10" t="str" cm="1">
        <f t="array" ref="C282">IFERROR(_FV(FundManager[[#This Row],[Name]],"Ticker symbol",TRUE)," ")</f>
        <v xml:space="preserve"> </v>
      </c>
      <c r="E282" s="13"/>
      <c r="F282" s="13" t="str" cm="1">
        <f t="array" ref="F282">IFERROR(_FV(B282,"Price")," ")</f>
        <v xml:space="preserve"> </v>
      </c>
      <c r="G282" s="10" t="str">
        <f t="shared" si="10"/>
        <v xml:space="preserve"> </v>
      </c>
      <c r="H282" s="13"/>
      <c r="I282" s="24"/>
      <c r="J282" s="13">
        <f>IFERROR(FundManager[[#This Row],[Current Value]]-FundManager[[#This Row],[Amount Invested]]," ")</f>
        <v>0</v>
      </c>
      <c r="K282" s="14" t="str">
        <f t="shared" si="11"/>
        <v xml:space="preserve"> </v>
      </c>
      <c r="L282" s="15" t="str" cm="1">
        <f t="array" ref="L282">IFERROR(ROUND(_FV(B282,"Change (%)",TRUE),3) &amp; "%"," ")</f>
        <v xml:space="preserve"> </v>
      </c>
    </row>
    <row r="283" spans="1:12" x14ac:dyDescent="0.25">
      <c r="A283" s="19"/>
      <c r="C283" s="10" t="str" cm="1">
        <f t="array" ref="C283">IFERROR(_FV(FundManager[[#This Row],[Name]],"Ticker symbol",TRUE)," ")</f>
        <v xml:space="preserve"> </v>
      </c>
      <c r="E283" s="13"/>
      <c r="F283" s="13" t="str" cm="1">
        <f t="array" ref="F283">IFERROR(_FV(B283,"Price")," ")</f>
        <v xml:space="preserve"> </v>
      </c>
      <c r="G283" s="10" t="str">
        <f t="shared" si="10"/>
        <v xml:space="preserve"> </v>
      </c>
      <c r="H283" s="13"/>
      <c r="I283" s="24"/>
      <c r="J283" s="13">
        <f>IFERROR(FundManager[[#This Row],[Current Value]]-FundManager[[#This Row],[Amount Invested]]," ")</f>
        <v>0</v>
      </c>
      <c r="K283" s="14" t="str">
        <f t="shared" si="11"/>
        <v xml:space="preserve"> </v>
      </c>
      <c r="L283" s="15" t="str" cm="1">
        <f t="array" ref="L283">IFERROR(ROUND(_FV(B283,"Change (%)",TRUE),3) &amp; "%"," ")</f>
        <v xml:space="preserve"> </v>
      </c>
    </row>
    <row r="284" spans="1:12" x14ac:dyDescent="0.25">
      <c r="A284" s="19"/>
      <c r="C284" s="10" t="str" cm="1">
        <f t="array" ref="C284">IFERROR(_FV(FundManager[[#This Row],[Name]],"Ticker symbol",TRUE)," ")</f>
        <v xml:space="preserve"> </v>
      </c>
      <c r="E284" s="13"/>
      <c r="F284" s="13" t="str" cm="1">
        <f t="array" ref="F284">IFERROR(_FV(B284,"Price")," ")</f>
        <v xml:space="preserve"> </v>
      </c>
      <c r="G284" s="10" t="str">
        <f t="shared" si="10"/>
        <v xml:space="preserve"> </v>
      </c>
      <c r="H284" s="13"/>
      <c r="I284" s="24"/>
      <c r="J284" s="13">
        <f>IFERROR(FundManager[[#This Row],[Current Value]]-FundManager[[#This Row],[Amount Invested]]," ")</f>
        <v>0</v>
      </c>
      <c r="K284" s="14" t="str">
        <f t="shared" si="11"/>
        <v xml:space="preserve"> </v>
      </c>
      <c r="L284" s="15" t="str" cm="1">
        <f t="array" ref="L284">IFERROR(ROUND(_FV(B284,"Change (%)",TRUE),3) &amp; "%"," ")</f>
        <v xml:space="preserve"> </v>
      </c>
    </row>
    <row r="285" spans="1:12" x14ac:dyDescent="0.25">
      <c r="A285" s="19"/>
      <c r="C285" s="10" t="str" cm="1">
        <f t="array" ref="C285">IFERROR(_FV(FundManager[[#This Row],[Name]],"Ticker symbol",TRUE)," ")</f>
        <v xml:space="preserve"> </v>
      </c>
      <c r="E285" s="13"/>
      <c r="F285" s="13" t="str" cm="1">
        <f t="array" ref="F285">IFERROR(_FV(B285,"Price")," ")</f>
        <v xml:space="preserve"> </v>
      </c>
      <c r="G285" s="10" t="str">
        <f t="shared" si="10"/>
        <v xml:space="preserve"> </v>
      </c>
      <c r="H285" s="13"/>
      <c r="I285" s="24"/>
      <c r="J285" s="13">
        <f>IFERROR(FundManager[[#This Row],[Current Value]]-FundManager[[#This Row],[Amount Invested]]," ")</f>
        <v>0</v>
      </c>
      <c r="K285" s="14" t="str">
        <f t="shared" si="11"/>
        <v xml:space="preserve"> </v>
      </c>
      <c r="L285" s="15" t="str" cm="1">
        <f t="array" ref="L285">IFERROR(ROUND(_FV(B285,"Change (%)",TRUE),3) &amp; "%"," ")</f>
        <v xml:space="preserve"> </v>
      </c>
    </row>
    <row r="286" spans="1:12" x14ac:dyDescent="0.25">
      <c r="A286" s="19"/>
      <c r="C286" s="10" t="str" cm="1">
        <f t="array" ref="C286">IFERROR(_FV(FundManager[[#This Row],[Name]],"Ticker symbol",TRUE)," ")</f>
        <v xml:space="preserve"> </v>
      </c>
      <c r="E286" s="13"/>
      <c r="F286" s="13" t="str" cm="1">
        <f t="array" ref="F286">IFERROR(_FV(B286,"Price")," ")</f>
        <v xml:space="preserve"> </v>
      </c>
      <c r="G286" s="10" t="str">
        <f t="shared" si="10"/>
        <v xml:space="preserve"> </v>
      </c>
      <c r="H286" s="13"/>
      <c r="I286" s="24"/>
      <c r="J286" s="13">
        <f>IFERROR(FundManager[[#This Row],[Current Value]]-FundManager[[#This Row],[Amount Invested]]," ")</f>
        <v>0</v>
      </c>
      <c r="K286" s="14" t="str">
        <f t="shared" si="11"/>
        <v xml:space="preserve"> </v>
      </c>
      <c r="L286" s="15" t="str" cm="1">
        <f t="array" ref="L286">IFERROR(ROUND(_FV(B286,"Change (%)",TRUE),3) &amp; "%"," ")</f>
        <v xml:space="preserve"> </v>
      </c>
    </row>
    <row r="287" spans="1:12" x14ac:dyDescent="0.25">
      <c r="A287" s="19"/>
      <c r="C287" s="10" t="str" cm="1">
        <f t="array" ref="C287">IFERROR(_FV(FundManager[[#This Row],[Name]],"Ticker symbol",TRUE)," ")</f>
        <v xml:space="preserve"> </v>
      </c>
      <c r="E287" s="13"/>
      <c r="F287" s="13" t="str" cm="1">
        <f t="array" ref="F287">IFERROR(_FV(B287,"Price")," ")</f>
        <v xml:space="preserve"> </v>
      </c>
      <c r="G287" s="10" t="str">
        <f t="shared" si="10"/>
        <v xml:space="preserve"> </v>
      </c>
      <c r="H287" s="13"/>
      <c r="I287" s="24"/>
      <c r="J287" s="13">
        <f>IFERROR(FundManager[[#This Row],[Current Value]]-FundManager[[#This Row],[Amount Invested]]," ")</f>
        <v>0</v>
      </c>
      <c r="K287" s="14" t="str">
        <f t="shared" si="11"/>
        <v xml:space="preserve"> </v>
      </c>
      <c r="L287" s="15" t="str" cm="1">
        <f t="array" ref="L287">IFERROR(ROUND(_FV(B287,"Change (%)",TRUE),3) &amp; "%"," ")</f>
        <v xml:space="preserve"> </v>
      </c>
    </row>
    <row r="288" spans="1:12" x14ac:dyDescent="0.25">
      <c r="A288" s="19"/>
      <c r="C288" s="10" t="str" cm="1">
        <f t="array" ref="C288">IFERROR(_FV(FundManager[[#This Row],[Name]],"Ticker symbol",TRUE)," ")</f>
        <v xml:space="preserve"> </v>
      </c>
      <c r="E288" s="13"/>
      <c r="F288" s="13" t="str" cm="1">
        <f t="array" ref="F288">IFERROR(_FV(B288,"Price")," ")</f>
        <v xml:space="preserve"> </v>
      </c>
      <c r="G288" s="10" t="str">
        <f t="shared" si="10"/>
        <v xml:space="preserve"> </v>
      </c>
      <c r="H288" s="13"/>
      <c r="I288" s="24"/>
      <c r="J288" s="13">
        <f>IFERROR(FundManager[[#This Row],[Current Value]]-FundManager[[#This Row],[Amount Invested]]," ")</f>
        <v>0</v>
      </c>
      <c r="K288" s="14" t="str">
        <f t="shared" si="11"/>
        <v xml:space="preserve"> </v>
      </c>
      <c r="L288" s="15" t="str" cm="1">
        <f t="array" ref="L288">IFERROR(ROUND(_FV(B288,"Change (%)",TRUE),3) &amp; "%"," ")</f>
        <v xml:space="preserve"> </v>
      </c>
    </row>
    <row r="289" spans="1:12" x14ac:dyDescent="0.25">
      <c r="A289" s="19"/>
      <c r="C289" s="10" t="str" cm="1">
        <f t="array" ref="C289">IFERROR(_FV(FundManager[[#This Row],[Name]],"Ticker symbol",TRUE)," ")</f>
        <v xml:space="preserve"> </v>
      </c>
      <c r="E289" s="13"/>
      <c r="F289" s="13" t="str" cm="1">
        <f t="array" ref="F289">IFERROR(_FV(B289,"Price")," ")</f>
        <v xml:space="preserve"> </v>
      </c>
      <c r="G289" s="10" t="str">
        <f t="shared" si="10"/>
        <v xml:space="preserve"> </v>
      </c>
      <c r="H289" s="13"/>
      <c r="I289" s="24"/>
      <c r="J289" s="13">
        <f>IFERROR(FundManager[[#This Row],[Current Value]]-FundManager[[#This Row],[Amount Invested]]," ")</f>
        <v>0</v>
      </c>
      <c r="K289" s="14" t="str">
        <f t="shared" si="11"/>
        <v xml:space="preserve"> </v>
      </c>
      <c r="L289" s="15" t="str" cm="1">
        <f t="array" ref="L289">IFERROR(ROUND(_FV(B289,"Change (%)",TRUE),3) &amp; "%"," ")</f>
        <v xml:space="preserve"> </v>
      </c>
    </row>
    <row r="290" spans="1:12" x14ac:dyDescent="0.25">
      <c r="A290" s="19"/>
      <c r="C290" s="10" t="str" cm="1">
        <f t="array" ref="C290">IFERROR(_FV(FundManager[[#This Row],[Name]],"Ticker symbol",TRUE)," ")</f>
        <v xml:space="preserve"> </v>
      </c>
      <c r="E290" s="13"/>
      <c r="F290" s="13" t="str" cm="1">
        <f t="array" ref="F290">IFERROR(_FV(B290,"Price")," ")</f>
        <v xml:space="preserve"> </v>
      </c>
      <c r="G290" s="10" t="str">
        <f t="shared" si="10"/>
        <v xml:space="preserve"> </v>
      </c>
      <c r="H290" s="13"/>
      <c r="I290" s="24"/>
      <c r="J290" s="13">
        <f>IFERROR(FundManager[[#This Row],[Current Value]]-FundManager[[#This Row],[Amount Invested]]," ")</f>
        <v>0</v>
      </c>
      <c r="K290" s="14" t="str">
        <f t="shared" si="11"/>
        <v xml:space="preserve"> </v>
      </c>
      <c r="L290" s="15" t="str" cm="1">
        <f t="array" ref="L290">IFERROR(ROUND(_FV(B290,"Change (%)",TRUE),3) &amp; "%"," ")</f>
        <v xml:space="preserve"> </v>
      </c>
    </row>
    <row r="291" spans="1:12" x14ac:dyDescent="0.25">
      <c r="A291" s="19"/>
      <c r="C291" s="10" t="str" cm="1">
        <f t="array" ref="C291">IFERROR(_FV(FundManager[[#This Row],[Name]],"Ticker symbol",TRUE)," ")</f>
        <v xml:space="preserve"> </v>
      </c>
      <c r="E291" s="13"/>
      <c r="F291" s="13" t="str" cm="1">
        <f t="array" ref="F291">IFERROR(_FV(B291,"Price")," ")</f>
        <v xml:space="preserve"> </v>
      </c>
      <c r="G291" s="10" t="str">
        <f t="shared" si="10"/>
        <v xml:space="preserve"> </v>
      </c>
      <c r="H291" s="13"/>
      <c r="I291" s="24"/>
      <c r="J291" s="13">
        <f>IFERROR(FundManager[[#This Row],[Current Value]]-FundManager[[#This Row],[Amount Invested]]," ")</f>
        <v>0</v>
      </c>
      <c r="K291" s="14" t="str">
        <f t="shared" si="11"/>
        <v xml:space="preserve"> </v>
      </c>
      <c r="L291" s="15" t="str" cm="1">
        <f t="array" ref="L291">IFERROR(ROUND(_FV(B291,"Change (%)",TRUE),3) &amp; "%"," ")</f>
        <v xml:space="preserve"> </v>
      </c>
    </row>
    <row r="292" spans="1:12" x14ac:dyDescent="0.25">
      <c r="A292" s="19"/>
      <c r="C292" s="10" t="str" cm="1">
        <f t="array" ref="C292">IFERROR(_FV(FundManager[[#This Row],[Name]],"Ticker symbol",TRUE)," ")</f>
        <v xml:space="preserve"> </v>
      </c>
      <c r="E292" s="13"/>
      <c r="F292" s="13" t="str" cm="1">
        <f t="array" ref="F292">IFERROR(_FV(B292,"Price")," ")</f>
        <v xml:space="preserve"> </v>
      </c>
      <c r="G292" s="10" t="str">
        <f t="shared" si="10"/>
        <v xml:space="preserve"> </v>
      </c>
      <c r="H292" s="13"/>
      <c r="I292" s="24"/>
      <c r="J292" s="13">
        <f>IFERROR(FundManager[[#This Row],[Current Value]]-FundManager[[#This Row],[Amount Invested]]," ")</f>
        <v>0</v>
      </c>
      <c r="K292" s="14" t="str">
        <f t="shared" si="11"/>
        <v xml:space="preserve"> </v>
      </c>
      <c r="L292" s="15" t="str" cm="1">
        <f t="array" ref="L292">IFERROR(ROUND(_FV(B292,"Change (%)",TRUE),3) &amp; "%"," ")</f>
        <v xml:space="preserve"> </v>
      </c>
    </row>
    <row r="293" spans="1:12" x14ac:dyDescent="0.25">
      <c r="A293" s="19"/>
      <c r="C293" s="10" t="str" cm="1">
        <f t="array" ref="C293">IFERROR(_FV(FundManager[[#This Row],[Name]],"Ticker symbol",TRUE)," ")</f>
        <v xml:space="preserve"> </v>
      </c>
      <c r="E293" s="13"/>
      <c r="F293" s="13" t="str" cm="1">
        <f t="array" ref="F293">IFERROR(_FV(B293,"Price")," ")</f>
        <v xml:space="preserve"> </v>
      </c>
      <c r="G293" s="10" t="str">
        <f t="shared" si="10"/>
        <v xml:space="preserve"> </v>
      </c>
      <c r="H293" s="13"/>
      <c r="I293" s="24"/>
      <c r="J293" s="13">
        <f>IFERROR(FundManager[[#This Row],[Current Value]]-FundManager[[#This Row],[Amount Invested]]," ")</f>
        <v>0</v>
      </c>
      <c r="K293" s="14" t="str">
        <f t="shared" si="11"/>
        <v xml:space="preserve"> </v>
      </c>
      <c r="L293" s="15" t="str" cm="1">
        <f t="array" ref="L293">IFERROR(ROUND(_FV(B293,"Change (%)",TRUE),3) &amp; "%"," ")</f>
        <v xml:space="preserve"> </v>
      </c>
    </row>
    <row r="294" spans="1:12" x14ac:dyDescent="0.25">
      <c r="A294" s="19"/>
      <c r="C294" s="10" t="str" cm="1">
        <f t="array" ref="C294">IFERROR(_FV(FundManager[[#This Row],[Name]],"Ticker symbol",TRUE)," ")</f>
        <v xml:space="preserve"> </v>
      </c>
      <c r="E294" s="13"/>
      <c r="F294" s="13" t="str" cm="1">
        <f t="array" ref="F294">IFERROR(_FV(B294,"Price")," ")</f>
        <v xml:space="preserve"> </v>
      </c>
      <c r="G294" s="10" t="str">
        <f t="shared" si="10"/>
        <v xml:space="preserve"> </v>
      </c>
      <c r="H294" s="13"/>
      <c r="I294" s="24"/>
      <c r="J294" s="13">
        <f>IFERROR(FundManager[[#This Row],[Current Value]]-FundManager[[#This Row],[Amount Invested]]," ")</f>
        <v>0</v>
      </c>
      <c r="K294" s="14" t="str">
        <f t="shared" si="11"/>
        <v xml:space="preserve"> </v>
      </c>
      <c r="L294" s="15" t="str" cm="1">
        <f t="array" ref="L294">IFERROR(ROUND(_FV(B294,"Change (%)",TRUE),3) &amp; "%"," ")</f>
        <v xml:space="preserve"> </v>
      </c>
    </row>
    <row r="295" spans="1:12" x14ac:dyDescent="0.25">
      <c r="A295" s="19"/>
      <c r="C295" s="10" t="str" cm="1">
        <f t="array" ref="C295">IFERROR(_FV(FundManager[[#This Row],[Name]],"Ticker symbol",TRUE)," ")</f>
        <v xml:space="preserve"> </v>
      </c>
      <c r="E295" s="13"/>
      <c r="F295" s="13" t="str" cm="1">
        <f t="array" ref="F295">IFERROR(_FV(B295,"Price")," ")</f>
        <v xml:space="preserve"> </v>
      </c>
      <c r="G295" s="10" t="str">
        <f t="shared" si="10"/>
        <v xml:space="preserve"> </v>
      </c>
      <c r="H295" s="13"/>
      <c r="I295" s="24"/>
      <c r="J295" s="13">
        <f>IFERROR(FundManager[[#This Row],[Current Value]]-FundManager[[#This Row],[Amount Invested]]," ")</f>
        <v>0</v>
      </c>
      <c r="K295" s="14" t="str">
        <f t="shared" si="11"/>
        <v xml:space="preserve"> </v>
      </c>
      <c r="L295" s="15" t="str" cm="1">
        <f t="array" ref="L295">IFERROR(ROUND(_FV(B295,"Change (%)",TRUE),3) &amp; "%"," ")</f>
        <v xml:space="preserve"> </v>
      </c>
    </row>
    <row r="296" spans="1:12" x14ac:dyDescent="0.25">
      <c r="A296" s="19"/>
      <c r="C296" s="10" t="str" cm="1">
        <f t="array" ref="C296">IFERROR(_FV(FundManager[[#This Row],[Name]],"Ticker symbol",TRUE)," ")</f>
        <v xml:space="preserve"> </v>
      </c>
      <c r="E296" s="13"/>
      <c r="F296" s="13" t="str" cm="1">
        <f t="array" ref="F296">IFERROR(_FV(B296,"Price")," ")</f>
        <v xml:space="preserve"> </v>
      </c>
      <c r="G296" s="10" t="str">
        <f t="shared" si="10"/>
        <v xml:space="preserve"> </v>
      </c>
      <c r="H296" s="13"/>
      <c r="I296" s="24"/>
      <c r="J296" s="13">
        <f>IFERROR(FundManager[[#This Row],[Current Value]]-FundManager[[#This Row],[Amount Invested]]," ")</f>
        <v>0</v>
      </c>
      <c r="K296" s="14" t="str">
        <f t="shared" si="11"/>
        <v xml:space="preserve"> </v>
      </c>
      <c r="L296" s="15" t="str" cm="1">
        <f t="array" ref="L296">IFERROR(ROUND(_FV(B296,"Change (%)",TRUE),3) &amp; "%"," ")</f>
        <v xml:space="preserve"> </v>
      </c>
    </row>
    <row r="297" spans="1:12" x14ac:dyDescent="0.25">
      <c r="A297" s="19"/>
      <c r="C297" s="10" t="str" cm="1">
        <f t="array" ref="C297">IFERROR(_FV(FundManager[[#This Row],[Name]],"Ticker symbol",TRUE)," ")</f>
        <v xml:space="preserve"> </v>
      </c>
      <c r="E297" s="13"/>
      <c r="F297" s="13" t="str" cm="1">
        <f t="array" ref="F297">IFERROR(_FV(B297,"Price")," ")</f>
        <v xml:space="preserve"> </v>
      </c>
      <c r="G297" s="10" t="str">
        <f t="shared" si="10"/>
        <v xml:space="preserve"> </v>
      </c>
      <c r="H297" s="13"/>
      <c r="I297" s="24"/>
      <c r="J297" s="13">
        <f>IFERROR(FundManager[[#This Row],[Current Value]]-FundManager[[#This Row],[Amount Invested]]," ")</f>
        <v>0</v>
      </c>
      <c r="K297" s="14" t="str">
        <f t="shared" si="11"/>
        <v xml:space="preserve"> </v>
      </c>
      <c r="L297" s="15" t="str" cm="1">
        <f t="array" ref="L297">IFERROR(ROUND(_FV(B297,"Change (%)",TRUE),3) &amp; "%"," ")</f>
        <v xml:space="preserve"> </v>
      </c>
    </row>
    <row r="298" spans="1:12" x14ac:dyDescent="0.25">
      <c r="A298" s="19"/>
      <c r="C298" s="10" t="str" cm="1">
        <f t="array" ref="C298">IFERROR(_FV(FundManager[[#This Row],[Name]],"Ticker symbol",TRUE)," ")</f>
        <v xml:space="preserve"> </v>
      </c>
      <c r="E298" s="13"/>
      <c r="F298" s="13" t="str" cm="1">
        <f t="array" ref="F298">IFERROR(_FV(B298,"Price")," ")</f>
        <v xml:space="preserve"> </v>
      </c>
      <c r="G298" s="10" t="str">
        <f t="shared" si="10"/>
        <v xml:space="preserve"> </v>
      </c>
      <c r="H298" s="13"/>
      <c r="I298" s="24"/>
      <c r="J298" s="13">
        <f>IFERROR(FundManager[[#This Row],[Current Value]]-FundManager[[#This Row],[Amount Invested]]," ")</f>
        <v>0</v>
      </c>
      <c r="K298" s="14" t="str">
        <f t="shared" si="11"/>
        <v xml:space="preserve"> </v>
      </c>
      <c r="L298" s="15" t="str" cm="1">
        <f t="array" ref="L298">IFERROR(ROUND(_FV(B298,"Change (%)",TRUE),3) &amp; "%"," ")</f>
        <v xml:space="preserve"> </v>
      </c>
    </row>
    <row r="299" spans="1:12" x14ac:dyDescent="0.25">
      <c r="A299" s="19"/>
      <c r="C299" s="10" t="str" cm="1">
        <f t="array" ref="C299">IFERROR(_FV(FundManager[[#This Row],[Name]],"Ticker symbol",TRUE)," ")</f>
        <v xml:space="preserve"> </v>
      </c>
      <c r="E299" s="13"/>
      <c r="F299" s="13" t="str" cm="1">
        <f t="array" ref="F299">IFERROR(_FV(B299,"Price")," ")</f>
        <v xml:space="preserve"> </v>
      </c>
      <c r="G299" s="10" t="str">
        <f t="shared" si="10"/>
        <v xml:space="preserve"> </v>
      </c>
      <c r="H299" s="13"/>
      <c r="I299" s="24"/>
      <c r="J299" s="13">
        <f>IFERROR(FundManager[[#This Row],[Current Value]]-FundManager[[#This Row],[Amount Invested]]," ")</f>
        <v>0</v>
      </c>
      <c r="K299" s="14" t="str">
        <f t="shared" si="11"/>
        <v xml:space="preserve"> </v>
      </c>
      <c r="L299" s="15" t="str" cm="1">
        <f t="array" ref="L299">IFERROR(ROUND(_FV(B299,"Change (%)",TRUE),3) &amp; "%"," ")</f>
        <v xml:space="preserve"> </v>
      </c>
    </row>
    <row r="300" spans="1:12" x14ac:dyDescent="0.25">
      <c r="A300" s="19"/>
      <c r="C300" s="10" t="str" cm="1">
        <f t="array" ref="C300">IFERROR(_FV(FundManager[[#This Row],[Name]],"Ticker symbol",TRUE)," ")</f>
        <v xml:space="preserve"> </v>
      </c>
      <c r="E300" s="13"/>
      <c r="F300" s="13" t="str" cm="1">
        <f t="array" ref="F300">IFERROR(_FV(B300,"Price")," ")</f>
        <v xml:space="preserve"> </v>
      </c>
      <c r="G300" s="10" t="str">
        <f t="shared" si="10"/>
        <v xml:space="preserve"> </v>
      </c>
      <c r="H300" s="13"/>
      <c r="I300" s="24"/>
      <c r="J300" s="13">
        <f>IFERROR(FundManager[[#This Row],[Current Value]]-FundManager[[#This Row],[Amount Invested]]," ")</f>
        <v>0</v>
      </c>
      <c r="K300" s="14" t="str">
        <f t="shared" si="11"/>
        <v xml:space="preserve"> </v>
      </c>
      <c r="L300" s="15" t="str" cm="1">
        <f t="array" ref="L300">IFERROR(ROUND(_FV(B300,"Change (%)",TRUE),3) &amp; "%"," ")</f>
        <v xml:space="preserve"> </v>
      </c>
    </row>
    <row r="301" spans="1:12" x14ac:dyDescent="0.25">
      <c r="A301" s="19"/>
      <c r="C301" s="10" t="str" cm="1">
        <f t="array" ref="C301">IFERROR(_FV(FundManager[[#This Row],[Name]],"Ticker symbol",TRUE)," ")</f>
        <v xml:space="preserve"> </v>
      </c>
      <c r="E301" s="13"/>
      <c r="F301" s="13" t="str" cm="1">
        <f t="array" ref="F301">IFERROR(_FV(B301,"Price")," ")</f>
        <v xml:space="preserve"> </v>
      </c>
      <c r="G301" s="10" t="str">
        <f t="shared" si="10"/>
        <v xml:space="preserve"> </v>
      </c>
      <c r="H301" s="13"/>
      <c r="I301" s="24"/>
      <c r="J301" s="13">
        <f>IFERROR(FundManager[[#This Row],[Current Value]]-FundManager[[#This Row],[Amount Invested]]," ")</f>
        <v>0</v>
      </c>
      <c r="K301" s="14" t="str">
        <f t="shared" si="11"/>
        <v xml:space="preserve"> </v>
      </c>
      <c r="L301" s="15" t="str" cm="1">
        <f t="array" ref="L301">IFERROR(ROUND(_FV(B301,"Change (%)",TRUE),3) &amp; "%"," ")</f>
        <v xml:space="preserve"> </v>
      </c>
    </row>
    <row r="302" spans="1:12" x14ac:dyDescent="0.25">
      <c r="A302" s="19"/>
      <c r="C302" s="10" t="str" cm="1">
        <f t="array" ref="C302">IFERROR(_FV(FundManager[[#This Row],[Name]],"Ticker symbol",TRUE)," ")</f>
        <v xml:space="preserve"> </v>
      </c>
      <c r="E302" s="13"/>
      <c r="F302" s="13" t="str" cm="1">
        <f t="array" ref="F302">IFERROR(_FV(B302,"Price")," ")</f>
        <v xml:space="preserve"> </v>
      </c>
      <c r="G302" s="10" t="str">
        <f t="shared" si="10"/>
        <v xml:space="preserve"> </v>
      </c>
      <c r="H302" s="13"/>
      <c r="I302" s="24"/>
      <c r="J302" s="13">
        <f>IFERROR(FundManager[[#This Row],[Current Value]]-FundManager[[#This Row],[Amount Invested]]," ")</f>
        <v>0</v>
      </c>
      <c r="K302" s="14" t="str">
        <f t="shared" si="11"/>
        <v xml:space="preserve"> </v>
      </c>
      <c r="L302" s="15" t="str" cm="1">
        <f t="array" ref="L302">IFERROR(ROUND(_FV(B302,"Change (%)",TRUE),3) &amp; "%"," ")</f>
        <v xml:space="preserve"> </v>
      </c>
    </row>
    <row r="303" spans="1:12" x14ac:dyDescent="0.25">
      <c r="A303" s="19"/>
      <c r="C303" s="10" t="str" cm="1">
        <f t="array" ref="C303">IFERROR(_FV(FundManager[[#This Row],[Name]],"Ticker symbol",TRUE)," ")</f>
        <v xml:space="preserve"> </v>
      </c>
      <c r="E303" s="13"/>
      <c r="F303" s="13" t="str" cm="1">
        <f t="array" ref="F303">IFERROR(_FV(B303,"Price")," ")</f>
        <v xml:space="preserve"> </v>
      </c>
      <c r="G303" s="10" t="str">
        <f t="shared" si="10"/>
        <v xml:space="preserve"> </v>
      </c>
      <c r="H303" s="13"/>
      <c r="I303" s="24"/>
      <c r="J303" s="13">
        <f>IFERROR(FundManager[[#This Row],[Current Value]]-FundManager[[#This Row],[Amount Invested]]," ")</f>
        <v>0</v>
      </c>
      <c r="K303" s="14" t="str">
        <f t="shared" si="11"/>
        <v xml:space="preserve"> </v>
      </c>
      <c r="L303" s="15" t="str" cm="1">
        <f t="array" ref="L303">IFERROR(ROUND(_FV(B303,"Change (%)",TRUE),3) &amp; "%"," ")</f>
        <v xml:space="preserve"> </v>
      </c>
    </row>
    <row r="304" spans="1:12" x14ac:dyDescent="0.25">
      <c r="A304" s="19"/>
      <c r="C304" s="10" t="str" cm="1">
        <f t="array" ref="C304">IFERROR(_FV(FundManager[[#This Row],[Name]],"Ticker symbol",TRUE)," ")</f>
        <v xml:space="preserve"> </v>
      </c>
      <c r="E304" s="13"/>
      <c r="F304" s="13" t="str" cm="1">
        <f t="array" ref="F304">IFERROR(_FV(B304,"Price")," ")</f>
        <v xml:space="preserve"> </v>
      </c>
      <c r="G304" s="10" t="str">
        <f t="shared" si="10"/>
        <v xml:space="preserve"> </v>
      </c>
      <c r="H304" s="13"/>
      <c r="I304" s="24"/>
      <c r="J304" s="13">
        <f>IFERROR(FundManager[[#This Row],[Current Value]]-FundManager[[#This Row],[Amount Invested]]," ")</f>
        <v>0</v>
      </c>
      <c r="K304" s="14" t="str">
        <f t="shared" si="11"/>
        <v xml:space="preserve"> </v>
      </c>
      <c r="L304" s="15" t="str" cm="1">
        <f t="array" ref="L304">IFERROR(ROUND(_FV(B304,"Change (%)",TRUE),3) &amp; "%"," ")</f>
        <v xml:space="preserve"> </v>
      </c>
    </row>
    <row r="305" spans="1:12" x14ac:dyDescent="0.25">
      <c r="A305" s="19"/>
      <c r="C305" s="10" t="str" cm="1">
        <f t="array" ref="C305">IFERROR(_FV(FundManager[[#This Row],[Name]],"Ticker symbol",TRUE)," ")</f>
        <v xml:space="preserve"> </v>
      </c>
      <c r="E305" s="13"/>
      <c r="F305" s="13" t="str" cm="1">
        <f t="array" ref="F305">IFERROR(_FV(B305,"Price")," ")</f>
        <v xml:space="preserve"> </v>
      </c>
      <c r="G305" s="10" t="str">
        <f t="shared" si="10"/>
        <v xml:space="preserve"> </v>
      </c>
      <c r="H305" s="13"/>
      <c r="I305" s="24"/>
      <c r="J305" s="13">
        <f>IFERROR(FundManager[[#This Row],[Current Value]]-FundManager[[#This Row],[Amount Invested]]," ")</f>
        <v>0</v>
      </c>
      <c r="K305" s="14" t="str">
        <f t="shared" si="11"/>
        <v xml:space="preserve"> </v>
      </c>
      <c r="L305" s="15" t="str" cm="1">
        <f t="array" ref="L305">IFERROR(ROUND(_FV(B305,"Change (%)",TRUE),3) &amp; "%"," ")</f>
        <v xml:space="preserve"> </v>
      </c>
    </row>
    <row r="306" spans="1:12" x14ac:dyDescent="0.25">
      <c r="A306" s="19"/>
      <c r="C306" s="10" t="str" cm="1">
        <f t="array" ref="C306">IFERROR(_FV(FundManager[[#This Row],[Name]],"Ticker symbol",TRUE)," ")</f>
        <v xml:space="preserve"> </v>
      </c>
      <c r="E306" s="13"/>
      <c r="F306" s="13" t="str" cm="1">
        <f t="array" ref="F306">IFERROR(_FV(B306,"Price")," ")</f>
        <v xml:space="preserve"> </v>
      </c>
      <c r="G306" s="10" t="str">
        <f t="shared" si="10"/>
        <v xml:space="preserve"> </v>
      </c>
      <c r="H306" s="13"/>
      <c r="I306" s="24"/>
      <c r="J306" s="13">
        <f>IFERROR(FundManager[[#This Row],[Current Value]]-FundManager[[#This Row],[Amount Invested]]," ")</f>
        <v>0</v>
      </c>
      <c r="K306" s="14" t="str">
        <f t="shared" si="11"/>
        <v xml:space="preserve"> </v>
      </c>
      <c r="L306" s="15" t="str" cm="1">
        <f t="array" ref="L306">IFERROR(ROUND(_FV(B306,"Change (%)",TRUE),3) &amp; "%"," ")</f>
        <v xml:space="preserve"> </v>
      </c>
    </row>
    <row r="307" spans="1:12" x14ac:dyDescent="0.25">
      <c r="A307" s="19"/>
      <c r="C307" s="10" t="str" cm="1">
        <f t="array" ref="C307">IFERROR(_FV(FundManager[[#This Row],[Name]],"Ticker symbol",TRUE)," ")</f>
        <v xml:space="preserve"> </v>
      </c>
      <c r="E307" s="13"/>
      <c r="F307" s="13" t="str" cm="1">
        <f t="array" ref="F307">IFERROR(_FV(B307,"Price")," ")</f>
        <v xml:space="preserve"> </v>
      </c>
      <c r="G307" s="10" t="str">
        <f t="shared" si="10"/>
        <v xml:space="preserve"> </v>
      </c>
      <c r="H307" s="13"/>
      <c r="I307" s="24"/>
      <c r="J307" s="13">
        <f>IFERROR(FundManager[[#This Row],[Current Value]]-FundManager[[#This Row],[Amount Invested]]," ")</f>
        <v>0</v>
      </c>
      <c r="K307" s="14" t="str">
        <f t="shared" si="11"/>
        <v xml:space="preserve"> </v>
      </c>
      <c r="L307" s="15" t="str" cm="1">
        <f t="array" ref="L307">IFERROR(ROUND(_FV(B307,"Change (%)",TRUE),3) &amp; "%"," ")</f>
        <v xml:space="preserve"> </v>
      </c>
    </row>
    <row r="308" spans="1:12" x14ac:dyDescent="0.25">
      <c r="A308" s="19"/>
      <c r="C308" s="10" t="str" cm="1">
        <f t="array" ref="C308">IFERROR(_FV(FundManager[[#This Row],[Name]],"Ticker symbol",TRUE)," ")</f>
        <v xml:space="preserve"> </v>
      </c>
      <c r="E308" s="13"/>
      <c r="F308" s="13" t="str" cm="1">
        <f t="array" ref="F308">IFERROR(_FV(B308,"Price")," ")</f>
        <v xml:space="preserve"> </v>
      </c>
      <c r="G308" s="10" t="str">
        <f t="shared" si="10"/>
        <v xml:space="preserve"> </v>
      </c>
      <c r="H308" s="13"/>
      <c r="I308" s="24"/>
      <c r="J308" s="13">
        <f>IFERROR(FundManager[[#This Row],[Current Value]]-FundManager[[#This Row],[Amount Invested]]," ")</f>
        <v>0</v>
      </c>
      <c r="K308" s="14" t="str">
        <f t="shared" si="11"/>
        <v xml:space="preserve"> </v>
      </c>
      <c r="L308" s="15" t="str" cm="1">
        <f t="array" ref="L308">IFERROR(ROUND(_FV(B308,"Change (%)",TRUE),3) &amp; "%"," ")</f>
        <v xml:space="preserve"> </v>
      </c>
    </row>
    <row r="309" spans="1:12" x14ac:dyDescent="0.25">
      <c r="A309" s="19"/>
      <c r="C309" s="10" t="str" cm="1">
        <f t="array" ref="C309">IFERROR(_FV(FundManager[[#This Row],[Name]],"Ticker symbol",TRUE)," ")</f>
        <v xml:space="preserve"> </v>
      </c>
      <c r="E309" s="13"/>
      <c r="F309" s="13" t="str" cm="1">
        <f t="array" ref="F309">IFERROR(_FV(B309,"Price")," ")</f>
        <v xml:space="preserve"> </v>
      </c>
      <c r="G309" s="10" t="str">
        <f t="shared" si="10"/>
        <v xml:space="preserve"> </v>
      </c>
      <c r="H309" s="13"/>
      <c r="I309" s="24"/>
      <c r="J309" s="13">
        <f>IFERROR(FundManager[[#This Row],[Current Value]]-FundManager[[#This Row],[Amount Invested]]," ")</f>
        <v>0</v>
      </c>
      <c r="K309" s="14" t="str">
        <f t="shared" si="11"/>
        <v xml:space="preserve"> </v>
      </c>
      <c r="L309" s="15" t="str" cm="1">
        <f t="array" ref="L309">IFERROR(ROUND(_FV(B309,"Change (%)",TRUE),3) &amp; "%"," ")</f>
        <v xml:space="preserve"> </v>
      </c>
    </row>
    <row r="310" spans="1:12" x14ac:dyDescent="0.25">
      <c r="A310" s="19"/>
      <c r="C310" s="10" t="str" cm="1">
        <f t="array" ref="C310">IFERROR(_FV(FundManager[[#This Row],[Name]],"Ticker symbol",TRUE)," ")</f>
        <v xml:space="preserve"> </v>
      </c>
      <c r="E310" s="13"/>
      <c r="F310" s="13" t="str" cm="1">
        <f t="array" ref="F310">IFERROR(_FV(B310,"Price")," ")</f>
        <v xml:space="preserve"> </v>
      </c>
      <c r="G310" s="10" t="str">
        <f t="shared" si="10"/>
        <v xml:space="preserve"> </v>
      </c>
      <c r="H310" s="13"/>
      <c r="I310" s="24"/>
      <c r="J310" s="13">
        <f>IFERROR(FundManager[[#This Row],[Current Value]]-FundManager[[#This Row],[Amount Invested]]," ")</f>
        <v>0</v>
      </c>
      <c r="K310" s="14" t="str">
        <f t="shared" si="11"/>
        <v xml:space="preserve"> </v>
      </c>
      <c r="L310" s="15" t="str" cm="1">
        <f t="array" ref="L310">IFERROR(ROUND(_FV(B310,"Change (%)",TRUE),3) &amp; "%"," ")</f>
        <v xml:space="preserve"> </v>
      </c>
    </row>
    <row r="311" spans="1:12" x14ac:dyDescent="0.25">
      <c r="A311" s="19"/>
      <c r="C311" s="10" t="str" cm="1">
        <f t="array" ref="C311">IFERROR(_FV(FundManager[[#This Row],[Name]],"Ticker symbol",TRUE)," ")</f>
        <v xml:space="preserve"> </v>
      </c>
      <c r="E311" s="13"/>
      <c r="F311" s="13" t="str" cm="1">
        <f t="array" ref="F311">IFERROR(_FV(B311,"Price")," ")</f>
        <v xml:space="preserve"> </v>
      </c>
      <c r="G311" s="10" t="str">
        <f t="shared" si="10"/>
        <v xml:space="preserve"> </v>
      </c>
      <c r="H311" s="13"/>
      <c r="I311" s="24"/>
      <c r="J311" s="13">
        <f>IFERROR(FundManager[[#This Row],[Current Value]]-FundManager[[#This Row],[Amount Invested]]," ")</f>
        <v>0</v>
      </c>
      <c r="K311" s="14" t="str">
        <f t="shared" si="11"/>
        <v xml:space="preserve"> </v>
      </c>
      <c r="L311" s="15" t="str" cm="1">
        <f t="array" ref="L311">IFERROR(ROUND(_FV(B311,"Change (%)",TRUE),3) &amp; "%"," ")</f>
        <v xml:space="preserve"> </v>
      </c>
    </row>
    <row r="312" spans="1:12" x14ac:dyDescent="0.25">
      <c r="A312" s="19"/>
      <c r="C312" s="10" t="str" cm="1">
        <f t="array" ref="C312">IFERROR(_FV(FundManager[[#This Row],[Name]],"Ticker symbol",TRUE)," ")</f>
        <v xml:space="preserve"> </v>
      </c>
      <c r="E312" s="13"/>
      <c r="F312" s="13" t="str" cm="1">
        <f t="array" ref="F312">IFERROR(_FV(B312,"Price")," ")</f>
        <v xml:space="preserve"> </v>
      </c>
      <c r="G312" s="10" t="str">
        <f t="shared" si="10"/>
        <v xml:space="preserve"> </v>
      </c>
      <c r="H312" s="13"/>
      <c r="I312" s="24"/>
      <c r="J312" s="13">
        <f>IFERROR(FundManager[[#This Row],[Current Value]]-FundManager[[#This Row],[Amount Invested]]," ")</f>
        <v>0</v>
      </c>
      <c r="K312" s="14" t="str">
        <f t="shared" si="11"/>
        <v xml:space="preserve"> </v>
      </c>
      <c r="L312" s="15" t="str" cm="1">
        <f t="array" ref="L312">IFERROR(ROUND(_FV(B312,"Change (%)",TRUE),3) &amp; "%"," ")</f>
        <v xml:space="preserve"> </v>
      </c>
    </row>
    <row r="313" spans="1:12" x14ac:dyDescent="0.25">
      <c r="A313" s="19"/>
      <c r="C313" s="10" t="str" cm="1">
        <f t="array" ref="C313">IFERROR(_FV(FundManager[[#This Row],[Name]],"Ticker symbol",TRUE)," ")</f>
        <v xml:space="preserve"> </v>
      </c>
      <c r="E313" s="13"/>
      <c r="F313" s="13" t="str" cm="1">
        <f t="array" ref="F313">IFERROR(_FV(B313,"Price")," ")</f>
        <v xml:space="preserve"> </v>
      </c>
      <c r="G313" s="10" t="str">
        <f t="shared" si="10"/>
        <v xml:space="preserve"> </v>
      </c>
      <c r="H313" s="13"/>
      <c r="I313" s="24"/>
      <c r="J313" s="13">
        <f>IFERROR(FundManager[[#This Row],[Current Value]]-FundManager[[#This Row],[Amount Invested]]," ")</f>
        <v>0</v>
      </c>
      <c r="K313" s="14" t="str">
        <f t="shared" si="11"/>
        <v xml:space="preserve"> </v>
      </c>
      <c r="L313" s="15" t="str" cm="1">
        <f t="array" ref="L313">IFERROR(ROUND(_FV(B313,"Change (%)",TRUE),3) &amp; "%"," ")</f>
        <v xml:space="preserve"> </v>
      </c>
    </row>
    <row r="314" spans="1:12" x14ac:dyDescent="0.25">
      <c r="A314" s="19"/>
      <c r="C314" s="10" t="str" cm="1">
        <f t="array" ref="C314">IFERROR(_FV(FundManager[[#This Row],[Name]],"Ticker symbol",TRUE)," ")</f>
        <v xml:space="preserve"> </v>
      </c>
      <c r="E314" s="13"/>
      <c r="F314" s="13" t="str" cm="1">
        <f t="array" ref="F314">IFERROR(_FV(B314,"Price")," ")</f>
        <v xml:space="preserve"> </v>
      </c>
      <c r="G314" s="10" t="str">
        <f t="shared" si="10"/>
        <v xml:space="preserve"> </v>
      </c>
      <c r="H314" s="13"/>
      <c r="I314" s="24"/>
      <c r="J314" s="13">
        <f>IFERROR(FundManager[[#This Row],[Current Value]]-FundManager[[#This Row],[Amount Invested]]," ")</f>
        <v>0</v>
      </c>
      <c r="K314" s="14" t="str">
        <f t="shared" si="11"/>
        <v xml:space="preserve"> </v>
      </c>
      <c r="L314" s="15" t="str" cm="1">
        <f t="array" ref="L314">IFERROR(ROUND(_FV(B314,"Change (%)",TRUE),3) &amp; "%"," ")</f>
        <v xml:space="preserve"> </v>
      </c>
    </row>
    <row r="315" spans="1:12" x14ac:dyDescent="0.25">
      <c r="A315" s="19"/>
      <c r="C315" s="10" t="str" cm="1">
        <f t="array" ref="C315">IFERROR(_FV(FundManager[[#This Row],[Name]],"Ticker symbol",TRUE)," ")</f>
        <v xml:space="preserve"> </v>
      </c>
      <c r="E315" s="13"/>
      <c r="F315" s="13" t="str" cm="1">
        <f t="array" ref="F315">IFERROR(_FV(B315,"Price")," ")</f>
        <v xml:space="preserve"> </v>
      </c>
      <c r="G315" s="10" t="str">
        <f t="shared" si="10"/>
        <v xml:space="preserve"> </v>
      </c>
      <c r="H315" s="13"/>
      <c r="I315" s="24"/>
      <c r="J315" s="13">
        <f>IFERROR(FundManager[[#This Row],[Current Value]]-FundManager[[#This Row],[Amount Invested]]," ")</f>
        <v>0</v>
      </c>
      <c r="K315" s="14" t="str">
        <f t="shared" si="11"/>
        <v xml:space="preserve"> </v>
      </c>
      <c r="L315" s="15" t="str" cm="1">
        <f t="array" ref="L315">IFERROR(ROUND(_FV(B315,"Change (%)",TRUE),3) &amp; "%"," ")</f>
        <v xml:space="preserve"> </v>
      </c>
    </row>
    <row r="316" spans="1:12" x14ac:dyDescent="0.25">
      <c r="A316" s="19"/>
      <c r="C316" s="10" t="str" cm="1">
        <f t="array" ref="C316">IFERROR(_FV(FundManager[[#This Row],[Name]],"Ticker symbol",TRUE)," ")</f>
        <v xml:space="preserve"> </v>
      </c>
      <c r="E316" s="13"/>
      <c r="F316" s="13" t="str" cm="1">
        <f t="array" ref="F316">IFERROR(_FV(B316,"Price")," ")</f>
        <v xml:space="preserve"> </v>
      </c>
      <c r="G316" s="10" t="str">
        <f t="shared" si="10"/>
        <v xml:space="preserve"> </v>
      </c>
      <c r="H316" s="13"/>
      <c r="I316" s="24"/>
      <c r="J316" s="13">
        <f>IFERROR(FundManager[[#This Row],[Current Value]]-FundManager[[#This Row],[Amount Invested]]," ")</f>
        <v>0</v>
      </c>
      <c r="K316" s="14" t="str">
        <f t="shared" si="11"/>
        <v xml:space="preserve"> </v>
      </c>
      <c r="L316" s="15" t="str" cm="1">
        <f t="array" ref="L316">IFERROR(ROUND(_FV(B316,"Change (%)",TRUE),3) &amp; "%"," ")</f>
        <v xml:space="preserve"> </v>
      </c>
    </row>
    <row r="317" spans="1:12" x14ac:dyDescent="0.25">
      <c r="A317" s="19"/>
      <c r="C317" s="10" t="str" cm="1">
        <f t="array" ref="C317">IFERROR(_FV(FundManager[[#This Row],[Name]],"Ticker symbol",TRUE)," ")</f>
        <v xml:space="preserve"> </v>
      </c>
      <c r="E317" s="13"/>
      <c r="F317" s="13" t="str" cm="1">
        <f t="array" ref="F317">IFERROR(_FV(B317,"Price")," ")</f>
        <v xml:space="preserve"> </v>
      </c>
      <c r="G317" s="10" t="str">
        <f t="shared" si="10"/>
        <v xml:space="preserve"> </v>
      </c>
      <c r="H317" s="13"/>
      <c r="I317" s="24"/>
      <c r="J317" s="13">
        <f>IFERROR(FundManager[[#This Row],[Current Value]]-FundManager[[#This Row],[Amount Invested]]," ")</f>
        <v>0</v>
      </c>
      <c r="K317" s="14" t="str">
        <f t="shared" si="11"/>
        <v xml:space="preserve"> </v>
      </c>
      <c r="L317" s="15" t="str" cm="1">
        <f t="array" ref="L317">IFERROR(ROUND(_FV(B317,"Change (%)",TRUE),3) &amp; "%"," ")</f>
        <v xml:space="preserve"> </v>
      </c>
    </row>
    <row r="318" spans="1:12" x14ac:dyDescent="0.25">
      <c r="A318" s="19"/>
      <c r="C318" s="10" t="str" cm="1">
        <f t="array" ref="C318">IFERROR(_FV(FundManager[[#This Row],[Name]],"Ticker symbol",TRUE)," ")</f>
        <v xml:space="preserve"> </v>
      </c>
      <c r="E318" s="13"/>
      <c r="F318" s="13" t="str" cm="1">
        <f t="array" ref="F318">IFERROR(_FV(B318,"Price")," ")</f>
        <v xml:space="preserve"> </v>
      </c>
      <c r="G318" s="10" t="str">
        <f t="shared" si="10"/>
        <v xml:space="preserve"> </v>
      </c>
      <c r="H318" s="13"/>
      <c r="I318" s="24"/>
      <c r="J318" s="13">
        <f>IFERROR(FundManager[[#This Row],[Current Value]]-FundManager[[#This Row],[Amount Invested]]," ")</f>
        <v>0</v>
      </c>
      <c r="K318" s="14" t="str">
        <f t="shared" si="11"/>
        <v xml:space="preserve"> </v>
      </c>
      <c r="L318" s="15" t="str" cm="1">
        <f t="array" ref="L318">IFERROR(ROUND(_FV(B318,"Change (%)",TRUE),3) &amp; "%"," ")</f>
        <v xml:space="preserve"> </v>
      </c>
    </row>
    <row r="319" spans="1:12" x14ac:dyDescent="0.25">
      <c r="A319" s="19"/>
      <c r="C319" s="10" t="str" cm="1">
        <f t="array" ref="C319">IFERROR(_FV(FundManager[[#This Row],[Name]],"Ticker symbol",TRUE)," ")</f>
        <v xml:space="preserve"> </v>
      </c>
      <c r="E319" s="13"/>
      <c r="F319" s="13" t="str" cm="1">
        <f t="array" ref="F319">IFERROR(_FV(B319,"Price")," ")</f>
        <v xml:space="preserve"> </v>
      </c>
      <c r="G319" s="10" t="str">
        <f t="shared" si="10"/>
        <v xml:space="preserve"> </v>
      </c>
      <c r="H319" s="13"/>
      <c r="I319" s="24"/>
      <c r="J319" s="13">
        <f>IFERROR(FundManager[[#This Row],[Current Value]]-FundManager[[#This Row],[Amount Invested]]," ")</f>
        <v>0</v>
      </c>
      <c r="K319" s="14" t="str">
        <f t="shared" si="11"/>
        <v xml:space="preserve"> </v>
      </c>
      <c r="L319" s="15" t="str" cm="1">
        <f t="array" ref="L319">IFERROR(ROUND(_FV(B319,"Change (%)",TRUE),3) &amp; "%"," ")</f>
        <v xml:space="preserve"> </v>
      </c>
    </row>
    <row r="320" spans="1:12" x14ac:dyDescent="0.25">
      <c r="A320" s="19"/>
      <c r="C320" s="10" t="str" cm="1">
        <f t="array" ref="C320">IFERROR(_FV(FundManager[[#This Row],[Name]],"Ticker symbol",TRUE)," ")</f>
        <v xml:space="preserve"> </v>
      </c>
      <c r="E320" s="13"/>
      <c r="F320" s="13" t="str" cm="1">
        <f t="array" ref="F320">IFERROR(_FV(B320,"Price")," ")</f>
        <v xml:space="preserve"> </v>
      </c>
      <c r="G320" s="10" t="str">
        <f t="shared" si="10"/>
        <v xml:space="preserve"> </v>
      </c>
      <c r="H320" s="13"/>
      <c r="I320" s="24"/>
      <c r="J320" s="13">
        <f>IFERROR(FundManager[[#This Row],[Current Value]]-FundManager[[#This Row],[Amount Invested]]," ")</f>
        <v>0</v>
      </c>
      <c r="K320" s="14" t="str">
        <f t="shared" si="11"/>
        <v xml:space="preserve"> </v>
      </c>
      <c r="L320" s="15" t="str" cm="1">
        <f t="array" ref="L320">IFERROR(ROUND(_FV(B320,"Change (%)",TRUE),3) &amp; "%"," ")</f>
        <v xml:space="preserve"> </v>
      </c>
    </row>
    <row r="321" spans="1:12" x14ac:dyDescent="0.25">
      <c r="A321" s="19"/>
      <c r="C321" s="10" t="str" cm="1">
        <f t="array" ref="C321">IFERROR(_FV(FundManager[[#This Row],[Name]],"Ticker symbol",TRUE)," ")</f>
        <v xml:space="preserve"> </v>
      </c>
      <c r="E321" s="13"/>
      <c r="F321" s="13" t="str" cm="1">
        <f t="array" ref="F321">IFERROR(_FV(B321,"Price")," ")</f>
        <v xml:space="preserve"> </v>
      </c>
      <c r="G321" s="10" t="str">
        <f t="shared" si="10"/>
        <v xml:space="preserve"> </v>
      </c>
      <c r="H321" s="13"/>
      <c r="I321" s="24"/>
      <c r="J321" s="13">
        <f>IFERROR(FundManager[[#This Row],[Current Value]]-FundManager[[#This Row],[Amount Invested]]," ")</f>
        <v>0</v>
      </c>
      <c r="K321" s="14" t="str">
        <f t="shared" si="11"/>
        <v xml:space="preserve"> </v>
      </c>
      <c r="L321" s="15" t="str" cm="1">
        <f t="array" ref="L321">IFERROR(ROUND(_FV(B321,"Change (%)",TRUE),3) &amp; "%"," ")</f>
        <v xml:space="preserve"> </v>
      </c>
    </row>
    <row r="322" spans="1:12" x14ac:dyDescent="0.25">
      <c r="A322" s="19"/>
      <c r="C322" s="10" t="str" cm="1">
        <f t="array" ref="C322">IFERROR(_FV(FundManager[[#This Row],[Name]],"Ticker symbol",TRUE)," ")</f>
        <v xml:space="preserve"> </v>
      </c>
      <c r="E322" s="13"/>
      <c r="F322" s="13" t="str" cm="1">
        <f t="array" ref="F322">IFERROR(_FV(B322,"Price")," ")</f>
        <v xml:space="preserve"> </v>
      </c>
      <c r="G322" s="10" t="str">
        <f t="shared" si="10"/>
        <v xml:space="preserve"> </v>
      </c>
      <c r="H322" s="13"/>
      <c r="I322" s="24"/>
      <c r="J322" s="13">
        <f>IFERROR(FundManager[[#This Row],[Current Value]]-FundManager[[#This Row],[Amount Invested]]," ")</f>
        <v>0</v>
      </c>
      <c r="K322" s="14" t="str">
        <f t="shared" si="11"/>
        <v xml:space="preserve"> </v>
      </c>
      <c r="L322" s="15" t="str" cm="1">
        <f t="array" ref="L322">IFERROR(ROUND(_FV(B322,"Change (%)",TRUE),3) &amp; "%"," ")</f>
        <v xml:space="preserve"> </v>
      </c>
    </row>
    <row r="323" spans="1:12" x14ac:dyDescent="0.25">
      <c r="A323" s="19"/>
      <c r="C323" s="10" t="str" cm="1">
        <f t="array" ref="C323">IFERROR(_FV(FundManager[[#This Row],[Name]],"Ticker symbol",TRUE)," ")</f>
        <v xml:space="preserve"> </v>
      </c>
      <c r="E323" s="13"/>
      <c r="F323" s="13" t="str" cm="1">
        <f t="array" ref="F323">IFERROR(_FV(B323,"Price")," ")</f>
        <v xml:space="preserve"> </v>
      </c>
      <c r="G323" s="10" t="str">
        <f t="shared" si="10"/>
        <v xml:space="preserve"> </v>
      </c>
      <c r="H323" s="13"/>
      <c r="I323" s="24"/>
      <c r="J323" s="13">
        <f>IFERROR(FundManager[[#This Row],[Current Value]]-FundManager[[#This Row],[Amount Invested]]," ")</f>
        <v>0</v>
      </c>
      <c r="K323" s="14" t="str">
        <f t="shared" si="11"/>
        <v xml:space="preserve"> </v>
      </c>
      <c r="L323" s="15" t="str" cm="1">
        <f t="array" ref="L323">IFERROR(ROUND(_FV(B323,"Change (%)",TRUE),3) &amp; "%"," ")</f>
        <v xml:space="preserve"> </v>
      </c>
    </row>
    <row r="324" spans="1:12" x14ac:dyDescent="0.25">
      <c r="A324" s="19"/>
      <c r="C324" s="10" t="str" cm="1">
        <f t="array" ref="C324">IFERROR(_FV(FundManager[[#This Row],[Name]],"Ticker symbol",TRUE)," ")</f>
        <v xml:space="preserve"> </v>
      </c>
      <c r="E324" s="13"/>
      <c r="F324" s="13" t="str" cm="1">
        <f t="array" ref="F324">IFERROR(_FV(B324,"Price")," ")</f>
        <v xml:space="preserve"> </v>
      </c>
      <c r="G324" s="10" t="str">
        <f t="shared" si="10"/>
        <v xml:space="preserve"> </v>
      </c>
      <c r="H324" s="13"/>
      <c r="I324" s="24"/>
      <c r="J324" s="13">
        <f>IFERROR(FundManager[[#This Row],[Current Value]]-FundManager[[#This Row],[Amount Invested]]," ")</f>
        <v>0</v>
      </c>
      <c r="K324" s="14" t="str">
        <f t="shared" si="11"/>
        <v xml:space="preserve"> </v>
      </c>
      <c r="L324" s="15" t="str" cm="1">
        <f t="array" ref="L324">IFERROR(ROUND(_FV(B324,"Change (%)",TRUE),3) &amp; "%"," ")</f>
        <v xml:space="preserve"> </v>
      </c>
    </row>
    <row r="325" spans="1:12" x14ac:dyDescent="0.25">
      <c r="A325" s="19"/>
      <c r="C325" s="10" t="str" cm="1">
        <f t="array" ref="C325">IFERROR(_FV(FundManager[[#This Row],[Name]],"Ticker symbol",TRUE)," ")</f>
        <v xml:space="preserve"> </v>
      </c>
      <c r="E325" s="13"/>
      <c r="F325" s="13" t="str" cm="1">
        <f t="array" ref="F325">IFERROR(_FV(B325,"Price")," ")</f>
        <v xml:space="preserve"> </v>
      </c>
      <c r="G325" s="10" t="str">
        <f t="shared" si="10"/>
        <v xml:space="preserve"> </v>
      </c>
      <c r="H325" s="13"/>
      <c r="I325" s="24"/>
      <c r="J325" s="13">
        <f>IFERROR(FundManager[[#This Row],[Current Value]]-FundManager[[#This Row],[Amount Invested]]," ")</f>
        <v>0</v>
      </c>
      <c r="K325" s="14" t="str">
        <f t="shared" si="11"/>
        <v xml:space="preserve"> </v>
      </c>
      <c r="L325" s="15" t="str" cm="1">
        <f t="array" ref="L325">IFERROR(ROUND(_FV(B325,"Change (%)",TRUE),3) &amp; "%"," ")</f>
        <v xml:space="preserve"> </v>
      </c>
    </row>
    <row r="326" spans="1:12" x14ac:dyDescent="0.25">
      <c r="A326" s="19"/>
      <c r="C326" s="10" t="str" cm="1">
        <f t="array" ref="C326">IFERROR(_FV(FundManager[[#This Row],[Name]],"Ticker symbol",TRUE)," ")</f>
        <v xml:space="preserve"> </v>
      </c>
      <c r="E326" s="13"/>
      <c r="F326" s="13" t="str" cm="1">
        <f t="array" ref="F326">IFERROR(_FV(B326,"Price")," ")</f>
        <v xml:space="preserve"> </v>
      </c>
      <c r="G326" s="10" t="str">
        <f t="shared" si="10"/>
        <v xml:space="preserve"> </v>
      </c>
      <c r="H326" s="13"/>
      <c r="I326" s="24"/>
      <c r="J326" s="13">
        <f>IFERROR(FundManager[[#This Row],[Current Value]]-FundManager[[#This Row],[Amount Invested]]," ")</f>
        <v>0</v>
      </c>
      <c r="K326" s="14" t="str">
        <f t="shared" si="11"/>
        <v xml:space="preserve"> </v>
      </c>
      <c r="L326" s="15" t="str" cm="1">
        <f t="array" ref="L326">IFERROR(ROUND(_FV(B326,"Change (%)",TRUE),3) &amp; "%"," ")</f>
        <v xml:space="preserve"> </v>
      </c>
    </row>
    <row r="327" spans="1:12" x14ac:dyDescent="0.25">
      <c r="A327" s="19"/>
      <c r="C327" s="10" t="str" cm="1">
        <f t="array" ref="C327">IFERROR(_FV(FundManager[[#This Row],[Name]],"Ticker symbol",TRUE)," ")</f>
        <v xml:space="preserve"> </v>
      </c>
      <c r="E327" s="13"/>
      <c r="F327" s="13" t="str" cm="1">
        <f t="array" ref="F327">IFERROR(_FV(B327,"Price")," ")</f>
        <v xml:space="preserve"> </v>
      </c>
      <c r="G327" s="10" t="str">
        <f t="shared" si="10"/>
        <v xml:space="preserve"> </v>
      </c>
      <c r="H327" s="13"/>
      <c r="I327" s="24"/>
      <c r="J327" s="13">
        <f>IFERROR(FundManager[[#This Row],[Current Value]]-FundManager[[#This Row],[Amount Invested]]," ")</f>
        <v>0</v>
      </c>
      <c r="K327" s="14" t="str">
        <f t="shared" si="11"/>
        <v xml:space="preserve"> </v>
      </c>
      <c r="L327" s="15" t="str" cm="1">
        <f t="array" ref="L327">IFERROR(ROUND(_FV(B327,"Change (%)",TRUE),3) &amp; "%"," ")</f>
        <v xml:space="preserve"> </v>
      </c>
    </row>
    <row r="328" spans="1:12" x14ac:dyDescent="0.25">
      <c r="A328" s="19"/>
      <c r="C328" s="10" t="str" cm="1">
        <f t="array" ref="C328">IFERROR(_FV(FundManager[[#This Row],[Name]],"Ticker symbol",TRUE)," ")</f>
        <v xml:space="preserve"> </v>
      </c>
      <c r="E328" s="13"/>
      <c r="F328" s="13" t="str" cm="1">
        <f t="array" ref="F328">IFERROR(_FV(B328,"Price")," ")</f>
        <v xml:space="preserve"> </v>
      </c>
      <c r="G328" s="10" t="str">
        <f t="shared" si="10"/>
        <v xml:space="preserve"> </v>
      </c>
      <c r="H328" s="13"/>
      <c r="I328" s="24"/>
      <c r="J328" s="13">
        <f>IFERROR(FundManager[[#This Row],[Current Value]]-FundManager[[#This Row],[Amount Invested]]," ")</f>
        <v>0</v>
      </c>
      <c r="K328" s="14" t="str">
        <f t="shared" si="11"/>
        <v xml:space="preserve"> </v>
      </c>
      <c r="L328" s="15" t="str" cm="1">
        <f t="array" ref="L328">IFERROR(ROUND(_FV(B328,"Change (%)",TRUE),3) &amp; "%"," ")</f>
        <v xml:space="preserve"> </v>
      </c>
    </row>
    <row r="329" spans="1:12" x14ac:dyDescent="0.25">
      <c r="A329" s="19"/>
      <c r="C329" s="10" t="str" cm="1">
        <f t="array" ref="C329">IFERROR(_FV(FundManager[[#This Row],[Name]],"Ticker symbol",TRUE)," ")</f>
        <v xml:space="preserve"> </v>
      </c>
      <c r="E329" s="13"/>
      <c r="F329" s="13" t="str" cm="1">
        <f t="array" ref="F329">IFERROR(_FV(B329,"Price")," ")</f>
        <v xml:space="preserve"> </v>
      </c>
      <c r="G329" s="10" t="str">
        <f t="shared" si="10"/>
        <v xml:space="preserve"> </v>
      </c>
      <c r="H329" s="13"/>
      <c r="I329" s="24"/>
      <c r="J329" s="13">
        <f>IFERROR(FundManager[[#This Row],[Current Value]]-FundManager[[#This Row],[Amount Invested]]," ")</f>
        <v>0</v>
      </c>
      <c r="K329" s="14" t="str">
        <f t="shared" si="11"/>
        <v xml:space="preserve"> </v>
      </c>
      <c r="L329" s="15" t="str" cm="1">
        <f t="array" ref="L329">IFERROR(ROUND(_FV(B329,"Change (%)",TRUE),3) &amp; "%"," ")</f>
        <v xml:space="preserve"> </v>
      </c>
    </row>
    <row r="330" spans="1:12" x14ac:dyDescent="0.25">
      <c r="A330" s="19"/>
      <c r="C330" s="10" t="str" cm="1">
        <f t="array" ref="C330">IFERROR(_FV(FundManager[[#This Row],[Name]],"Ticker symbol",TRUE)," ")</f>
        <v xml:space="preserve"> </v>
      </c>
      <c r="E330" s="13"/>
      <c r="F330" s="13" t="str" cm="1">
        <f t="array" ref="F330">IFERROR(_FV(B330,"Price")," ")</f>
        <v xml:space="preserve"> </v>
      </c>
      <c r="G330" s="10" t="str">
        <f t="shared" si="10"/>
        <v xml:space="preserve"> </v>
      </c>
      <c r="H330" s="13"/>
      <c r="I330" s="24"/>
      <c r="J330" s="13">
        <f>IFERROR(FundManager[[#This Row],[Current Value]]-FundManager[[#This Row],[Amount Invested]]," ")</f>
        <v>0</v>
      </c>
      <c r="K330" s="14" t="str">
        <f t="shared" si="11"/>
        <v xml:space="preserve"> </v>
      </c>
      <c r="L330" s="15" t="str" cm="1">
        <f t="array" ref="L330">IFERROR(ROUND(_FV(B330,"Change (%)",TRUE),3) &amp; "%"," ")</f>
        <v xml:space="preserve"> </v>
      </c>
    </row>
    <row r="331" spans="1:12" x14ac:dyDescent="0.25">
      <c r="A331" s="19"/>
      <c r="C331" s="10" t="str" cm="1">
        <f t="array" ref="C331">IFERROR(_FV(FundManager[[#This Row],[Name]],"Ticker symbol",TRUE)," ")</f>
        <v xml:space="preserve"> </v>
      </c>
      <c r="E331" s="13"/>
      <c r="F331" s="13" t="str" cm="1">
        <f t="array" ref="F331">IFERROR(_FV(B331,"Price")," ")</f>
        <v xml:space="preserve"> </v>
      </c>
      <c r="G331" s="10" t="str">
        <f t="shared" si="10"/>
        <v xml:space="preserve"> </v>
      </c>
      <c r="H331" s="13"/>
      <c r="I331" s="24"/>
      <c r="J331" s="13">
        <f>IFERROR(FundManager[[#This Row],[Current Value]]-FundManager[[#This Row],[Amount Invested]]," ")</f>
        <v>0</v>
      </c>
      <c r="K331" s="14" t="str">
        <f t="shared" si="11"/>
        <v xml:space="preserve"> </v>
      </c>
      <c r="L331" s="15" t="str" cm="1">
        <f t="array" ref="L331">IFERROR(ROUND(_FV(B331,"Change (%)",TRUE),3) &amp; "%"," ")</f>
        <v xml:space="preserve"> </v>
      </c>
    </row>
    <row r="332" spans="1:12" x14ac:dyDescent="0.25">
      <c r="A332" s="19"/>
      <c r="C332" s="10" t="str" cm="1">
        <f t="array" ref="C332">IFERROR(_FV(FundManager[[#This Row],[Name]],"Ticker symbol",TRUE)," ")</f>
        <v xml:space="preserve"> </v>
      </c>
      <c r="E332" s="13"/>
      <c r="F332" s="13" t="str" cm="1">
        <f t="array" ref="F332">IFERROR(_FV(B332,"Price")," ")</f>
        <v xml:space="preserve"> </v>
      </c>
      <c r="G332" s="10" t="str">
        <f t="shared" si="10"/>
        <v xml:space="preserve"> </v>
      </c>
      <c r="H332" s="13"/>
      <c r="I332" s="24"/>
      <c r="J332" s="13">
        <f>IFERROR(FundManager[[#This Row],[Current Value]]-FundManager[[#This Row],[Amount Invested]]," ")</f>
        <v>0</v>
      </c>
      <c r="K332" s="14" t="str">
        <f t="shared" si="11"/>
        <v xml:space="preserve"> </v>
      </c>
      <c r="L332" s="15" t="str" cm="1">
        <f t="array" ref="L332">IFERROR(ROUND(_FV(B332,"Change (%)",TRUE),3) &amp; "%"," ")</f>
        <v xml:space="preserve"> </v>
      </c>
    </row>
    <row r="333" spans="1:12" x14ac:dyDescent="0.25">
      <c r="A333" s="19"/>
      <c r="C333" s="10" t="str" cm="1">
        <f t="array" ref="C333">IFERROR(_FV(FundManager[[#This Row],[Name]],"Ticker symbol",TRUE)," ")</f>
        <v xml:space="preserve"> </v>
      </c>
      <c r="E333" s="13"/>
      <c r="F333" s="13" t="str" cm="1">
        <f t="array" ref="F333">IFERROR(_FV(B333,"Price")," ")</f>
        <v xml:space="preserve"> </v>
      </c>
      <c r="G333" s="10" t="str">
        <f t="shared" si="10"/>
        <v xml:space="preserve"> </v>
      </c>
      <c r="H333" s="13"/>
      <c r="I333" s="24"/>
      <c r="J333" s="13">
        <f>IFERROR(FundManager[[#This Row],[Current Value]]-FundManager[[#This Row],[Amount Invested]]," ")</f>
        <v>0</v>
      </c>
      <c r="K333" s="14" t="str">
        <f t="shared" si="11"/>
        <v xml:space="preserve"> </v>
      </c>
      <c r="L333" s="15" t="str" cm="1">
        <f t="array" ref="L333">IFERROR(ROUND(_FV(B333,"Change (%)",TRUE),3) &amp; "%"," ")</f>
        <v xml:space="preserve"> </v>
      </c>
    </row>
    <row r="334" spans="1:12" x14ac:dyDescent="0.25">
      <c r="A334" s="19"/>
      <c r="C334" s="10" t="str" cm="1">
        <f t="array" ref="C334">IFERROR(_FV(FundManager[[#This Row],[Name]],"Ticker symbol",TRUE)," ")</f>
        <v xml:space="preserve"> </v>
      </c>
      <c r="E334" s="13"/>
      <c r="F334" s="13" t="str" cm="1">
        <f t="array" ref="F334">IFERROR(_FV(B334,"Price")," ")</f>
        <v xml:space="preserve"> </v>
      </c>
      <c r="G334" s="10" t="str">
        <f t="shared" si="10"/>
        <v xml:space="preserve"> </v>
      </c>
      <c r="H334" s="13"/>
      <c r="I334" s="24"/>
      <c r="J334" s="13">
        <f>IFERROR(FundManager[[#This Row],[Current Value]]-FundManager[[#This Row],[Amount Invested]]," ")</f>
        <v>0</v>
      </c>
      <c r="K334" s="14" t="str">
        <f t="shared" si="11"/>
        <v xml:space="preserve"> </v>
      </c>
      <c r="L334" s="15" t="str" cm="1">
        <f t="array" ref="L334">IFERROR(ROUND(_FV(B334,"Change (%)",TRUE),3) &amp; "%"," ")</f>
        <v xml:space="preserve"> </v>
      </c>
    </row>
    <row r="335" spans="1:12" x14ac:dyDescent="0.25">
      <c r="A335" s="19"/>
      <c r="C335" s="10" t="str" cm="1">
        <f t="array" ref="C335">IFERROR(_FV(FundManager[[#This Row],[Name]],"Ticker symbol",TRUE)," ")</f>
        <v xml:space="preserve"> </v>
      </c>
      <c r="E335" s="13"/>
      <c r="F335" s="13" t="str" cm="1">
        <f t="array" ref="F335">IFERROR(_FV(B335,"Price")," ")</f>
        <v xml:space="preserve"> </v>
      </c>
      <c r="G335" s="10" t="str">
        <f t="shared" si="10"/>
        <v xml:space="preserve"> </v>
      </c>
      <c r="H335" s="13"/>
      <c r="I335" s="24"/>
      <c r="J335" s="13">
        <f>IFERROR(FundManager[[#This Row],[Current Value]]-FundManager[[#This Row],[Amount Invested]]," ")</f>
        <v>0</v>
      </c>
      <c r="K335" s="14" t="str">
        <f t="shared" si="11"/>
        <v xml:space="preserve"> </v>
      </c>
      <c r="L335" s="15" t="str" cm="1">
        <f t="array" ref="L335">IFERROR(ROUND(_FV(B335,"Change (%)",TRUE),3) &amp; "%"," ")</f>
        <v xml:space="preserve"> </v>
      </c>
    </row>
    <row r="336" spans="1:12" x14ac:dyDescent="0.25">
      <c r="A336" s="19"/>
      <c r="C336" s="10" t="str" cm="1">
        <f t="array" ref="C336">IFERROR(_FV(FundManager[[#This Row],[Name]],"Ticker symbol",TRUE)," ")</f>
        <v xml:space="preserve"> </v>
      </c>
      <c r="E336" s="13"/>
      <c r="F336" s="13" t="str" cm="1">
        <f t="array" ref="F336">IFERROR(_FV(B336,"Price")," ")</f>
        <v xml:space="preserve"> </v>
      </c>
      <c r="G336" s="10" t="str">
        <f t="shared" si="10"/>
        <v xml:space="preserve"> </v>
      </c>
      <c r="H336" s="13"/>
      <c r="I336" s="24"/>
      <c r="J336" s="13">
        <f>IFERROR(FundManager[[#This Row],[Current Value]]-FundManager[[#This Row],[Amount Invested]]," ")</f>
        <v>0</v>
      </c>
      <c r="K336" s="14" t="str">
        <f t="shared" si="11"/>
        <v xml:space="preserve"> </v>
      </c>
      <c r="L336" s="15" t="str" cm="1">
        <f t="array" ref="L336">IFERROR(ROUND(_FV(B336,"Change (%)",TRUE),3) &amp; "%"," ")</f>
        <v xml:space="preserve"> </v>
      </c>
    </row>
    <row r="337" spans="1:12" x14ac:dyDescent="0.25">
      <c r="A337" s="19"/>
      <c r="C337" s="10" t="str" cm="1">
        <f t="array" ref="C337">IFERROR(_FV(FundManager[[#This Row],[Name]],"Ticker symbol",TRUE)," ")</f>
        <v xml:space="preserve"> </v>
      </c>
      <c r="E337" s="13"/>
      <c r="F337" s="13" t="str" cm="1">
        <f t="array" ref="F337">IFERROR(_FV(B337,"Price")," ")</f>
        <v xml:space="preserve"> </v>
      </c>
      <c r="G337" s="10" t="str">
        <f t="shared" si="10"/>
        <v xml:space="preserve"> </v>
      </c>
      <c r="H337" s="13"/>
      <c r="I337" s="24"/>
      <c r="J337" s="13">
        <f>IFERROR(FundManager[[#This Row],[Current Value]]-FundManager[[#This Row],[Amount Invested]]," ")</f>
        <v>0</v>
      </c>
      <c r="K337" s="14" t="str">
        <f t="shared" si="11"/>
        <v xml:space="preserve"> </v>
      </c>
      <c r="L337" s="15" t="str" cm="1">
        <f t="array" ref="L337">IFERROR(ROUND(_FV(B337,"Change (%)",TRUE),3) &amp; "%"," ")</f>
        <v xml:space="preserve"> </v>
      </c>
    </row>
    <row r="338" spans="1:12" x14ac:dyDescent="0.25">
      <c r="A338" s="19"/>
      <c r="C338" s="10" t="str" cm="1">
        <f t="array" ref="C338">IFERROR(_FV(FundManager[[#This Row],[Name]],"Ticker symbol",TRUE)," ")</f>
        <v xml:space="preserve"> </v>
      </c>
      <c r="E338" s="13"/>
      <c r="F338" s="13" t="str" cm="1">
        <f t="array" ref="F338">IFERROR(_FV(B338,"Price")," ")</f>
        <v xml:space="preserve"> </v>
      </c>
      <c r="G338" s="10" t="str">
        <f t="shared" si="10"/>
        <v xml:space="preserve"> </v>
      </c>
      <c r="H338" s="13"/>
      <c r="I338" s="24"/>
      <c r="J338" s="13">
        <f>IFERROR(FundManager[[#This Row],[Current Value]]-FundManager[[#This Row],[Amount Invested]]," ")</f>
        <v>0</v>
      </c>
      <c r="K338" s="14" t="str">
        <f t="shared" si="11"/>
        <v xml:space="preserve"> </v>
      </c>
      <c r="L338" s="15" t="str" cm="1">
        <f t="array" ref="L338">IFERROR(ROUND(_FV(B338,"Change (%)",TRUE),3) &amp; "%"," ")</f>
        <v xml:space="preserve"> </v>
      </c>
    </row>
    <row r="339" spans="1:12" x14ac:dyDescent="0.25">
      <c r="A339" s="19"/>
      <c r="C339" s="10" t="str" cm="1">
        <f t="array" ref="C339">IFERROR(_FV(FundManager[[#This Row],[Name]],"Ticker symbol",TRUE)," ")</f>
        <v xml:space="preserve"> </v>
      </c>
      <c r="E339" s="13"/>
      <c r="F339" s="13" t="str" cm="1">
        <f t="array" ref="F339">IFERROR(_FV(B339,"Price")," ")</f>
        <v xml:space="preserve"> </v>
      </c>
      <c r="G339" s="10" t="str">
        <f t="shared" si="10"/>
        <v xml:space="preserve"> </v>
      </c>
      <c r="H339" s="13"/>
      <c r="I339" s="24"/>
      <c r="J339" s="13">
        <f>IFERROR(FundManager[[#This Row],[Current Value]]-FundManager[[#This Row],[Amount Invested]]," ")</f>
        <v>0</v>
      </c>
      <c r="K339" s="14" t="str">
        <f t="shared" si="11"/>
        <v xml:space="preserve"> </v>
      </c>
      <c r="L339" s="15" t="str" cm="1">
        <f t="array" ref="L339">IFERROR(ROUND(_FV(B339,"Change (%)",TRUE),3) &amp; "%"," ")</f>
        <v xml:space="preserve"> </v>
      </c>
    </row>
    <row r="340" spans="1:12" x14ac:dyDescent="0.25">
      <c r="A340" s="19"/>
      <c r="C340" s="10" t="str" cm="1">
        <f t="array" ref="C340">IFERROR(_FV(FundManager[[#This Row],[Name]],"Ticker symbol",TRUE)," ")</f>
        <v xml:space="preserve"> </v>
      </c>
      <c r="E340" s="13"/>
      <c r="F340" s="13" t="str" cm="1">
        <f t="array" ref="F340">IFERROR(_FV(B340,"Price")," ")</f>
        <v xml:space="preserve"> </v>
      </c>
      <c r="G340" s="10" t="str">
        <f t="shared" si="10"/>
        <v xml:space="preserve"> </v>
      </c>
      <c r="H340" s="13"/>
      <c r="I340" s="24"/>
      <c r="J340" s="13">
        <f>IFERROR(FundManager[[#This Row],[Current Value]]-FundManager[[#This Row],[Amount Invested]]," ")</f>
        <v>0</v>
      </c>
      <c r="K340" s="14" t="str">
        <f t="shared" si="11"/>
        <v xml:space="preserve"> </v>
      </c>
      <c r="L340" s="15" t="str" cm="1">
        <f t="array" ref="L340">IFERROR(ROUND(_FV(B340,"Change (%)",TRUE),3) &amp; "%"," ")</f>
        <v xml:space="preserve"> </v>
      </c>
    </row>
    <row r="341" spans="1:12" x14ac:dyDescent="0.25">
      <c r="A341" s="19"/>
      <c r="C341" s="10" t="str" cm="1">
        <f t="array" ref="C341">IFERROR(_FV(FundManager[[#This Row],[Name]],"Ticker symbol",TRUE)," ")</f>
        <v xml:space="preserve"> </v>
      </c>
      <c r="E341" s="13"/>
      <c r="F341" s="13" t="str" cm="1">
        <f t="array" ref="F341">IFERROR(_FV(B341,"Price")," ")</f>
        <v xml:space="preserve"> </v>
      </c>
      <c r="G341" s="10" t="str">
        <f t="shared" si="10"/>
        <v xml:space="preserve"> </v>
      </c>
      <c r="H341" s="13"/>
      <c r="I341" s="24"/>
      <c r="J341" s="13">
        <f>IFERROR(FundManager[[#This Row],[Current Value]]-FundManager[[#This Row],[Amount Invested]]," ")</f>
        <v>0</v>
      </c>
      <c r="K341" s="14" t="str">
        <f t="shared" si="11"/>
        <v xml:space="preserve"> </v>
      </c>
      <c r="L341" s="15" t="str" cm="1">
        <f t="array" ref="L341">IFERROR(ROUND(_FV(B341,"Change (%)",TRUE),3) &amp; "%"," ")</f>
        <v xml:space="preserve"> </v>
      </c>
    </row>
    <row r="342" spans="1:12" x14ac:dyDescent="0.25">
      <c r="A342" s="19"/>
      <c r="C342" s="10" t="str" cm="1">
        <f t="array" ref="C342">IFERROR(_FV(FundManager[[#This Row],[Name]],"Ticker symbol",TRUE)," ")</f>
        <v xml:space="preserve"> </v>
      </c>
      <c r="E342" s="13"/>
      <c r="F342" s="13" t="str" cm="1">
        <f t="array" ref="F342">IFERROR(_FV(B342,"Price")," ")</f>
        <v xml:space="preserve"> </v>
      </c>
      <c r="G342" s="10" t="str">
        <f t="shared" si="10"/>
        <v xml:space="preserve"> </v>
      </c>
      <c r="H342" s="13"/>
      <c r="I342" s="24"/>
      <c r="J342" s="13">
        <f>IFERROR(FundManager[[#This Row],[Current Value]]-FundManager[[#This Row],[Amount Invested]]," ")</f>
        <v>0</v>
      </c>
      <c r="K342" s="14" t="str">
        <f t="shared" si="11"/>
        <v xml:space="preserve"> </v>
      </c>
      <c r="L342" s="15" t="str" cm="1">
        <f t="array" ref="L342">IFERROR(ROUND(_FV(B342,"Change (%)",TRUE),3) &amp; "%"," ")</f>
        <v xml:space="preserve"> </v>
      </c>
    </row>
    <row r="343" spans="1:12" x14ac:dyDescent="0.25">
      <c r="A343" s="19"/>
      <c r="C343" s="10" t="str" cm="1">
        <f t="array" ref="C343">IFERROR(_FV(FundManager[[#This Row],[Name]],"Ticker symbol",TRUE)," ")</f>
        <v xml:space="preserve"> </v>
      </c>
      <c r="E343" s="13"/>
      <c r="F343" s="13" t="str" cm="1">
        <f t="array" ref="F343">IFERROR(_FV(B343,"Price")," ")</f>
        <v xml:space="preserve"> </v>
      </c>
      <c r="G343" s="10" t="str">
        <f t="shared" ref="G343:G406" si="12">IFERROR(H343/E343," ")</f>
        <v xml:space="preserve"> </v>
      </c>
      <c r="H343" s="13"/>
      <c r="I343" s="24"/>
      <c r="J343" s="13">
        <f>IFERROR(FundManager[[#This Row],[Current Value]]-FundManager[[#This Row],[Amount Invested]]," ")</f>
        <v>0</v>
      </c>
      <c r="K343" s="14" t="str">
        <f t="shared" ref="K343:K406" si="13">IFERROR((I343-H343)/H343," ")</f>
        <v xml:space="preserve"> </v>
      </c>
      <c r="L343" s="15" t="str" cm="1">
        <f t="array" ref="L343">IFERROR(ROUND(_FV(B343,"Change (%)",TRUE),3) &amp; "%"," ")</f>
        <v xml:space="preserve"> </v>
      </c>
    </row>
    <row r="344" spans="1:12" x14ac:dyDescent="0.25">
      <c r="A344" s="19"/>
      <c r="C344" s="10" t="str" cm="1">
        <f t="array" ref="C344">IFERROR(_FV(FundManager[[#This Row],[Name]],"Ticker symbol",TRUE)," ")</f>
        <v xml:space="preserve"> </v>
      </c>
      <c r="E344" s="13"/>
      <c r="F344" s="13" t="str" cm="1">
        <f t="array" ref="F344">IFERROR(_FV(B344,"Price")," ")</f>
        <v xml:space="preserve"> </v>
      </c>
      <c r="G344" s="10" t="str">
        <f t="shared" si="12"/>
        <v xml:space="preserve"> </v>
      </c>
      <c r="H344" s="13"/>
      <c r="I344" s="24"/>
      <c r="J344" s="13">
        <f>IFERROR(FundManager[[#This Row],[Current Value]]-FundManager[[#This Row],[Amount Invested]]," ")</f>
        <v>0</v>
      </c>
      <c r="K344" s="14" t="str">
        <f t="shared" si="13"/>
        <v xml:space="preserve"> </v>
      </c>
      <c r="L344" s="15" t="str" cm="1">
        <f t="array" ref="L344">IFERROR(ROUND(_FV(B344,"Change (%)",TRUE),3) &amp; "%"," ")</f>
        <v xml:space="preserve"> </v>
      </c>
    </row>
    <row r="345" spans="1:12" x14ac:dyDescent="0.25">
      <c r="A345" s="19"/>
      <c r="C345" s="10" t="str" cm="1">
        <f t="array" ref="C345">IFERROR(_FV(FundManager[[#This Row],[Name]],"Ticker symbol",TRUE)," ")</f>
        <v xml:space="preserve"> </v>
      </c>
      <c r="E345" s="13"/>
      <c r="F345" s="13" t="str" cm="1">
        <f t="array" ref="F345">IFERROR(_FV(B345,"Price")," ")</f>
        <v xml:space="preserve"> </v>
      </c>
      <c r="G345" s="10" t="str">
        <f t="shared" si="12"/>
        <v xml:space="preserve"> </v>
      </c>
      <c r="H345" s="13"/>
      <c r="I345" s="24"/>
      <c r="J345" s="13">
        <f>IFERROR(FundManager[[#This Row],[Current Value]]-FundManager[[#This Row],[Amount Invested]]," ")</f>
        <v>0</v>
      </c>
      <c r="K345" s="14" t="str">
        <f t="shared" si="13"/>
        <v xml:space="preserve"> </v>
      </c>
      <c r="L345" s="15" t="str" cm="1">
        <f t="array" ref="L345">IFERROR(ROUND(_FV(B345,"Change (%)",TRUE),3) &amp; "%"," ")</f>
        <v xml:space="preserve"> </v>
      </c>
    </row>
    <row r="346" spans="1:12" x14ac:dyDescent="0.25">
      <c r="A346" s="19"/>
      <c r="C346" s="10" t="str" cm="1">
        <f t="array" ref="C346">IFERROR(_FV(FundManager[[#This Row],[Name]],"Ticker symbol",TRUE)," ")</f>
        <v xml:space="preserve"> </v>
      </c>
      <c r="E346" s="13"/>
      <c r="F346" s="13" t="str" cm="1">
        <f t="array" ref="F346">IFERROR(_FV(B346,"Price")," ")</f>
        <v xml:space="preserve"> </v>
      </c>
      <c r="G346" s="10" t="str">
        <f t="shared" si="12"/>
        <v xml:space="preserve"> </v>
      </c>
      <c r="H346" s="13"/>
      <c r="I346" s="24"/>
      <c r="J346" s="13">
        <f>IFERROR(FundManager[[#This Row],[Current Value]]-FundManager[[#This Row],[Amount Invested]]," ")</f>
        <v>0</v>
      </c>
      <c r="K346" s="14" t="str">
        <f t="shared" si="13"/>
        <v xml:space="preserve"> </v>
      </c>
      <c r="L346" s="15" t="str" cm="1">
        <f t="array" ref="L346">IFERROR(ROUND(_FV(B346,"Change (%)",TRUE),3) &amp; "%"," ")</f>
        <v xml:space="preserve"> </v>
      </c>
    </row>
    <row r="347" spans="1:12" x14ac:dyDescent="0.25">
      <c r="A347" s="19"/>
      <c r="C347" s="10" t="str" cm="1">
        <f t="array" ref="C347">IFERROR(_FV(FundManager[[#This Row],[Name]],"Ticker symbol",TRUE)," ")</f>
        <v xml:space="preserve"> </v>
      </c>
      <c r="E347" s="13"/>
      <c r="F347" s="13"/>
      <c r="G347" s="10" t="str">
        <f t="shared" si="12"/>
        <v xml:space="preserve"> </v>
      </c>
      <c r="H347" s="13"/>
      <c r="I347" s="24"/>
      <c r="J347" s="13">
        <f>IFERROR(FundManager[[#This Row],[Current Value]]-FundManager[[#This Row],[Amount Invested]]," ")</f>
        <v>0</v>
      </c>
      <c r="K347" s="14" t="str">
        <f t="shared" si="13"/>
        <v xml:space="preserve"> </v>
      </c>
      <c r="L347" s="15" t="str" cm="1">
        <f t="array" ref="L347">IFERROR(ROUND(_FV(B347,"Change (%)",TRUE),3) &amp; "%"," ")</f>
        <v xml:space="preserve"> </v>
      </c>
    </row>
    <row r="348" spans="1:12" x14ac:dyDescent="0.25">
      <c r="A348" s="19"/>
      <c r="C348" s="10" t="str" cm="1">
        <f t="array" ref="C348">IFERROR(_FV(FundManager[[#This Row],[Name]],"Ticker symbol",TRUE)," ")</f>
        <v xml:space="preserve"> </v>
      </c>
      <c r="E348" s="13"/>
      <c r="F348" s="13"/>
      <c r="G348" s="10" t="str">
        <f t="shared" si="12"/>
        <v xml:space="preserve"> </v>
      </c>
      <c r="H348" s="13"/>
      <c r="I348" s="24"/>
      <c r="J348" s="13">
        <f>IFERROR(FundManager[[#This Row],[Current Value]]-FundManager[[#This Row],[Amount Invested]]," ")</f>
        <v>0</v>
      </c>
      <c r="K348" s="14" t="str">
        <f t="shared" si="13"/>
        <v xml:space="preserve"> </v>
      </c>
      <c r="L348" s="15" t="str" cm="1">
        <f t="array" ref="L348">IFERROR(ROUND(_FV(B348,"Change (%)",TRUE),3) &amp; "%"," ")</f>
        <v xml:space="preserve"> </v>
      </c>
    </row>
    <row r="349" spans="1:12" x14ac:dyDescent="0.25">
      <c r="A349" s="19"/>
      <c r="C349" s="10" t="str" cm="1">
        <f t="array" ref="C349">IFERROR(_FV(FundManager[[#This Row],[Name]],"Ticker symbol",TRUE)," ")</f>
        <v xml:space="preserve"> </v>
      </c>
      <c r="E349" s="13"/>
      <c r="F349" s="13"/>
      <c r="G349" s="10" t="str">
        <f t="shared" si="12"/>
        <v xml:space="preserve"> </v>
      </c>
      <c r="H349" s="13"/>
      <c r="I349" s="24"/>
      <c r="J349" s="13">
        <f>IFERROR(FundManager[[#This Row],[Current Value]]-FundManager[[#This Row],[Amount Invested]]," ")</f>
        <v>0</v>
      </c>
      <c r="K349" s="14" t="str">
        <f t="shared" si="13"/>
        <v xml:space="preserve"> </v>
      </c>
      <c r="L349" s="15" t="str" cm="1">
        <f t="array" ref="L349">IFERROR(ROUND(_FV(B349,"Change (%)",TRUE),3) &amp; "%"," ")</f>
        <v xml:space="preserve"> </v>
      </c>
    </row>
    <row r="350" spans="1:12" x14ac:dyDescent="0.25">
      <c r="A350" s="19"/>
      <c r="C350" s="10" t="str" cm="1">
        <f t="array" ref="C350">IFERROR(_FV(FundManager[[#This Row],[Name]],"Ticker symbol",TRUE)," ")</f>
        <v xml:space="preserve"> </v>
      </c>
      <c r="E350" s="13"/>
      <c r="F350" s="13"/>
      <c r="G350" s="10" t="str">
        <f t="shared" si="12"/>
        <v xml:space="preserve"> </v>
      </c>
      <c r="H350" s="13"/>
      <c r="I350" s="24"/>
      <c r="J350" s="13">
        <f>IFERROR(FundManager[[#This Row],[Current Value]]-FundManager[[#This Row],[Amount Invested]]," ")</f>
        <v>0</v>
      </c>
      <c r="K350" s="14" t="str">
        <f t="shared" si="13"/>
        <v xml:space="preserve"> </v>
      </c>
      <c r="L350" s="15" t="str" cm="1">
        <f t="array" ref="L350">IFERROR(ROUND(_FV(B350,"Change (%)",TRUE),3) &amp; "%"," ")</f>
        <v xml:space="preserve"> </v>
      </c>
    </row>
    <row r="351" spans="1:12" x14ac:dyDescent="0.25">
      <c r="A351" s="19"/>
      <c r="C351" s="10" t="str" cm="1">
        <f t="array" ref="C351">IFERROR(_FV(FundManager[[#This Row],[Name]],"Ticker symbol",TRUE)," ")</f>
        <v xml:space="preserve"> </v>
      </c>
      <c r="E351" s="13"/>
      <c r="F351" s="13"/>
      <c r="G351" s="10" t="str">
        <f t="shared" si="12"/>
        <v xml:space="preserve"> </v>
      </c>
      <c r="H351" s="13"/>
      <c r="I351" s="24"/>
      <c r="J351" s="13">
        <f>IFERROR(FundManager[[#This Row],[Current Value]]-FundManager[[#This Row],[Amount Invested]]," ")</f>
        <v>0</v>
      </c>
      <c r="K351" s="14" t="str">
        <f t="shared" si="13"/>
        <v xml:space="preserve"> </v>
      </c>
      <c r="L351" s="15" t="str" cm="1">
        <f t="array" ref="L351">IFERROR(ROUND(_FV(B351,"Change (%)",TRUE),3) &amp; "%"," ")</f>
        <v xml:space="preserve"> </v>
      </c>
    </row>
    <row r="352" spans="1:12" x14ac:dyDescent="0.25">
      <c r="A352" s="19"/>
      <c r="C352" s="10" t="str" cm="1">
        <f t="array" ref="C352">IFERROR(_FV(FundManager[[#This Row],[Name]],"Ticker symbol",TRUE)," ")</f>
        <v xml:space="preserve"> </v>
      </c>
      <c r="E352" s="13"/>
      <c r="F352" s="13"/>
      <c r="G352" s="10" t="str">
        <f t="shared" si="12"/>
        <v xml:space="preserve"> </v>
      </c>
      <c r="H352" s="13"/>
      <c r="I352" s="24"/>
      <c r="J352" s="13">
        <f>IFERROR(FundManager[[#This Row],[Current Value]]-FundManager[[#This Row],[Amount Invested]]," ")</f>
        <v>0</v>
      </c>
      <c r="K352" s="14" t="str">
        <f t="shared" si="13"/>
        <v xml:space="preserve"> </v>
      </c>
      <c r="L352" s="15" t="str" cm="1">
        <f t="array" ref="L352">IFERROR(ROUND(_FV(B352,"Change (%)",TRUE),3) &amp; "%"," ")</f>
        <v xml:space="preserve"> </v>
      </c>
    </row>
    <row r="353" spans="1:12" x14ac:dyDescent="0.25">
      <c r="A353" s="19"/>
      <c r="C353" s="10" t="str" cm="1">
        <f t="array" ref="C353">IFERROR(_FV(FundManager[[#This Row],[Name]],"Ticker symbol",TRUE)," ")</f>
        <v xml:space="preserve"> </v>
      </c>
      <c r="E353" s="13"/>
      <c r="F353" s="13"/>
      <c r="G353" s="10" t="str">
        <f t="shared" si="12"/>
        <v xml:space="preserve"> </v>
      </c>
      <c r="H353" s="13"/>
      <c r="I353" s="24"/>
      <c r="J353" s="13">
        <f>IFERROR(FundManager[[#This Row],[Current Value]]-FundManager[[#This Row],[Amount Invested]]," ")</f>
        <v>0</v>
      </c>
      <c r="K353" s="14" t="str">
        <f t="shared" si="13"/>
        <v xml:space="preserve"> </v>
      </c>
      <c r="L353" s="15" t="str" cm="1">
        <f t="array" ref="L353">IFERROR(ROUND(_FV(B353,"Change (%)",TRUE),3) &amp; "%"," ")</f>
        <v xml:space="preserve"> </v>
      </c>
    </row>
    <row r="354" spans="1:12" x14ac:dyDescent="0.25">
      <c r="A354" s="19"/>
      <c r="C354" s="10" t="str" cm="1">
        <f t="array" ref="C354">IFERROR(_FV(FundManager[[#This Row],[Name]],"Ticker symbol",TRUE)," ")</f>
        <v xml:space="preserve"> </v>
      </c>
      <c r="E354" s="13"/>
      <c r="F354" s="13"/>
      <c r="G354" s="10" t="str">
        <f t="shared" si="12"/>
        <v xml:space="preserve"> </v>
      </c>
      <c r="H354" s="13"/>
      <c r="I354" s="24"/>
      <c r="J354" s="13">
        <f>IFERROR(FundManager[[#This Row],[Current Value]]-FundManager[[#This Row],[Amount Invested]]," ")</f>
        <v>0</v>
      </c>
      <c r="K354" s="14" t="str">
        <f t="shared" si="13"/>
        <v xml:space="preserve"> </v>
      </c>
      <c r="L354" s="15" t="str" cm="1">
        <f t="array" ref="L354">IFERROR(ROUND(_FV(B354,"Change (%)",TRUE),3) &amp; "%"," ")</f>
        <v xml:space="preserve"> </v>
      </c>
    </row>
    <row r="355" spans="1:12" x14ac:dyDescent="0.25">
      <c r="A355" s="19"/>
      <c r="C355" s="10" t="str" cm="1">
        <f t="array" ref="C355">IFERROR(_FV(FundManager[[#This Row],[Name]],"Ticker symbol",TRUE)," ")</f>
        <v xml:space="preserve"> </v>
      </c>
      <c r="E355" s="13"/>
      <c r="F355" s="13"/>
      <c r="G355" s="10" t="str">
        <f t="shared" si="12"/>
        <v xml:space="preserve"> </v>
      </c>
      <c r="H355" s="13"/>
      <c r="I355" s="24"/>
      <c r="J355" s="13">
        <f>IFERROR(FundManager[[#This Row],[Current Value]]-FundManager[[#This Row],[Amount Invested]]," ")</f>
        <v>0</v>
      </c>
      <c r="K355" s="14" t="str">
        <f t="shared" si="13"/>
        <v xml:space="preserve"> </v>
      </c>
      <c r="L355" s="15" t="str" cm="1">
        <f t="array" ref="L355">IFERROR(ROUND(_FV(B355,"Change (%)",TRUE),3) &amp; "%"," ")</f>
        <v xml:space="preserve"> </v>
      </c>
    </row>
    <row r="356" spans="1:12" x14ac:dyDescent="0.25">
      <c r="A356" s="19"/>
      <c r="C356" s="10" t="str" cm="1">
        <f t="array" ref="C356">IFERROR(_FV(FundManager[[#This Row],[Name]],"Ticker symbol",TRUE)," ")</f>
        <v xml:space="preserve"> </v>
      </c>
      <c r="E356" s="13"/>
      <c r="F356" s="13"/>
      <c r="G356" s="10" t="str">
        <f t="shared" si="12"/>
        <v xml:space="preserve"> </v>
      </c>
      <c r="H356" s="13"/>
      <c r="I356" s="24"/>
      <c r="J356" s="13">
        <f>IFERROR(FundManager[[#This Row],[Current Value]]-FundManager[[#This Row],[Amount Invested]]," ")</f>
        <v>0</v>
      </c>
      <c r="K356" s="14" t="str">
        <f t="shared" si="13"/>
        <v xml:space="preserve"> </v>
      </c>
      <c r="L356" s="15" t="str" cm="1">
        <f t="array" ref="L356">IFERROR(ROUND(_FV(B356,"Change (%)",TRUE),3) &amp; "%"," ")</f>
        <v xml:space="preserve"> </v>
      </c>
    </row>
    <row r="357" spans="1:12" x14ac:dyDescent="0.25">
      <c r="A357" s="19"/>
      <c r="C357" s="10" t="str" cm="1">
        <f t="array" ref="C357">IFERROR(_FV(FundManager[[#This Row],[Name]],"Ticker symbol",TRUE)," ")</f>
        <v xml:space="preserve"> </v>
      </c>
      <c r="E357" s="13"/>
      <c r="F357" s="13"/>
      <c r="G357" s="10" t="str">
        <f t="shared" si="12"/>
        <v xml:space="preserve"> </v>
      </c>
      <c r="H357" s="13"/>
      <c r="I357" s="24"/>
      <c r="J357" s="13">
        <f>IFERROR(FundManager[[#This Row],[Current Value]]-FundManager[[#This Row],[Amount Invested]]," ")</f>
        <v>0</v>
      </c>
      <c r="K357" s="14" t="str">
        <f t="shared" si="13"/>
        <v xml:space="preserve"> </v>
      </c>
      <c r="L357" s="15" t="str" cm="1">
        <f t="array" ref="L357">IFERROR(ROUND(_FV(B357,"Change (%)",TRUE),3) &amp; "%"," ")</f>
        <v xml:space="preserve"> </v>
      </c>
    </row>
    <row r="358" spans="1:12" x14ac:dyDescent="0.25">
      <c r="A358" s="19"/>
      <c r="C358" s="10" t="str" cm="1">
        <f t="array" ref="C358">IFERROR(_FV(FundManager[[#This Row],[Name]],"Ticker symbol",TRUE)," ")</f>
        <v xml:space="preserve"> </v>
      </c>
      <c r="E358" s="13"/>
      <c r="F358" s="13"/>
      <c r="G358" s="10" t="str">
        <f t="shared" si="12"/>
        <v xml:space="preserve"> </v>
      </c>
      <c r="H358" s="13"/>
      <c r="I358" s="24"/>
      <c r="J358" s="13">
        <f>IFERROR(FundManager[[#This Row],[Current Value]]-FundManager[[#This Row],[Amount Invested]]," ")</f>
        <v>0</v>
      </c>
      <c r="K358" s="14" t="str">
        <f t="shared" si="13"/>
        <v xml:space="preserve"> </v>
      </c>
      <c r="L358" s="15" t="str" cm="1">
        <f t="array" ref="L358">IFERROR(ROUND(_FV(B358,"Change (%)",TRUE),3) &amp; "%"," ")</f>
        <v xml:space="preserve"> </v>
      </c>
    </row>
    <row r="359" spans="1:12" x14ac:dyDescent="0.25">
      <c r="A359" s="19"/>
      <c r="C359" s="10" t="str" cm="1">
        <f t="array" ref="C359">IFERROR(_FV(FundManager[[#This Row],[Name]],"Ticker symbol",TRUE)," ")</f>
        <v xml:space="preserve"> </v>
      </c>
      <c r="E359" s="13"/>
      <c r="F359" s="13"/>
      <c r="G359" s="10" t="str">
        <f t="shared" si="12"/>
        <v xml:space="preserve"> </v>
      </c>
      <c r="H359" s="13"/>
      <c r="I359" s="24"/>
      <c r="J359" s="13">
        <f>IFERROR(FundManager[[#This Row],[Current Value]]-FundManager[[#This Row],[Amount Invested]]," ")</f>
        <v>0</v>
      </c>
      <c r="K359" s="14" t="str">
        <f t="shared" si="13"/>
        <v xml:space="preserve"> </v>
      </c>
      <c r="L359" s="15" t="str" cm="1">
        <f t="array" ref="L359">IFERROR(ROUND(_FV(B359,"Change (%)",TRUE),3) &amp; "%"," ")</f>
        <v xml:space="preserve"> </v>
      </c>
    </row>
    <row r="360" spans="1:12" x14ac:dyDescent="0.25">
      <c r="A360" s="19"/>
      <c r="C360" s="10" t="str" cm="1">
        <f t="array" ref="C360">IFERROR(_FV(FundManager[[#This Row],[Name]],"Ticker symbol",TRUE)," ")</f>
        <v xml:space="preserve"> </v>
      </c>
      <c r="E360" s="13"/>
      <c r="F360" s="13"/>
      <c r="G360" s="10" t="str">
        <f t="shared" si="12"/>
        <v xml:space="preserve"> </v>
      </c>
      <c r="H360" s="13"/>
      <c r="I360" s="24"/>
      <c r="J360" s="13">
        <f>IFERROR(FundManager[[#This Row],[Current Value]]-FundManager[[#This Row],[Amount Invested]]," ")</f>
        <v>0</v>
      </c>
      <c r="K360" s="14" t="str">
        <f t="shared" si="13"/>
        <v xml:space="preserve"> </v>
      </c>
      <c r="L360" s="15" t="str" cm="1">
        <f t="array" ref="L360">IFERROR(ROUND(_FV(B360,"Change (%)",TRUE),3) &amp; "%"," ")</f>
        <v xml:space="preserve"> </v>
      </c>
    </row>
    <row r="361" spans="1:12" x14ac:dyDescent="0.25">
      <c r="A361" s="19"/>
      <c r="C361" s="10" t="str" cm="1">
        <f t="array" ref="C361">IFERROR(_FV(FundManager[[#This Row],[Name]],"Ticker symbol",TRUE)," ")</f>
        <v xml:space="preserve"> </v>
      </c>
      <c r="E361" s="13"/>
      <c r="F361" s="13"/>
      <c r="G361" s="10" t="str">
        <f t="shared" si="12"/>
        <v xml:space="preserve"> </v>
      </c>
      <c r="H361" s="13"/>
      <c r="I361" s="24"/>
      <c r="J361" s="13">
        <f>IFERROR(FundManager[[#This Row],[Current Value]]-FundManager[[#This Row],[Amount Invested]]," ")</f>
        <v>0</v>
      </c>
      <c r="K361" s="14" t="str">
        <f t="shared" si="13"/>
        <v xml:space="preserve"> </v>
      </c>
      <c r="L361" s="15" t="str" cm="1">
        <f t="array" ref="L361">IFERROR(ROUND(_FV(B361,"Change (%)",TRUE),3) &amp; "%"," ")</f>
        <v xml:space="preserve"> </v>
      </c>
    </row>
    <row r="362" spans="1:12" x14ac:dyDescent="0.25">
      <c r="A362" s="19"/>
      <c r="C362" s="10" t="str" cm="1">
        <f t="array" ref="C362">IFERROR(_FV(FundManager[[#This Row],[Name]],"Ticker symbol",TRUE)," ")</f>
        <v xml:space="preserve"> </v>
      </c>
      <c r="E362" s="13"/>
      <c r="F362" s="13"/>
      <c r="G362" s="10" t="str">
        <f t="shared" si="12"/>
        <v xml:space="preserve"> </v>
      </c>
      <c r="H362" s="13"/>
      <c r="I362" s="24"/>
      <c r="J362" s="13">
        <f>IFERROR(FundManager[[#This Row],[Current Value]]-FundManager[[#This Row],[Amount Invested]]," ")</f>
        <v>0</v>
      </c>
      <c r="K362" s="14" t="str">
        <f t="shared" si="13"/>
        <v xml:space="preserve"> </v>
      </c>
      <c r="L362" s="15" t="str" cm="1">
        <f t="array" ref="L362">IFERROR(ROUND(_FV(B362,"Change (%)",TRUE),3) &amp; "%"," ")</f>
        <v xml:space="preserve"> </v>
      </c>
    </row>
    <row r="363" spans="1:12" x14ac:dyDescent="0.25">
      <c r="A363" s="19"/>
      <c r="C363" s="10" t="str" cm="1">
        <f t="array" ref="C363">IFERROR(_FV(FundManager[[#This Row],[Name]],"Ticker symbol",TRUE)," ")</f>
        <v xml:space="preserve"> </v>
      </c>
      <c r="E363" s="13"/>
      <c r="F363" s="13"/>
      <c r="G363" s="10" t="str">
        <f t="shared" si="12"/>
        <v xml:space="preserve"> </v>
      </c>
      <c r="H363" s="13"/>
      <c r="I363" s="24"/>
      <c r="J363" s="13">
        <f>IFERROR(FundManager[[#This Row],[Current Value]]-FundManager[[#This Row],[Amount Invested]]," ")</f>
        <v>0</v>
      </c>
      <c r="K363" s="14" t="str">
        <f t="shared" si="13"/>
        <v xml:space="preserve"> </v>
      </c>
      <c r="L363" s="15" t="str" cm="1">
        <f t="array" ref="L363">IFERROR(ROUND(_FV(B363,"Change (%)",TRUE),3) &amp; "%"," ")</f>
        <v xml:space="preserve"> </v>
      </c>
    </row>
    <row r="364" spans="1:12" x14ac:dyDescent="0.25">
      <c r="A364" s="19"/>
      <c r="C364" s="10" t="str" cm="1">
        <f t="array" ref="C364">IFERROR(_FV(FundManager[[#This Row],[Name]],"Ticker symbol",TRUE)," ")</f>
        <v xml:space="preserve"> </v>
      </c>
      <c r="E364" s="13"/>
      <c r="F364" s="13"/>
      <c r="G364" s="10" t="str">
        <f t="shared" si="12"/>
        <v xml:space="preserve"> </v>
      </c>
      <c r="H364" s="13"/>
      <c r="I364" s="24"/>
      <c r="J364" s="13">
        <f>IFERROR(FundManager[[#This Row],[Current Value]]-FundManager[[#This Row],[Amount Invested]]," ")</f>
        <v>0</v>
      </c>
      <c r="K364" s="14" t="str">
        <f t="shared" si="13"/>
        <v xml:space="preserve"> </v>
      </c>
      <c r="L364" s="15" t="str" cm="1">
        <f t="array" ref="L364">IFERROR(ROUND(_FV(B364,"Change (%)",TRUE),3) &amp; "%"," ")</f>
        <v xml:space="preserve"> </v>
      </c>
    </row>
    <row r="365" spans="1:12" x14ac:dyDescent="0.25">
      <c r="A365" s="19"/>
      <c r="C365" s="10" t="str" cm="1">
        <f t="array" ref="C365">IFERROR(_FV(FundManager[[#This Row],[Name]],"Ticker symbol",TRUE)," ")</f>
        <v xml:space="preserve"> </v>
      </c>
      <c r="E365" s="13"/>
      <c r="F365" s="13"/>
      <c r="G365" s="10" t="str">
        <f t="shared" si="12"/>
        <v xml:space="preserve"> </v>
      </c>
      <c r="H365" s="13"/>
      <c r="I365" s="24"/>
      <c r="J365" s="13">
        <f>IFERROR(FundManager[[#This Row],[Current Value]]-FundManager[[#This Row],[Amount Invested]]," ")</f>
        <v>0</v>
      </c>
      <c r="K365" s="14" t="str">
        <f t="shared" si="13"/>
        <v xml:space="preserve"> </v>
      </c>
      <c r="L365" s="15" t="str" cm="1">
        <f t="array" ref="L365">IFERROR(ROUND(_FV(B365,"Change (%)",TRUE),3) &amp; "%"," ")</f>
        <v xml:space="preserve"> </v>
      </c>
    </row>
    <row r="366" spans="1:12" x14ac:dyDescent="0.25">
      <c r="A366" s="19"/>
      <c r="C366" s="10" t="str" cm="1">
        <f t="array" ref="C366">IFERROR(_FV(FundManager[[#This Row],[Name]],"Ticker symbol",TRUE)," ")</f>
        <v xml:space="preserve"> </v>
      </c>
      <c r="E366" s="13"/>
      <c r="F366" s="13"/>
      <c r="G366" s="10" t="str">
        <f t="shared" si="12"/>
        <v xml:space="preserve"> </v>
      </c>
      <c r="H366" s="13"/>
      <c r="I366" s="24"/>
      <c r="J366" s="13">
        <f>IFERROR(FundManager[[#This Row],[Current Value]]-FundManager[[#This Row],[Amount Invested]]," ")</f>
        <v>0</v>
      </c>
      <c r="K366" s="14" t="str">
        <f t="shared" si="13"/>
        <v xml:space="preserve"> </v>
      </c>
      <c r="L366" s="15" t="str" cm="1">
        <f t="array" ref="L366">IFERROR(ROUND(_FV(B366,"Change (%)",TRUE),3) &amp; "%"," ")</f>
        <v xml:space="preserve"> </v>
      </c>
    </row>
    <row r="367" spans="1:12" x14ac:dyDescent="0.25">
      <c r="A367" s="19"/>
      <c r="C367" s="10" t="str" cm="1">
        <f t="array" ref="C367">IFERROR(_FV(FundManager[[#This Row],[Name]],"Ticker symbol",TRUE)," ")</f>
        <v xml:space="preserve"> </v>
      </c>
      <c r="E367" s="13"/>
      <c r="F367" s="13"/>
      <c r="G367" s="10" t="str">
        <f t="shared" si="12"/>
        <v xml:space="preserve"> </v>
      </c>
      <c r="H367" s="13"/>
      <c r="I367" s="24"/>
      <c r="J367" s="13">
        <f>IFERROR(FundManager[[#This Row],[Current Value]]-FundManager[[#This Row],[Amount Invested]]," ")</f>
        <v>0</v>
      </c>
      <c r="K367" s="14" t="str">
        <f t="shared" si="13"/>
        <v xml:space="preserve"> </v>
      </c>
      <c r="L367" s="15" t="str" cm="1">
        <f t="array" ref="L367">IFERROR(ROUND(_FV(B367,"Change (%)",TRUE),3) &amp; "%"," ")</f>
        <v xml:space="preserve"> </v>
      </c>
    </row>
    <row r="368" spans="1:12" x14ac:dyDescent="0.25">
      <c r="A368" s="19"/>
      <c r="C368" s="10" t="str" cm="1">
        <f t="array" ref="C368">IFERROR(_FV(FundManager[[#This Row],[Name]],"Ticker symbol",TRUE)," ")</f>
        <v xml:space="preserve"> </v>
      </c>
      <c r="E368" s="13"/>
      <c r="F368" s="13"/>
      <c r="G368" s="10" t="str">
        <f t="shared" si="12"/>
        <v xml:space="preserve"> </v>
      </c>
      <c r="H368" s="13"/>
      <c r="I368" s="24"/>
      <c r="J368" s="13">
        <f>IFERROR(FundManager[[#This Row],[Current Value]]-FundManager[[#This Row],[Amount Invested]]," ")</f>
        <v>0</v>
      </c>
      <c r="K368" s="14" t="str">
        <f t="shared" si="13"/>
        <v xml:space="preserve"> </v>
      </c>
      <c r="L368" s="15" t="str" cm="1">
        <f t="array" ref="L368">IFERROR(ROUND(_FV(B368,"Change (%)",TRUE),3) &amp; "%"," ")</f>
        <v xml:space="preserve"> </v>
      </c>
    </row>
    <row r="369" spans="1:12" x14ac:dyDescent="0.25">
      <c r="A369" s="19"/>
      <c r="C369" s="10" t="str" cm="1">
        <f t="array" ref="C369">IFERROR(_FV(FundManager[[#This Row],[Name]],"Ticker symbol",TRUE)," ")</f>
        <v xml:space="preserve"> </v>
      </c>
      <c r="E369" s="13"/>
      <c r="F369" s="13"/>
      <c r="G369" s="10" t="str">
        <f t="shared" si="12"/>
        <v xml:space="preserve"> </v>
      </c>
      <c r="H369" s="13"/>
      <c r="I369" s="24"/>
      <c r="J369" s="13">
        <f>IFERROR(FundManager[[#This Row],[Current Value]]-FundManager[[#This Row],[Amount Invested]]," ")</f>
        <v>0</v>
      </c>
      <c r="K369" s="14" t="str">
        <f t="shared" si="13"/>
        <v xml:space="preserve"> </v>
      </c>
      <c r="L369" s="15" t="str" cm="1">
        <f t="array" ref="L369">IFERROR(ROUND(_FV(B369,"Change (%)",TRUE),3) &amp; "%"," ")</f>
        <v xml:space="preserve"> </v>
      </c>
    </row>
    <row r="370" spans="1:12" x14ac:dyDescent="0.25">
      <c r="A370" s="19"/>
      <c r="C370" s="10" t="str" cm="1">
        <f t="array" ref="C370">IFERROR(_FV(FundManager[[#This Row],[Name]],"Ticker symbol",TRUE)," ")</f>
        <v xml:space="preserve"> </v>
      </c>
      <c r="E370" s="13"/>
      <c r="F370" s="13"/>
      <c r="G370" s="10" t="str">
        <f t="shared" si="12"/>
        <v xml:space="preserve"> </v>
      </c>
      <c r="H370" s="13"/>
      <c r="I370" s="24"/>
      <c r="J370" s="13">
        <f>IFERROR(FundManager[[#This Row],[Current Value]]-FundManager[[#This Row],[Amount Invested]]," ")</f>
        <v>0</v>
      </c>
      <c r="K370" s="14" t="str">
        <f t="shared" si="13"/>
        <v xml:space="preserve"> </v>
      </c>
      <c r="L370" s="15" t="str" cm="1">
        <f t="array" ref="L370">IFERROR(ROUND(_FV(B370,"Change (%)",TRUE),3) &amp; "%"," ")</f>
        <v xml:space="preserve"> </v>
      </c>
    </row>
    <row r="371" spans="1:12" x14ac:dyDescent="0.25">
      <c r="A371" s="19"/>
      <c r="C371" s="10" t="str" cm="1">
        <f t="array" ref="C371">IFERROR(_FV(FundManager[[#This Row],[Name]],"Ticker symbol",TRUE)," ")</f>
        <v xml:space="preserve"> </v>
      </c>
      <c r="E371" s="13"/>
      <c r="F371" s="13"/>
      <c r="G371" s="10" t="str">
        <f t="shared" si="12"/>
        <v xml:space="preserve"> </v>
      </c>
      <c r="H371" s="13"/>
      <c r="I371" s="24"/>
      <c r="J371" s="13">
        <f>IFERROR(FundManager[[#This Row],[Current Value]]-FundManager[[#This Row],[Amount Invested]]," ")</f>
        <v>0</v>
      </c>
      <c r="K371" s="14" t="str">
        <f t="shared" si="13"/>
        <v xml:space="preserve"> </v>
      </c>
      <c r="L371" s="15" t="str" cm="1">
        <f t="array" ref="L371">IFERROR(ROUND(_FV(B371,"Change (%)",TRUE),3) &amp; "%"," ")</f>
        <v xml:space="preserve"> </v>
      </c>
    </row>
    <row r="372" spans="1:12" x14ac:dyDescent="0.25">
      <c r="A372" s="19"/>
      <c r="C372" s="10" t="str" cm="1">
        <f t="array" ref="C372">IFERROR(_FV(FundManager[[#This Row],[Name]],"Ticker symbol",TRUE)," ")</f>
        <v xml:space="preserve"> </v>
      </c>
      <c r="E372" s="13"/>
      <c r="F372" s="13"/>
      <c r="G372" s="10" t="str">
        <f t="shared" si="12"/>
        <v xml:space="preserve"> </v>
      </c>
      <c r="H372" s="13"/>
      <c r="I372" s="24"/>
      <c r="J372" s="13">
        <f>IFERROR(FundManager[[#This Row],[Current Value]]-FundManager[[#This Row],[Amount Invested]]," ")</f>
        <v>0</v>
      </c>
      <c r="K372" s="14" t="str">
        <f t="shared" si="13"/>
        <v xml:space="preserve"> </v>
      </c>
      <c r="L372" s="15" t="str" cm="1">
        <f t="array" ref="L372">IFERROR(ROUND(_FV(B372,"Change (%)",TRUE),3) &amp; "%"," ")</f>
        <v xml:space="preserve"> </v>
      </c>
    </row>
    <row r="373" spans="1:12" x14ac:dyDescent="0.25">
      <c r="A373" s="19"/>
      <c r="C373" s="10" t="str" cm="1">
        <f t="array" ref="C373">IFERROR(_FV(FundManager[[#This Row],[Name]],"Ticker symbol",TRUE)," ")</f>
        <v xml:space="preserve"> </v>
      </c>
      <c r="E373" s="13"/>
      <c r="F373" s="13"/>
      <c r="G373" s="10" t="str">
        <f t="shared" si="12"/>
        <v xml:space="preserve"> </v>
      </c>
      <c r="H373" s="13"/>
      <c r="I373" s="24"/>
      <c r="J373" s="13">
        <f>IFERROR(FundManager[[#This Row],[Current Value]]-FundManager[[#This Row],[Amount Invested]]," ")</f>
        <v>0</v>
      </c>
      <c r="K373" s="14" t="str">
        <f t="shared" si="13"/>
        <v xml:space="preserve"> </v>
      </c>
      <c r="L373" s="15" t="str" cm="1">
        <f t="array" ref="L373">IFERROR(ROUND(_FV(B373,"Change (%)",TRUE),3) &amp; "%"," ")</f>
        <v xml:space="preserve"> </v>
      </c>
    </row>
    <row r="374" spans="1:12" x14ac:dyDescent="0.25">
      <c r="A374" s="19"/>
      <c r="C374" s="10" t="str" cm="1">
        <f t="array" ref="C374">IFERROR(_FV(FundManager[[#This Row],[Name]],"Ticker symbol",TRUE)," ")</f>
        <v xml:space="preserve"> </v>
      </c>
      <c r="E374" s="13"/>
      <c r="F374" s="13"/>
      <c r="G374" s="10" t="str">
        <f t="shared" si="12"/>
        <v xml:space="preserve"> </v>
      </c>
      <c r="H374" s="13"/>
      <c r="I374" s="24"/>
      <c r="J374" s="13">
        <f>IFERROR(FundManager[[#This Row],[Current Value]]-FundManager[[#This Row],[Amount Invested]]," ")</f>
        <v>0</v>
      </c>
      <c r="K374" s="14" t="str">
        <f t="shared" si="13"/>
        <v xml:space="preserve"> </v>
      </c>
      <c r="L374" s="15" t="str" cm="1">
        <f t="array" ref="L374">IFERROR(ROUND(_FV(B374,"Change (%)",TRUE),3) &amp; "%"," ")</f>
        <v xml:space="preserve"> </v>
      </c>
    </row>
    <row r="375" spans="1:12" x14ac:dyDescent="0.25">
      <c r="A375" s="19"/>
      <c r="C375" s="10" t="str" cm="1">
        <f t="array" ref="C375">IFERROR(_FV(FundManager[[#This Row],[Name]],"Ticker symbol",TRUE)," ")</f>
        <v xml:space="preserve"> </v>
      </c>
      <c r="E375" s="13"/>
      <c r="F375" s="13"/>
      <c r="G375" s="10" t="str">
        <f t="shared" si="12"/>
        <v xml:space="preserve"> </v>
      </c>
      <c r="H375" s="13"/>
      <c r="I375" s="24"/>
      <c r="J375" s="13">
        <f>IFERROR(FundManager[[#This Row],[Current Value]]-FundManager[[#This Row],[Amount Invested]]," ")</f>
        <v>0</v>
      </c>
      <c r="K375" s="14" t="str">
        <f t="shared" si="13"/>
        <v xml:space="preserve"> </v>
      </c>
      <c r="L375" s="15" t="str" cm="1">
        <f t="array" ref="L375">IFERROR(ROUND(_FV(B375,"Change (%)",TRUE),3) &amp; "%"," ")</f>
        <v xml:space="preserve"> </v>
      </c>
    </row>
    <row r="376" spans="1:12" x14ac:dyDescent="0.25">
      <c r="A376" s="19"/>
      <c r="C376" s="10" t="str" cm="1">
        <f t="array" ref="C376">IFERROR(_FV(FundManager[[#This Row],[Name]],"Ticker symbol",TRUE)," ")</f>
        <v xml:space="preserve"> </v>
      </c>
      <c r="E376" s="13"/>
      <c r="F376" s="13"/>
      <c r="G376" s="10" t="str">
        <f t="shared" si="12"/>
        <v xml:space="preserve"> </v>
      </c>
      <c r="H376" s="13"/>
      <c r="I376" s="24"/>
      <c r="J376" s="13">
        <f>IFERROR(FundManager[[#This Row],[Current Value]]-FundManager[[#This Row],[Amount Invested]]," ")</f>
        <v>0</v>
      </c>
      <c r="K376" s="14" t="str">
        <f t="shared" si="13"/>
        <v xml:space="preserve"> </v>
      </c>
      <c r="L376" s="15" t="str" cm="1">
        <f t="array" ref="L376">IFERROR(ROUND(_FV(B376,"Change (%)",TRUE),3) &amp; "%"," ")</f>
        <v xml:space="preserve"> </v>
      </c>
    </row>
    <row r="377" spans="1:12" x14ac:dyDescent="0.25">
      <c r="A377" s="19"/>
      <c r="C377" s="10" t="str" cm="1">
        <f t="array" ref="C377">IFERROR(_FV(FundManager[[#This Row],[Name]],"Ticker symbol",TRUE)," ")</f>
        <v xml:space="preserve"> </v>
      </c>
      <c r="E377" s="13"/>
      <c r="F377" s="13"/>
      <c r="G377" s="10" t="str">
        <f t="shared" si="12"/>
        <v xml:space="preserve"> </v>
      </c>
      <c r="H377" s="13"/>
      <c r="I377" s="24"/>
      <c r="J377" s="13">
        <f>IFERROR(FundManager[[#This Row],[Current Value]]-FundManager[[#This Row],[Amount Invested]]," ")</f>
        <v>0</v>
      </c>
      <c r="K377" s="14" t="str">
        <f t="shared" si="13"/>
        <v xml:space="preserve"> </v>
      </c>
      <c r="L377" s="15" t="str" cm="1">
        <f t="array" ref="L377">IFERROR(ROUND(_FV(B377,"Change (%)",TRUE),3) &amp; "%"," ")</f>
        <v xml:space="preserve"> </v>
      </c>
    </row>
    <row r="378" spans="1:12" x14ac:dyDescent="0.25">
      <c r="A378" s="19"/>
      <c r="C378" s="10" t="str" cm="1">
        <f t="array" ref="C378">IFERROR(_FV(FundManager[[#This Row],[Name]],"Ticker symbol",TRUE)," ")</f>
        <v xml:space="preserve"> </v>
      </c>
      <c r="E378" s="13"/>
      <c r="F378" s="13"/>
      <c r="G378" s="10" t="str">
        <f t="shared" si="12"/>
        <v xml:space="preserve"> </v>
      </c>
      <c r="H378" s="13"/>
      <c r="I378" s="24"/>
      <c r="J378" s="13">
        <f>IFERROR(FundManager[[#This Row],[Current Value]]-FundManager[[#This Row],[Amount Invested]]," ")</f>
        <v>0</v>
      </c>
      <c r="K378" s="14" t="str">
        <f t="shared" si="13"/>
        <v xml:space="preserve"> </v>
      </c>
      <c r="L378" s="15" t="str" cm="1">
        <f t="array" ref="L378">IFERROR(ROUND(_FV(B378,"Change (%)",TRUE),3) &amp; "%"," ")</f>
        <v xml:space="preserve"> </v>
      </c>
    </row>
    <row r="379" spans="1:12" x14ac:dyDescent="0.25">
      <c r="A379" s="19"/>
      <c r="C379" s="10" t="str" cm="1">
        <f t="array" ref="C379">IFERROR(_FV(FundManager[[#This Row],[Name]],"Ticker symbol",TRUE)," ")</f>
        <v xml:space="preserve"> </v>
      </c>
      <c r="E379" s="13"/>
      <c r="F379" s="13"/>
      <c r="G379" s="10" t="str">
        <f t="shared" si="12"/>
        <v xml:space="preserve"> </v>
      </c>
      <c r="H379" s="13"/>
      <c r="I379" s="24"/>
      <c r="J379" s="13">
        <f>IFERROR(FundManager[[#This Row],[Current Value]]-FundManager[[#This Row],[Amount Invested]]," ")</f>
        <v>0</v>
      </c>
      <c r="K379" s="14" t="str">
        <f t="shared" si="13"/>
        <v xml:space="preserve"> </v>
      </c>
      <c r="L379" s="15" t="str" cm="1">
        <f t="array" ref="L379">IFERROR(ROUND(_FV(B379,"Change (%)",TRUE),3) &amp; "%"," ")</f>
        <v xml:space="preserve"> </v>
      </c>
    </row>
    <row r="380" spans="1:12" x14ac:dyDescent="0.25">
      <c r="A380" s="19"/>
      <c r="C380" s="10" t="str" cm="1">
        <f t="array" ref="C380">IFERROR(_FV(FundManager[[#This Row],[Name]],"Ticker symbol",TRUE)," ")</f>
        <v xml:space="preserve"> </v>
      </c>
      <c r="E380" s="13"/>
      <c r="F380" s="13"/>
      <c r="G380" s="10" t="str">
        <f t="shared" si="12"/>
        <v xml:space="preserve"> </v>
      </c>
      <c r="H380" s="13"/>
      <c r="I380" s="24"/>
      <c r="J380" s="13">
        <f>IFERROR(FundManager[[#This Row],[Current Value]]-FundManager[[#This Row],[Amount Invested]]," ")</f>
        <v>0</v>
      </c>
      <c r="K380" s="14" t="str">
        <f t="shared" si="13"/>
        <v xml:space="preserve"> </v>
      </c>
      <c r="L380" s="15" t="str" cm="1">
        <f t="array" ref="L380">IFERROR(ROUND(_FV(B380,"Change (%)",TRUE),3) &amp; "%"," ")</f>
        <v xml:space="preserve"> </v>
      </c>
    </row>
    <row r="381" spans="1:12" x14ac:dyDescent="0.25">
      <c r="A381" s="19"/>
      <c r="C381" s="10" t="str" cm="1">
        <f t="array" ref="C381">IFERROR(_FV(FundManager[[#This Row],[Name]],"Ticker symbol",TRUE)," ")</f>
        <v xml:space="preserve"> </v>
      </c>
      <c r="E381" s="13"/>
      <c r="F381" s="13"/>
      <c r="G381" s="10" t="str">
        <f t="shared" si="12"/>
        <v xml:space="preserve"> </v>
      </c>
      <c r="H381" s="13"/>
      <c r="I381" s="24"/>
      <c r="J381" s="13">
        <f>IFERROR(FundManager[[#This Row],[Current Value]]-FundManager[[#This Row],[Amount Invested]]," ")</f>
        <v>0</v>
      </c>
      <c r="K381" s="14" t="str">
        <f t="shared" si="13"/>
        <v xml:space="preserve"> </v>
      </c>
      <c r="L381" s="15" t="str" cm="1">
        <f t="array" ref="L381">IFERROR(ROUND(_FV(B381,"Change (%)",TRUE),3) &amp; "%"," ")</f>
        <v xml:space="preserve"> </v>
      </c>
    </row>
    <row r="382" spans="1:12" x14ac:dyDescent="0.25">
      <c r="A382" s="19"/>
      <c r="C382" s="10" t="str" cm="1">
        <f t="array" ref="C382">IFERROR(_FV(FundManager[[#This Row],[Name]],"Ticker symbol",TRUE)," ")</f>
        <v xml:space="preserve"> </v>
      </c>
      <c r="E382" s="13"/>
      <c r="F382" s="13"/>
      <c r="G382" s="10" t="str">
        <f t="shared" si="12"/>
        <v xml:space="preserve"> </v>
      </c>
      <c r="H382" s="13"/>
      <c r="I382" s="24"/>
      <c r="J382" s="13">
        <f>IFERROR(FundManager[[#This Row],[Current Value]]-FundManager[[#This Row],[Amount Invested]]," ")</f>
        <v>0</v>
      </c>
      <c r="K382" s="14" t="str">
        <f t="shared" si="13"/>
        <v xml:space="preserve"> </v>
      </c>
      <c r="L382" s="15" t="str" cm="1">
        <f t="array" ref="L382">IFERROR(ROUND(_FV(B382,"Change (%)",TRUE),3) &amp; "%"," ")</f>
        <v xml:space="preserve"> </v>
      </c>
    </row>
    <row r="383" spans="1:12" x14ac:dyDescent="0.25">
      <c r="A383" s="19"/>
      <c r="C383" s="10" t="str" cm="1">
        <f t="array" ref="C383">IFERROR(_FV(FundManager[[#This Row],[Name]],"Ticker symbol",TRUE)," ")</f>
        <v xml:space="preserve"> </v>
      </c>
      <c r="E383" s="13"/>
      <c r="F383" s="13"/>
      <c r="G383" s="10" t="str">
        <f t="shared" si="12"/>
        <v xml:space="preserve"> </v>
      </c>
      <c r="H383" s="13"/>
      <c r="I383" s="24"/>
      <c r="J383" s="13">
        <f>IFERROR(FundManager[[#This Row],[Current Value]]-FundManager[[#This Row],[Amount Invested]]," ")</f>
        <v>0</v>
      </c>
      <c r="K383" s="14" t="str">
        <f t="shared" si="13"/>
        <v xml:space="preserve"> </v>
      </c>
      <c r="L383" s="15" t="str" cm="1">
        <f t="array" ref="L383">IFERROR(ROUND(_FV(B383,"Change (%)",TRUE),3) &amp; "%"," ")</f>
        <v xml:space="preserve"> </v>
      </c>
    </row>
    <row r="384" spans="1:12" x14ac:dyDescent="0.25">
      <c r="A384" s="19"/>
      <c r="C384" s="10" t="str" cm="1">
        <f t="array" ref="C384">IFERROR(_FV(FundManager[[#This Row],[Name]],"Ticker symbol",TRUE)," ")</f>
        <v xml:space="preserve"> </v>
      </c>
      <c r="E384" s="13"/>
      <c r="F384" s="13"/>
      <c r="G384" s="10" t="str">
        <f t="shared" si="12"/>
        <v xml:space="preserve"> </v>
      </c>
      <c r="H384" s="13"/>
      <c r="I384" s="24"/>
      <c r="J384" s="13">
        <f>IFERROR(FundManager[[#This Row],[Current Value]]-FundManager[[#This Row],[Amount Invested]]," ")</f>
        <v>0</v>
      </c>
      <c r="K384" s="14" t="str">
        <f t="shared" si="13"/>
        <v xml:space="preserve"> </v>
      </c>
      <c r="L384" s="15" t="str" cm="1">
        <f t="array" ref="L384">IFERROR(ROUND(_FV(B384,"Change (%)",TRUE),3) &amp; "%"," ")</f>
        <v xml:space="preserve"> </v>
      </c>
    </row>
    <row r="385" spans="1:12" x14ac:dyDescent="0.25">
      <c r="A385" s="19"/>
      <c r="C385" s="10" t="str" cm="1">
        <f t="array" ref="C385">IFERROR(_FV(FundManager[[#This Row],[Name]],"Ticker symbol",TRUE)," ")</f>
        <v xml:space="preserve"> </v>
      </c>
      <c r="E385" s="13"/>
      <c r="F385" s="13"/>
      <c r="G385" s="10" t="str">
        <f t="shared" si="12"/>
        <v xml:space="preserve"> </v>
      </c>
      <c r="H385" s="13"/>
      <c r="I385" s="24"/>
      <c r="J385" s="13">
        <f>IFERROR(FundManager[[#This Row],[Current Value]]-FundManager[[#This Row],[Amount Invested]]," ")</f>
        <v>0</v>
      </c>
      <c r="K385" s="14" t="str">
        <f t="shared" si="13"/>
        <v xml:space="preserve"> </v>
      </c>
      <c r="L385" s="15" t="str" cm="1">
        <f t="array" ref="L385">IFERROR(ROUND(_FV(B385,"Change (%)",TRUE),3) &amp; "%"," ")</f>
        <v xml:space="preserve"> </v>
      </c>
    </row>
    <row r="386" spans="1:12" x14ac:dyDescent="0.25">
      <c r="A386" s="19"/>
      <c r="C386" s="10" t="str" cm="1">
        <f t="array" ref="C386">IFERROR(_FV(FundManager[[#This Row],[Name]],"Ticker symbol",TRUE)," ")</f>
        <v xml:space="preserve"> </v>
      </c>
      <c r="E386" s="13"/>
      <c r="F386" s="13"/>
      <c r="G386" s="10" t="str">
        <f t="shared" si="12"/>
        <v xml:space="preserve"> </v>
      </c>
      <c r="H386" s="13"/>
      <c r="I386" s="24"/>
      <c r="J386" s="13">
        <f>IFERROR(FundManager[[#This Row],[Current Value]]-FundManager[[#This Row],[Amount Invested]]," ")</f>
        <v>0</v>
      </c>
      <c r="K386" s="14" t="str">
        <f t="shared" si="13"/>
        <v xml:space="preserve"> </v>
      </c>
      <c r="L386" s="15" t="str" cm="1">
        <f t="array" ref="L386">IFERROR(ROUND(_FV(B386,"Change (%)",TRUE),3) &amp; "%"," ")</f>
        <v xml:space="preserve"> </v>
      </c>
    </row>
    <row r="387" spans="1:12" x14ac:dyDescent="0.25">
      <c r="A387" s="19"/>
      <c r="C387" s="10" t="str" cm="1">
        <f t="array" ref="C387">IFERROR(_FV(FundManager[[#This Row],[Name]],"Ticker symbol",TRUE)," ")</f>
        <v xml:space="preserve"> </v>
      </c>
      <c r="E387" s="13"/>
      <c r="F387" s="13"/>
      <c r="G387" s="10" t="str">
        <f t="shared" si="12"/>
        <v xml:space="preserve"> </v>
      </c>
      <c r="H387" s="13"/>
      <c r="I387" s="24"/>
      <c r="J387" s="13">
        <f>IFERROR(FundManager[[#This Row],[Current Value]]-FundManager[[#This Row],[Amount Invested]]," ")</f>
        <v>0</v>
      </c>
      <c r="K387" s="14" t="str">
        <f t="shared" si="13"/>
        <v xml:space="preserve"> </v>
      </c>
      <c r="L387" s="15" t="str" cm="1">
        <f t="array" ref="L387">IFERROR(ROUND(_FV(B387,"Change (%)",TRUE),3) &amp; "%"," ")</f>
        <v xml:space="preserve"> </v>
      </c>
    </row>
    <row r="388" spans="1:12" x14ac:dyDescent="0.25">
      <c r="A388" s="19"/>
      <c r="C388" s="10" t="str" cm="1">
        <f t="array" ref="C388">IFERROR(_FV(FundManager[[#This Row],[Name]],"Ticker symbol",TRUE)," ")</f>
        <v xml:space="preserve"> </v>
      </c>
      <c r="E388" s="13"/>
      <c r="F388" s="13"/>
      <c r="G388" s="10" t="str">
        <f t="shared" si="12"/>
        <v xml:space="preserve"> </v>
      </c>
      <c r="H388" s="13"/>
      <c r="I388" s="24"/>
      <c r="J388" s="13">
        <f>IFERROR(FundManager[[#This Row],[Current Value]]-FundManager[[#This Row],[Amount Invested]]," ")</f>
        <v>0</v>
      </c>
      <c r="K388" s="14" t="str">
        <f t="shared" si="13"/>
        <v xml:space="preserve"> </v>
      </c>
      <c r="L388" s="15" t="str" cm="1">
        <f t="array" ref="L388">IFERROR(ROUND(_FV(B388,"Change (%)",TRUE),3) &amp; "%"," ")</f>
        <v xml:space="preserve"> </v>
      </c>
    </row>
    <row r="389" spans="1:12" x14ac:dyDescent="0.25">
      <c r="A389" s="19"/>
      <c r="C389" s="10" t="str" cm="1">
        <f t="array" ref="C389">IFERROR(_FV(FundManager[[#This Row],[Name]],"Ticker symbol",TRUE)," ")</f>
        <v xml:space="preserve"> </v>
      </c>
      <c r="E389" s="13"/>
      <c r="F389" s="13"/>
      <c r="G389" s="10" t="str">
        <f t="shared" si="12"/>
        <v xml:space="preserve"> </v>
      </c>
      <c r="H389" s="13"/>
      <c r="I389" s="24"/>
      <c r="J389" s="13">
        <f>IFERROR(FundManager[[#This Row],[Current Value]]-FundManager[[#This Row],[Amount Invested]]," ")</f>
        <v>0</v>
      </c>
      <c r="K389" s="14" t="str">
        <f t="shared" si="13"/>
        <v xml:space="preserve"> </v>
      </c>
      <c r="L389" s="15" t="str" cm="1">
        <f t="array" ref="L389">IFERROR(ROUND(_FV(B389,"Change (%)",TRUE),3) &amp; "%"," ")</f>
        <v xml:space="preserve"> </v>
      </c>
    </row>
    <row r="390" spans="1:12" x14ac:dyDescent="0.25">
      <c r="A390" s="19"/>
      <c r="C390" s="10" t="str" cm="1">
        <f t="array" ref="C390">IFERROR(_FV(FundManager[[#This Row],[Name]],"Ticker symbol",TRUE)," ")</f>
        <v xml:space="preserve"> </v>
      </c>
      <c r="E390" s="13"/>
      <c r="F390" s="13"/>
      <c r="G390" s="10" t="str">
        <f t="shared" si="12"/>
        <v xml:space="preserve"> </v>
      </c>
      <c r="H390" s="13"/>
      <c r="I390" s="24"/>
      <c r="J390" s="13">
        <f>IFERROR(FundManager[[#This Row],[Current Value]]-FundManager[[#This Row],[Amount Invested]]," ")</f>
        <v>0</v>
      </c>
      <c r="K390" s="14" t="str">
        <f t="shared" si="13"/>
        <v xml:space="preserve"> </v>
      </c>
      <c r="L390" s="15" t="str" cm="1">
        <f t="array" ref="L390">IFERROR(ROUND(_FV(B390,"Change (%)",TRUE),3) &amp; "%"," ")</f>
        <v xml:space="preserve"> </v>
      </c>
    </row>
    <row r="391" spans="1:12" x14ac:dyDescent="0.25">
      <c r="A391" s="19"/>
      <c r="C391" s="10" t="str" cm="1">
        <f t="array" ref="C391">IFERROR(_FV(FundManager[[#This Row],[Name]],"Ticker symbol",TRUE)," ")</f>
        <v xml:space="preserve"> </v>
      </c>
      <c r="E391" s="13"/>
      <c r="F391" s="13"/>
      <c r="G391" s="10" t="str">
        <f t="shared" si="12"/>
        <v xml:space="preserve"> </v>
      </c>
      <c r="H391" s="13"/>
      <c r="I391" s="24"/>
      <c r="J391" s="13">
        <f>IFERROR(FundManager[[#This Row],[Current Value]]-FundManager[[#This Row],[Amount Invested]]," ")</f>
        <v>0</v>
      </c>
      <c r="K391" s="14" t="str">
        <f t="shared" si="13"/>
        <v xml:space="preserve"> </v>
      </c>
      <c r="L391" s="15" t="str" cm="1">
        <f t="array" ref="L391">IFERROR(ROUND(_FV(B391,"Change (%)",TRUE),3) &amp; "%"," ")</f>
        <v xml:space="preserve"> </v>
      </c>
    </row>
    <row r="392" spans="1:12" x14ac:dyDescent="0.25">
      <c r="A392" s="19"/>
      <c r="C392" s="10" t="str" cm="1">
        <f t="array" ref="C392">IFERROR(_FV(FundManager[[#This Row],[Name]],"Ticker symbol",TRUE)," ")</f>
        <v xml:space="preserve"> </v>
      </c>
      <c r="E392" s="13"/>
      <c r="F392" s="13"/>
      <c r="G392" s="10" t="str">
        <f t="shared" si="12"/>
        <v xml:space="preserve"> </v>
      </c>
      <c r="H392" s="13"/>
      <c r="I392" s="24"/>
      <c r="J392" s="13">
        <f>IFERROR(FundManager[[#This Row],[Current Value]]-FundManager[[#This Row],[Amount Invested]]," ")</f>
        <v>0</v>
      </c>
      <c r="K392" s="14" t="str">
        <f t="shared" si="13"/>
        <v xml:space="preserve"> </v>
      </c>
      <c r="L392" s="15" t="str" cm="1">
        <f t="array" ref="L392">IFERROR(ROUND(_FV(B392,"Change (%)",TRUE),3) &amp; "%"," ")</f>
        <v xml:space="preserve"> </v>
      </c>
    </row>
    <row r="393" spans="1:12" x14ac:dyDescent="0.25">
      <c r="A393" s="19"/>
      <c r="C393" s="10" t="str" cm="1">
        <f t="array" ref="C393">IFERROR(_FV(FundManager[[#This Row],[Name]],"Ticker symbol",TRUE)," ")</f>
        <v xml:space="preserve"> </v>
      </c>
      <c r="E393" s="13"/>
      <c r="F393" s="13"/>
      <c r="G393" s="10" t="str">
        <f t="shared" si="12"/>
        <v xml:space="preserve"> </v>
      </c>
      <c r="H393" s="13"/>
      <c r="I393" s="24"/>
      <c r="J393" s="13">
        <f>IFERROR(FundManager[[#This Row],[Current Value]]-FundManager[[#This Row],[Amount Invested]]," ")</f>
        <v>0</v>
      </c>
      <c r="K393" s="14" t="str">
        <f t="shared" si="13"/>
        <v xml:space="preserve"> </v>
      </c>
      <c r="L393" s="15" t="str" cm="1">
        <f t="array" ref="L393">IFERROR(ROUND(_FV(B393,"Change (%)",TRUE),3) &amp; "%"," ")</f>
        <v xml:space="preserve"> </v>
      </c>
    </row>
    <row r="394" spans="1:12" x14ac:dyDescent="0.25">
      <c r="A394" s="19"/>
      <c r="C394" s="10" t="str" cm="1">
        <f t="array" ref="C394">IFERROR(_FV(FundManager[[#This Row],[Name]],"Ticker symbol",TRUE)," ")</f>
        <v xml:space="preserve"> </v>
      </c>
      <c r="E394" s="13"/>
      <c r="F394" s="13"/>
      <c r="G394" s="10" t="str">
        <f t="shared" si="12"/>
        <v xml:space="preserve"> </v>
      </c>
      <c r="H394" s="13"/>
      <c r="I394" s="24"/>
      <c r="J394" s="13">
        <f>IFERROR(FundManager[[#This Row],[Current Value]]-FundManager[[#This Row],[Amount Invested]]," ")</f>
        <v>0</v>
      </c>
      <c r="K394" s="14" t="str">
        <f t="shared" si="13"/>
        <v xml:space="preserve"> </v>
      </c>
      <c r="L394" s="15" t="str" cm="1">
        <f t="array" ref="L394">IFERROR(ROUND(_FV(B394,"Change (%)",TRUE),3) &amp; "%"," ")</f>
        <v xml:space="preserve"> </v>
      </c>
    </row>
    <row r="395" spans="1:12" x14ac:dyDescent="0.25">
      <c r="A395" s="19"/>
      <c r="C395" s="10" t="str" cm="1">
        <f t="array" ref="C395">IFERROR(_FV(FundManager[[#This Row],[Name]],"Ticker symbol",TRUE)," ")</f>
        <v xml:space="preserve"> </v>
      </c>
      <c r="E395" s="13"/>
      <c r="F395" s="13"/>
      <c r="G395" s="10" t="str">
        <f t="shared" si="12"/>
        <v xml:space="preserve"> </v>
      </c>
      <c r="H395" s="13"/>
      <c r="I395" s="24"/>
      <c r="J395" s="13">
        <f>IFERROR(FundManager[[#This Row],[Current Value]]-FundManager[[#This Row],[Amount Invested]]," ")</f>
        <v>0</v>
      </c>
      <c r="K395" s="14" t="str">
        <f t="shared" si="13"/>
        <v xml:space="preserve"> </v>
      </c>
      <c r="L395" s="15" t="str" cm="1">
        <f t="array" ref="L395">IFERROR(ROUND(_FV(B395,"Change (%)",TRUE),3) &amp; "%"," ")</f>
        <v xml:space="preserve"> </v>
      </c>
    </row>
    <row r="396" spans="1:12" x14ac:dyDescent="0.25">
      <c r="A396" s="19"/>
      <c r="C396" s="10" t="str" cm="1">
        <f t="array" ref="C396">IFERROR(_FV(FundManager[[#This Row],[Name]],"Ticker symbol",TRUE)," ")</f>
        <v xml:space="preserve"> </v>
      </c>
      <c r="E396" s="13"/>
      <c r="F396" s="13"/>
      <c r="G396" s="10" t="str">
        <f t="shared" si="12"/>
        <v xml:space="preserve"> </v>
      </c>
      <c r="H396" s="13"/>
      <c r="I396" s="24"/>
      <c r="J396" s="13">
        <f>IFERROR(FundManager[[#This Row],[Current Value]]-FundManager[[#This Row],[Amount Invested]]," ")</f>
        <v>0</v>
      </c>
      <c r="K396" s="14" t="str">
        <f t="shared" si="13"/>
        <v xml:space="preserve"> </v>
      </c>
      <c r="L396" s="15" t="str" cm="1">
        <f t="array" ref="L396">IFERROR(ROUND(_FV(B396,"Change (%)",TRUE),3) &amp; "%"," ")</f>
        <v xml:space="preserve"> </v>
      </c>
    </row>
    <row r="397" spans="1:12" x14ac:dyDescent="0.25">
      <c r="A397" s="19"/>
      <c r="C397" s="10" t="str" cm="1">
        <f t="array" ref="C397">IFERROR(_FV(FundManager[[#This Row],[Name]],"Ticker symbol",TRUE)," ")</f>
        <v xml:space="preserve"> </v>
      </c>
      <c r="E397" s="13"/>
      <c r="F397" s="13"/>
      <c r="G397" s="10" t="str">
        <f t="shared" si="12"/>
        <v xml:space="preserve"> </v>
      </c>
      <c r="H397" s="13"/>
      <c r="I397" s="24"/>
      <c r="J397" s="13">
        <f>IFERROR(FundManager[[#This Row],[Current Value]]-FundManager[[#This Row],[Amount Invested]]," ")</f>
        <v>0</v>
      </c>
      <c r="K397" s="14" t="str">
        <f t="shared" si="13"/>
        <v xml:space="preserve"> </v>
      </c>
      <c r="L397" s="15" t="str" cm="1">
        <f t="array" ref="L397">IFERROR(ROUND(_FV(B397,"Change (%)",TRUE),3) &amp; "%"," ")</f>
        <v xml:space="preserve"> </v>
      </c>
    </row>
    <row r="398" spans="1:12" x14ac:dyDescent="0.25">
      <c r="A398" s="19"/>
      <c r="C398" s="10" t="str" cm="1">
        <f t="array" ref="C398">IFERROR(_FV(FundManager[[#This Row],[Name]],"Ticker symbol",TRUE)," ")</f>
        <v xml:space="preserve"> </v>
      </c>
      <c r="E398" s="13"/>
      <c r="F398" s="13"/>
      <c r="G398" s="10" t="str">
        <f t="shared" si="12"/>
        <v xml:space="preserve"> </v>
      </c>
      <c r="H398" s="13"/>
      <c r="I398" s="24"/>
      <c r="J398" s="13">
        <f>IFERROR(FundManager[[#This Row],[Current Value]]-FundManager[[#This Row],[Amount Invested]]," ")</f>
        <v>0</v>
      </c>
      <c r="K398" s="14" t="str">
        <f t="shared" si="13"/>
        <v xml:space="preserve"> </v>
      </c>
      <c r="L398" s="15" t="str" cm="1">
        <f t="array" ref="L398">IFERROR(ROUND(_FV(B398,"Change (%)",TRUE),3) &amp; "%"," ")</f>
        <v xml:space="preserve"> </v>
      </c>
    </row>
    <row r="399" spans="1:12" x14ac:dyDescent="0.25">
      <c r="A399" s="19"/>
      <c r="C399" s="10" t="str" cm="1">
        <f t="array" ref="C399">IFERROR(_FV(FundManager[[#This Row],[Name]],"Ticker symbol",TRUE)," ")</f>
        <v xml:space="preserve"> </v>
      </c>
      <c r="E399" s="13"/>
      <c r="F399" s="13"/>
      <c r="G399" s="10" t="str">
        <f t="shared" si="12"/>
        <v xml:space="preserve"> </v>
      </c>
      <c r="H399" s="13"/>
      <c r="I399" s="24"/>
      <c r="J399" s="13">
        <f>IFERROR(FundManager[[#This Row],[Current Value]]-FundManager[[#This Row],[Amount Invested]]," ")</f>
        <v>0</v>
      </c>
      <c r="K399" s="14" t="str">
        <f t="shared" si="13"/>
        <v xml:space="preserve"> </v>
      </c>
      <c r="L399" s="15" t="str" cm="1">
        <f t="array" ref="L399">IFERROR(ROUND(_FV(B399,"Change (%)",TRUE),3) &amp; "%"," ")</f>
        <v xml:space="preserve"> </v>
      </c>
    </row>
    <row r="400" spans="1:12" x14ac:dyDescent="0.25">
      <c r="A400" s="19"/>
      <c r="C400" s="10" t="str" cm="1">
        <f t="array" ref="C400">IFERROR(_FV(FundManager[[#This Row],[Name]],"Ticker symbol",TRUE)," ")</f>
        <v xml:space="preserve"> </v>
      </c>
      <c r="E400" s="13"/>
      <c r="F400" s="13"/>
      <c r="G400" s="10" t="str">
        <f t="shared" si="12"/>
        <v xml:space="preserve"> </v>
      </c>
      <c r="H400" s="13"/>
      <c r="I400" s="24"/>
      <c r="J400" s="13">
        <f>IFERROR(FundManager[[#This Row],[Current Value]]-FundManager[[#This Row],[Amount Invested]]," ")</f>
        <v>0</v>
      </c>
      <c r="K400" s="14" t="str">
        <f t="shared" si="13"/>
        <v xml:space="preserve"> </v>
      </c>
      <c r="L400" s="15" t="str" cm="1">
        <f t="array" ref="L400">IFERROR(ROUND(_FV(B400,"Change (%)",TRUE),3) &amp; "%"," ")</f>
        <v xml:space="preserve"> </v>
      </c>
    </row>
    <row r="401" spans="1:12" x14ac:dyDescent="0.25">
      <c r="A401" s="19"/>
      <c r="C401" s="10" t="str" cm="1">
        <f t="array" ref="C401">IFERROR(_FV(FundManager[[#This Row],[Name]],"Ticker symbol",TRUE)," ")</f>
        <v xml:space="preserve"> </v>
      </c>
      <c r="E401" s="13"/>
      <c r="F401" s="13"/>
      <c r="G401" s="10" t="str">
        <f t="shared" si="12"/>
        <v xml:space="preserve"> </v>
      </c>
      <c r="H401" s="13"/>
      <c r="I401" s="24"/>
      <c r="J401" s="13">
        <f>IFERROR(FundManager[[#This Row],[Current Value]]-FundManager[[#This Row],[Amount Invested]]," ")</f>
        <v>0</v>
      </c>
      <c r="K401" s="14" t="str">
        <f t="shared" si="13"/>
        <v xml:space="preserve"> </v>
      </c>
      <c r="L401" s="15" t="str" cm="1">
        <f t="array" ref="L401">IFERROR(ROUND(_FV(B401,"Change (%)",TRUE),3) &amp; "%"," ")</f>
        <v xml:space="preserve"> </v>
      </c>
    </row>
    <row r="402" spans="1:12" x14ac:dyDescent="0.25">
      <c r="A402" s="19"/>
      <c r="C402" s="10" t="str" cm="1">
        <f t="array" ref="C402">IFERROR(_FV(FundManager[[#This Row],[Name]],"Ticker symbol",TRUE)," ")</f>
        <v xml:space="preserve"> </v>
      </c>
      <c r="E402" s="13"/>
      <c r="F402" s="13"/>
      <c r="G402" s="10" t="str">
        <f t="shared" si="12"/>
        <v xml:space="preserve"> </v>
      </c>
      <c r="H402" s="13"/>
      <c r="I402" s="24"/>
      <c r="J402" s="13">
        <f>IFERROR(FundManager[[#This Row],[Current Value]]-FundManager[[#This Row],[Amount Invested]]," ")</f>
        <v>0</v>
      </c>
      <c r="K402" s="14" t="str">
        <f t="shared" si="13"/>
        <v xml:space="preserve"> </v>
      </c>
      <c r="L402" s="15" t="str" cm="1">
        <f t="array" ref="L402">IFERROR(ROUND(_FV(B402,"Change (%)",TRUE),3) &amp; "%"," ")</f>
        <v xml:space="preserve"> </v>
      </c>
    </row>
    <row r="403" spans="1:12" x14ac:dyDescent="0.25">
      <c r="A403" s="19"/>
      <c r="C403" s="10" t="str" cm="1">
        <f t="array" ref="C403">IFERROR(_FV(FundManager[[#This Row],[Name]],"Ticker symbol",TRUE)," ")</f>
        <v xml:space="preserve"> </v>
      </c>
      <c r="E403" s="13"/>
      <c r="F403" s="13"/>
      <c r="G403" s="10" t="str">
        <f t="shared" si="12"/>
        <v xml:space="preserve"> </v>
      </c>
      <c r="H403" s="13"/>
      <c r="I403" s="24"/>
      <c r="J403" s="13">
        <f>IFERROR(FundManager[[#This Row],[Current Value]]-FundManager[[#This Row],[Amount Invested]]," ")</f>
        <v>0</v>
      </c>
      <c r="K403" s="14" t="str">
        <f t="shared" si="13"/>
        <v xml:space="preserve"> </v>
      </c>
      <c r="L403" s="15" t="str" cm="1">
        <f t="array" ref="L403">IFERROR(ROUND(_FV(B403,"Change (%)",TRUE),3) &amp; "%"," ")</f>
        <v xml:space="preserve"> </v>
      </c>
    </row>
    <row r="404" spans="1:12" x14ac:dyDescent="0.25">
      <c r="A404" s="19"/>
      <c r="C404" s="10" t="str" cm="1">
        <f t="array" ref="C404">IFERROR(_FV(FundManager[[#This Row],[Name]],"Ticker symbol",TRUE)," ")</f>
        <v xml:space="preserve"> </v>
      </c>
      <c r="E404" s="13"/>
      <c r="F404" s="13"/>
      <c r="G404" s="10" t="str">
        <f t="shared" si="12"/>
        <v xml:space="preserve"> </v>
      </c>
      <c r="H404" s="13"/>
      <c r="I404" s="24"/>
      <c r="J404" s="13">
        <f>IFERROR(FundManager[[#This Row],[Current Value]]-FundManager[[#This Row],[Amount Invested]]," ")</f>
        <v>0</v>
      </c>
      <c r="K404" s="14" t="str">
        <f t="shared" si="13"/>
        <v xml:space="preserve"> </v>
      </c>
      <c r="L404" s="15" t="str" cm="1">
        <f t="array" ref="L404">IFERROR(ROUND(_FV(B404,"Change (%)",TRUE),3) &amp; "%"," ")</f>
        <v xml:space="preserve"> </v>
      </c>
    </row>
    <row r="405" spans="1:12" x14ac:dyDescent="0.25">
      <c r="A405" s="19"/>
      <c r="C405" s="10" t="str" cm="1">
        <f t="array" ref="C405">IFERROR(_FV(FundManager[[#This Row],[Name]],"Ticker symbol",TRUE)," ")</f>
        <v xml:space="preserve"> </v>
      </c>
      <c r="E405" s="13"/>
      <c r="F405" s="13"/>
      <c r="G405" s="10" t="str">
        <f t="shared" si="12"/>
        <v xml:space="preserve"> </v>
      </c>
      <c r="H405" s="13"/>
      <c r="I405" s="24"/>
      <c r="J405" s="13">
        <f>IFERROR(FundManager[[#This Row],[Current Value]]-FundManager[[#This Row],[Amount Invested]]," ")</f>
        <v>0</v>
      </c>
      <c r="K405" s="14" t="str">
        <f t="shared" si="13"/>
        <v xml:space="preserve"> </v>
      </c>
      <c r="L405" s="15" t="str" cm="1">
        <f t="array" ref="L405">IFERROR(ROUND(_FV(B405,"Change (%)",TRUE),3) &amp; "%"," ")</f>
        <v xml:space="preserve"> </v>
      </c>
    </row>
    <row r="406" spans="1:12" x14ac:dyDescent="0.25">
      <c r="A406" s="19"/>
      <c r="C406" s="10" t="str" cm="1">
        <f t="array" ref="C406">IFERROR(_FV(FundManager[[#This Row],[Name]],"Ticker symbol",TRUE)," ")</f>
        <v xml:space="preserve"> </v>
      </c>
      <c r="E406" s="13"/>
      <c r="F406" s="13"/>
      <c r="G406" s="10" t="str">
        <f t="shared" si="12"/>
        <v xml:space="preserve"> </v>
      </c>
      <c r="H406" s="13"/>
      <c r="I406" s="24"/>
      <c r="J406" s="13">
        <f>IFERROR(FundManager[[#This Row],[Current Value]]-FundManager[[#This Row],[Amount Invested]]," ")</f>
        <v>0</v>
      </c>
      <c r="K406" s="14" t="str">
        <f t="shared" si="13"/>
        <v xml:space="preserve"> </v>
      </c>
      <c r="L406" s="15" t="str" cm="1">
        <f t="array" ref="L406">IFERROR(ROUND(_FV(B406,"Change (%)",TRUE),3) &amp; "%"," ")</f>
        <v xml:space="preserve"> </v>
      </c>
    </row>
    <row r="407" spans="1:12" x14ac:dyDescent="0.25">
      <c r="A407" s="19"/>
      <c r="C407" s="10" t="str" cm="1">
        <f t="array" ref="C407">IFERROR(_FV(FundManager[[#This Row],[Name]],"Ticker symbol",TRUE)," ")</f>
        <v xml:space="preserve"> </v>
      </c>
      <c r="E407" s="13"/>
      <c r="F407" s="13"/>
      <c r="G407" s="10" t="str">
        <f t="shared" ref="G407:G470" si="14">IFERROR(H407/E407," ")</f>
        <v xml:space="preserve"> </v>
      </c>
      <c r="H407" s="13"/>
      <c r="I407" s="24"/>
      <c r="J407" s="13">
        <f>IFERROR(FundManager[[#This Row],[Current Value]]-FundManager[[#This Row],[Amount Invested]]," ")</f>
        <v>0</v>
      </c>
      <c r="K407" s="14" t="str">
        <f t="shared" ref="K407:K470" si="15">IFERROR((I407-H407)/H407," ")</f>
        <v xml:space="preserve"> </v>
      </c>
      <c r="L407" s="15" t="str" cm="1">
        <f t="array" ref="L407">IFERROR(ROUND(_FV(B407,"Change (%)",TRUE),3) &amp; "%"," ")</f>
        <v xml:space="preserve"> </v>
      </c>
    </row>
    <row r="408" spans="1:12" x14ac:dyDescent="0.25">
      <c r="A408" s="19"/>
      <c r="C408" s="10" t="str" cm="1">
        <f t="array" ref="C408">IFERROR(_FV(FundManager[[#This Row],[Name]],"Ticker symbol",TRUE)," ")</f>
        <v xml:space="preserve"> </v>
      </c>
      <c r="E408" s="13"/>
      <c r="F408" s="13"/>
      <c r="G408" s="10" t="str">
        <f t="shared" si="14"/>
        <v xml:space="preserve"> </v>
      </c>
      <c r="H408" s="13"/>
      <c r="I408" s="24"/>
      <c r="J408" s="13">
        <f>IFERROR(FundManager[[#This Row],[Current Value]]-FundManager[[#This Row],[Amount Invested]]," ")</f>
        <v>0</v>
      </c>
      <c r="K408" s="14" t="str">
        <f t="shared" si="15"/>
        <v xml:space="preserve"> </v>
      </c>
      <c r="L408" s="15" t="str" cm="1">
        <f t="array" ref="L408">IFERROR(ROUND(_FV(B408,"Change (%)",TRUE),3) &amp; "%"," ")</f>
        <v xml:space="preserve"> </v>
      </c>
    </row>
    <row r="409" spans="1:12" x14ac:dyDescent="0.25">
      <c r="A409" s="19"/>
      <c r="C409" s="10" t="str" cm="1">
        <f t="array" ref="C409">IFERROR(_FV(FundManager[[#This Row],[Name]],"Ticker symbol",TRUE)," ")</f>
        <v xml:space="preserve"> </v>
      </c>
      <c r="E409" s="13"/>
      <c r="F409" s="13"/>
      <c r="G409" s="10" t="str">
        <f t="shared" si="14"/>
        <v xml:space="preserve"> </v>
      </c>
      <c r="H409" s="13"/>
      <c r="I409" s="24"/>
      <c r="J409" s="13">
        <f>IFERROR(FundManager[[#This Row],[Current Value]]-FundManager[[#This Row],[Amount Invested]]," ")</f>
        <v>0</v>
      </c>
      <c r="K409" s="14" t="str">
        <f t="shared" si="15"/>
        <v xml:space="preserve"> </v>
      </c>
      <c r="L409" s="15" t="str" cm="1">
        <f t="array" ref="L409">IFERROR(ROUND(_FV(B409,"Change (%)",TRUE),3) &amp; "%"," ")</f>
        <v xml:space="preserve"> </v>
      </c>
    </row>
    <row r="410" spans="1:12" x14ac:dyDescent="0.25">
      <c r="A410" s="19"/>
      <c r="C410" s="10" t="str" cm="1">
        <f t="array" ref="C410">IFERROR(_FV(FundManager[[#This Row],[Name]],"Ticker symbol",TRUE)," ")</f>
        <v xml:space="preserve"> </v>
      </c>
      <c r="E410" s="13"/>
      <c r="F410" s="13"/>
      <c r="G410" s="10" t="str">
        <f t="shared" si="14"/>
        <v xml:space="preserve"> </v>
      </c>
      <c r="H410" s="13"/>
      <c r="I410" s="24"/>
      <c r="J410" s="13">
        <f>IFERROR(FundManager[[#This Row],[Current Value]]-FundManager[[#This Row],[Amount Invested]]," ")</f>
        <v>0</v>
      </c>
      <c r="K410" s="14" t="str">
        <f t="shared" si="15"/>
        <v xml:space="preserve"> </v>
      </c>
      <c r="L410" s="15" t="str" cm="1">
        <f t="array" ref="L410">IFERROR(ROUND(_FV(B410,"Change (%)",TRUE),3) &amp; "%"," ")</f>
        <v xml:space="preserve"> </v>
      </c>
    </row>
    <row r="411" spans="1:12" x14ac:dyDescent="0.25">
      <c r="A411" s="19"/>
      <c r="C411" s="10" t="str" cm="1">
        <f t="array" ref="C411">IFERROR(_FV(FundManager[[#This Row],[Name]],"Ticker symbol",TRUE)," ")</f>
        <v xml:space="preserve"> </v>
      </c>
      <c r="E411" s="13"/>
      <c r="F411" s="13"/>
      <c r="G411" s="10" t="str">
        <f t="shared" si="14"/>
        <v xml:space="preserve"> </v>
      </c>
      <c r="H411" s="13"/>
      <c r="I411" s="24"/>
      <c r="J411" s="13">
        <f>IFERROR(FundManager[[#This Row],[Current Value]]-FundManager[[#This Row],[Amount Invested]]," ")</f>
        <v>0</v>
      </c>
      <c r="K411" s="14" t="str">
        <f t="shared" si="15"/>
        <v xml:space="preserve"> </v>
      </c>
      <c r="L411" s="15" t="str" cm="1">
        <f t="array" ref="L411">IFERROR(ROUND(_FV(B411,"Change (%)",TRUE),3) &amp; "%"," ")</f>
        <v xml:space="preserve"> </v>
      </c>
    </row>
    <row r="412" spans="1:12" x14ac:dyDescent="0.25">
      <c r="A412" s="19"/>
      <c r="C412" s="10" t="str" cm="1">
        <f t="array" ref="C412">IFERROR(_FV(FundManager[[#This Row],[Name]],"Ticker symbol",TRUE)," ")</f>
        <v xml:space="preserve"> </v>
      </c>
      <c r="E412" s="13"/>
      <c r="F412" s="13"/>
      <c r="G412" s="10" t="str">
        <f t="shared" si="14"/>
        <v xml:space="preserve"> </v>
      </c>
      <c r="H412" s="13"/>
      <c r="I412" s="24"/>
      <c r="J412" s="13">
        <f>IFERROR(FundManager[[#This Row],[Current Value]]-FundManager[[#This Row],[Amount Invested]]," ")</f>
        <v>0</v>
      </c>
      <c r="K412" s="14" t="str">
        <f t="shared" si="15"/>
        <v xml:space="preserve"> </v>
      </c>
      <c r="L412" s="15" t="str" cm="1">
        <f t="array" ref="L412">IFERROR(ROUND(_FV(B412,"Change (%)",TRUE),3) &amp; "%"," ")</f>
        <v xml:space="preserve"> </v>
      </c>
    </row>
    <row r="413" spans="1:12" x14ac:dyDescent="0.25">
      <c r="A413" s="19"/>
      <c r="C413" s="10" t="str" cm="1">
        <f t="array" ref="C413">IFERROR(_FV(FundManager[[#This Row],[Name]],"Ticker symbol",TRUE)," ")</f>
        <v xml:space="preserve"> </v>
      </c>
      <c r="E413" s="13"/>
      <c r="F413" s="13"/>
      <c r="G413" s="10" t="str">
        <f t="shared" si="14"/>
        <v xml:space="preserve"> </v>
      </c>
      <c r="H413" s="13"/>
      <c r="I413" s="24"/>
      <c r="J413" s="13">
        <f>IFERROR(FundManager[[#This Row],[Current Value]]-FundManager[[#This Row],[Amount Invested]]," ")</f>
        <v>0</v>
      </c>
      <c r="K413" s="14" t="str">
        <f t="shared" si="15"/>
        <v xml:space="preserve"> </v>
      </c>
      <c r="L413" s="15" t="str" cm="1">
        <f t="array" ref="L413">IFERROR(ROUND(_FV(B413,"Change (%)",TRUE),3) &amp; "%"," ")</f>
        <v xml:space="preserve"> </v>
      </c>
    </row>
    <row r="414" spans="1:12" x14ac:dyDescent="0.25">
      <c r="A414" s="19"/>
      <c r="C414" s="10" t="str" cm="1">
        <f t="array" ref="C414">IFERROR(_FV(FundManager[[#This Row],[Name]],"Ticker symbol",TRUE)," ")</f>
        <v xml:space="preserve"> </v>
      </c>
      <c r="E414" s="13"/>
      <c r="F414" s="13"/>
      <c r="G414" s="10" t="str">
        <f t="shared" si="14"/>
        <v xml:space="preserve"> </v>
      </c>
      <c r="H414" s="13"/>
      <c r="I414" s="24"/>
      <c r="J414" s="13">
        <f>IFERROR(FundManager[[#This Row],[Current Value]]-FundManager[[#This Row],[Amount Invested]]," ")</f>
        <v>0</v>
      </c>
      <c r="K414" s="14" t="str">
        <f t="shared" si="15"/>
        <v xml:space="preserve"> </v>
      </c>
      <c r="L414" s="15" t="str" cm="1">
        <f t="array" ref="L414">IFERROR(ROUND(_FV(B414,"Change (%)",TRUE),3) &amp; "%"," ")</f>
        <v xml:space="preserve"> </v>
      </c>
    </row>
    <row r="415" spans="1:12" x14ac:dyDescent="0.25">
      <c r="A415" s="19"/>
      <c r="C415" s="10" t="str" cm="1">
        <f t="array" ref="C415">IFERROR(_FV(FundManager[[#This Row],[Name]],"Ticker symbol",TRUE)," ")</f>
        <v xml:space="preserve"> </v>
      </c>
      <c r="E415" s="13"/>
      <c r="F415" s="13"/>
      <c r="G415" s="10" t="str">
        <f t="shared" si="14"/>
        <v xml:space="preserve"> </v>
      </c>
      <c r="H415" s="13"/>
      <c r="I415" s="24"/>
      <c r="J415" s="13">
        <f>IFERROR(FundManager[[#This Row],[Current Value]]-FundManager[[#This Row],[Amount Invested]]," ")</f>
        <v>0</v>
      </c>
      <c r="K415" s="14" t="str">
        <f t="shared" si="15"/>
        <v xml:space="preserve"> </v>
      </c>
      <c r="L415" s="15" t="str" cm="1">
        <f t="array" ref="L415">IFERROR(ROUND(_FV(B415,"Change (%)",TRUE),3) &amp; "%"," ")</f>
        <v xml:space="preserve"> </v>
      </c>
    </row>
    <row r="416" spans="1:12" x14ac:dyDescent="0.25">
      <c r="A416" s="19"/>
      <c r="C416" s="10" t="str" cm="1">
        <f t="array" ref="C416">IFERROR(_FV(FundManager[[#This Row],[Name]],"Ticker symbol",TRUE)," ")</f>
        <v xml:space="preserve"> </v>
      </c>
      <c r="E416" s="13"/>
      <c r="F416" s="13"/>
      <c r="G416" s="10" t="str">
        <f t="shared" si="14"/>
        <v xml:space="preserve"> </v>
      </c>
      <c r="H416" s="13"/>
      <c r="I416" s="24"/>
      <c r="J416" s="13">
        <f>IFERROR(FundManager[[#This Row],[Current Value]]-FundManager[[#This Row],[Amount Invested]]," ")</f>
        <v>0</v>
      </c>
      <c r="K416" s="14" t="str">
        <f t="shared" si="15"/>
        <v xml:space="preserve"> </v>
      </c>
      <c r="L416" s="15" t="str" cm="1">
        <f t="array" ref="L416">IFERROR(ROUND(_FV(B416,"Change (%)",TRUE),3) &amp; "%"," ")</f>
        <v xml:space="preserve"> </v>
      </c>
    </row>
    <row r="417" spans="1:12" x14ac:dyDescent="0.25">
      <c r="A417" s="19"/>
      <c r="C417" s="10" t="str" cm="1">
        <f t="array" ref="C417">IFERROR(_FV(FundManager[[#This Row],[Name]],"Ticker symbol",TRUE)," ")</f>
        <v xml:space="preserve"> </v>
      </c>
      <c r="E417" s="13"/>
      <c r="F417" s="13"/>
      <c r="G417" s="10" t="str">
        <f t="shared" si="14"/>
        <v xml:space="preserve"> </v>
      </c>
      <c r="H417" s="13"/>
      <c r="I417" s="24"/>
      <c r="J417" s="13">
        <f>IFERROR(FundManager[[#This Row],[Current Value]]-FundManager[[#This Row],[Amount Invested]]," ")</f>
        <v>0</v>
      </c>
      <c r="K417" s="14" t="str">
        <f t="shared" si="15"/>
        <v xml:space="preserve"> </v>
      </c>
      <c r="L417" s="15" t="str" cm="1">
        <f t="array" ref="L417">IFERROR(ROUND(_FV(B417,"Change (%)",TRUE),3) &amp; "%"," ")</f>
        <v xml:space="preserve"> </v>
      </c>
    </row>
    <row r="418" spans="1:12" x14ac:dyDescent="0.25">
      <c r="A418" s="19"/>
      <c r="C418" s="10" t="str" cm="1">
        <f t="array" ref="C418">IFERROR(_FV(FundManager[[#This Row],[Name]],"Ticker symbol",TRUE)," ")</f>
        <v xml:space="preserve"> </v>
      </c>
      <c r="E418" s="13"/>
      <c r="F418" s="13"/>
      <c r="G418" s="10" t="str">
        <f t="shared" si="14"/>
        <v xml:space="preserve"> </v>
      </c>
      <c r="H418" s="13"/>
      <c r="I418" s="24"/>
      <c r="J418" s="13">
        <f>IFERROR(FundManager[[#This Row],[Current Value]]-FundManager[[#This Row],[Amount Invested]]," ")</f>
        <v>0</v>
      </c>
      <c r="K418" s="14" t="str">
        <f t="shared" si="15"/>
        <v xml:space="preserve"> </v>
      </c>
      <c r="L418" s="15" t="str" cm="1">
        <f t="array" ref="L418">IFERROR(ROUND(_FV(B418,"Change (%)",TRUE),3) &amp; "%"," ")</f>
        <v xml:space="preserve"> </v>
      </c>
    </row>
    <row r="419" spans="1:12" x14ac:dyDescent="0.25">
      <c r="A419" s="19"/>
      <c r="C419" s="10" t="str" cm="1">
        <f t="array" ref="C419">IFERROR(_FV(FundManager[[#This Row],[Name]],"Ticker symbol",TRUE)," ")</f>
        <v xml:space="preserve"> </v>
      </c>
      <c r="E419" s="13"/>
      <c r="F419" s="13"/>
      <c r="G419" s="10" t="str">
        <f t="shared" si="14"/>
        <v xml:space="preserve"> </v>
      </c>
      <c r="H419" s="13"/>
      <c r="I419" s="24"/>
      <c r="J419" s="13">
        <f>IFERROR(FundManager[[#This Row],[Current Value]]-FundManager[[#This Row],[Amount Invested]]," ")</f>
        <v>0</v>
      </c>
      <c r="K419" s="14" t="str">
        <f t="shared" si="15"/>
        <v xml:space="preserve"> </v>
      </c>
      <c r="L419" s="15" t="str" cm="1">
        <f t="array" ref="L419">IFERROR(ROUND(_FV(B419,"Change (%)",TRUE),3) &amp; "%"," ")</f>
        <v xml:space="preserve"> </v>
      </c>
    </row>
    <row r="420" spans="1:12" x14ac:dyDescent="0.25">
      <c r="A420" s="19"/>
      <c r="C420" s="10" t="str" cm="1">
        <f t="array" ref="C420">IFERROR(_FV(FundManager[[#This Row],[Name]],"Ticker symbol",TRUE)," ")</f>
        <v xml:space="preserve"> </v>
      </c>
      <c r="E420" s="13"/>
      <c r="F420" s="13"/>
      <c r="G420" s="10" t="str">
        <f t="shared" si="14"/>
        <v xml:space="preserve"> </v>
      </c>
      <c r="H420" s="13"/>
      <c r="I420" s="24"/>
      <c r="J420" s="13">
        <f>IFERROR(FundManager[[#This Row],[Current Value]]-FundManager[[#This Row],[Amount Invested]]," ")</f>
        <v>0</v>
      </c>
      <c r="K420" s="14" t="str">
        <f t="shared" si="15"/>
        <v xml:space="preserve"> </v>
      </c>
      <c r="L420" s="15" t="str" cm="1">
        <f t="array" ref="L420">IFERROR(ROUND(_FV(B420,"Change (%)",TRUE),3) &amp; "%"," ")</f>
        <v xml:space="preserve"> </v>
      </c>
    </row>
    <row r="421" spans="1:12" x14ac:dyDescent="0.25">
      <c r="A421" s="19"/>
      <c r="C421" s="10" t="str" cm="1">
        <f t="array" ref="C421">IFERROR(_FV(FundManager[[#This Row],[Name]],"Ticker symbol",TRUE)," ")</f>
        <v xml:space="preserve"> </v>
      </c>
      <c r="E421" s="13"/>
      <c r="F421" s="13"/>
      <c r="G421" s="10" t="str">
        <f t="shared" si="14"/>
        <v xml:space="preserve"> </v>
      </c>
      <c r="H421" s="13"/>
      <c r="I421" s="24"/>
      <c r="J421" s="13">
        <f>IFERROR(FundManager[[#This Row],[Current Value]]-FundManager[[#This Row],[Amount Invested]]," ")</f>
        <v>0</v>
      </c>
      <c r="K421" s="14" t="str">
        <f t="shared" si="15"/>
        <v xml:space="preserve"> </v>
      </c>
      <c r="L421" s="15" t="str" cm="1">
        <f t="array" ref="L421">IFERROR(ROUND(_FV(B421,"Change (%)",TRUE),3) &amp; "%"," ")</f>
        <v xml:space="preserve"> </v>
      </c>
    </row>
    <row r="422" spans="1:12" x14ac:dyDescent="0.25">
      <c r="A422" s="19"/>
      <c r="C422" s="10" t="str" cm="1">
        <f t="array" ref="C422">IFERROR(_FV(FundManager[[#This Row],[Name]],"Ticker symbol",TRUE)," ")</f>
        <v xml:space="preserve"> </v>
      </c>
      <c r="E422" s="13"/>
      <c r="F422" s="13"/>
      <c r="G422" s="10" t="str">
        <f t="shared" si="14"/>
        <v xml:space="preserve"> </v>
      </c>
      <c r="H422" s="13"/>
      <c r="I422" s="24"/>
      <c r="J422" s="13">
        <f>IFERROR(FundManager[[#This Row],[Current Value]]-FundManager[[#This Row],[Amount Invested]]," ")</f>
        <v>0</v>
      </c>
      <c r="K422" s="14" t="str">
        <f t="shared" si="15"/>
        <v xml:space="preserve"> </v>
      </c>
      <c r="L422" s="15" t="str" cm="1">
        <f t="array" ref="L422">IFERROR(ROUND(_FV(B422,"Change (%)",TRUE),3) &amp; "%"," ")</f>
        <v xml:space="preserve"> </v>
      </c>
    </row>
    <row r="423" spans="1:12" x14ac:dyDescent="0.25">
      <c r="A423" s="19"/>
      <c r="C423" s="10" t="str" cm="1">
        <f t="array" ref="C423">IFERROR(_FV(FundManager[[#This Row],[Name]],"Ticker symbol",TRUE)," ")</f>
        <v xml:space="preserve"> </v>
      </c>
      <c r="E423" s="13"/>
      <c r="F423" s="13"/>
      <c r="G423" s="10" t="str">
        <f t="shared" si="14"/>
        <v xml:space="preserve"> </v>
      </c>
      <c r="H423" s="13"/>
      <c r="I423" s="24"/>
      <c r="J423" s="13">
        <f>IFERROR(FundManager[[#This Row],[Current Value]]-FundManager[[#This Row],[Amount Invested]]," ")</f>
        <v>0</v>
      </c>
      <c r="K423" s="14" t="str">
        <f t="shared" si="15"/>
        <v xml:space="preserve"> </v>
      </c>
      <c r="L423" s="15" t="str" cm="1">
        <f t="array" ref="L423">IFERROR(ROUND(_FV(B423,"Change (%)",TRUE),3) &amp; "%"," ")</f>
        <v xml:space="preserve"> </v>
      </c>
    </row>
    <row r="424" spans="1:12" x14ac:dyDescent="0.25">
      <c r="A424" s="19"/>
      <c r="C424" s="10" t="str" cm="1">
        <f t="array" ref="C424">IFERROR(_FV(FundManager[[#This Row],[Name]],"Ticker symbol",TRUE)," ")</f>
        <v xml:space="preserve"> </v>
      </c>
      <c r="E424" s="13"/>
      <c r="F424" s="13"/>
      <c r="G424" s="10" t="str">
        <f t="shared" si="14"/>
        <v xml:space="preserve"> </v>
      </c>
      <c r="H424" s="13"/>
      <c r="I424" s="24"/>
      <c r="J424" s="13">
        <f>IFERROR(FundManager[[#This Row],[Current Value]]-FundManager[[#This Row],[Amount Invested]]," ")</f>
        <v>0</v>
      </c>
      <c r="K424" s="14" t="str">
        <f t="shared" si="15"/>
        <v xml:space="preserve"> </v>
      </c>
      <c r="L424" s="15" t="str" cm="1">
        <f t="array" ref="L424">IFERROR(ROUND(_FV(B424,"Change (%)",TRUE),3) &amp; "%"," ")</f>
        <v xml:space="preserve"> </v>
      </c>
    </row>
    <row r="425" spans="1:12" x14ac:dyDescent="0.25">
      <c r="A425" s="19"/>
      <c r="C425" s="10" t="str" cm="1">
        <f t="array" ref="C425">IFERROR(_FV(FundManager[[#This Row],[Name]],"Ticker symbol",TRUE)," ")</f>
        <v xml:space="preserve"> </v>
      </c>
      <c r="E425" s="13"/>
      <c r="F425" s="13"/>
      <c r="G425" s="10" t="str">
        <f t="shared" si="14"/>
        <v xml:space="preserve"> </v>
      </c>
      <c r="H425" s="13"/>
      <c r="I425" s="24"/>
      <c r="J425" s="13">
        <f>IFERROR(FundManager[[#This Row],[Current Value]]-FundManager[[#This Row],[Amount Invested]]," ")</f>
        <v>0</v>
      </c>
      <c r="K425" s="14" t="str">
        <f t="shared" si="15"/>
        <v xml:space="preserve"> </v>
      </c>
      <c r="L425" s="15" t="str" cm="1">
        <f t="array" ref="L425">IFERROR(ROUND(_FV(B425,"Change (%)",TRUE),3) &amp; "%"," ")</f>
        <v xml:space="preserve"> </v>
      </c>
    </row>
    <row r="426" spans="1:12" x14ac:dyDescent="0.25">
      <c r="A426" s="19"/>
      <c r="C426" s="10" t="str" cm="1">
        <f t="array" ref="C426">IFERROR(_FV(FundManager[[#This Row],[Name]],"Ticker symbol",TRUE)," ")</f>
        <v xml:space="preserve"> </v>
      </c>
      <c r="E426" s="13"/>
      <c r="F426" s="13"/>
      <c r="G426" s="10" t="str">
        <f t="shared" si="14"/>
        <v xml:space="preserve"> </v>
      </c>
      <c r="H426" s="13"/>
      <c r="I426" s="24"/>
      <c r="J426" s="13">
        <f>IFERROR(FundManager[[#This Row],[Current Value]]-FundManager[[#This Row],[Amount Invested]]," ")</f>
        <v>0</v>
      </c>
      <c r="K426" s="14" t="str">
        <f t="shared" si="15"/>
        <v xml:space="preserve"> </v>
      </c>
      <c r="L426" s="15" t="str" cm="1">
        <f t="array" ref="L426">IFERROR(ROUND(_FV(B426,"Change (%)",TRUE),3) &amp; "%"," ")</f>
        <v xml:space="preserve"> </v>
      </c>
    </row>
    <row r="427" spans="1:12" x14ac:dyDescent="0.25">
      <c r="A427" s="19"/>
      <c r="C427" s="10" t="str" cm="1">
        <f t="array" ref="C427">IFERROR(_FV(FundManager[[#This Row],[Name]],"Ticker symbol",TRUE)," ")</f>
        <v xml:space="preserve"> </v>
      </c>
      <c r="E427" s="13"/>
      <c r="F427" s="13"/>
      <c r="G427" s="10" t="str">
        <f t="shared" si="14"/>
        <v xml:space="preserve"> </v>
      </c>
      <c r="H427" s="13"/>
      <c r="I427" s="24"/>
      <c r="J427" s="13">
        <f>IFERROR(FundManager[[#This Row],[Current Value]]-FundManager[[#This Row],[Amount Invested]]," ")</f>
        <v>0</v>
      </c>
      <c r="K427" s="14" t="str">
        <f t="shared" si="15"/>
        <v xml:space="preserve"> </v>
      </c>
      <c r="L427" s="15" t="str" cm="1">
        <f t="array" ref="L427">IFERROR(ROUND(_FV(B427,"Change (%)",TRUE),3) &amp; "%"," ")</f>
        <v xml:space="preserve"> </v>
      </c>
    </row>
    <row r="428" spans="1:12" x14ac:dyDescent="0.25">
      <c r="A428" s="19"/>
      <c r="C428" s="10" t="str" cm="1">
        <f t="array" ref="C428">IFERROR(_FV(FundManager[[#This Row],[Name]],"Ticker symbol",TRUE)," ")</f>
        <v xml:space="preserve"> </v>
      </c>
      <c r="E428" s="13"/>
      <c r="F428" s="13"/>
      <c r="G428" s="10" t="str">
        <f t="shared" si="14"/>
        <v xml:space="preserve"> </v>
      </c>
      <c r="H428" s="13"/>
      <c r="I428" s="24"/>
      <c r="J428" s="13">
        <f>IFERROR(FundManager[[#This Row],[Current Value]]-FundManager[[#This Row],[Amount Invested]]," ")</f>
        <v>0</v>
      </c>
      <c r="K428" s="14" t="str">
        <f t="shared" si="15"/>
        <v xml:space="preserve"> </v>
      </c>
      <c r="L428" s="15" t="str" cm="1">
        <f t="array" ref="L428">IFERROR(ROUND(_FV(B428,"Change (%)",TRUE),3) &amp; "%"," ")</f>
        <v xml:space="preserve"> </v>
      </c>
    </row>
    <row r="429" spans="1:12" x14ac:dyDescent="0.25">
      <c r="A429" s="19"/>
      <c r="C429" s="10" t="str" cm="1">
        <f t="array" ref="C429">IFERROR(_FV(FundManager[[#This Row],[Name]],"Ticker symbol",TRUE)," ")</f>
        <v xml:space="preserve"> </v>
      </c>
      <c r="E429" s="13"/>
      <c r="F429" s="13"/>
      <c r="G429" s="10" t="str">
        <f t="shared" si="14"/>
        <v xml:space="preserve"> </v>
      </c>
      <c r="H429" s="13"/>
      <c r="I429" s="24"/>
      <c r="J429" s="13">
        <f>IFERROR(FundManager[[#This Row],[Current Value]]-FundManager[[#This Row],[Amount Invested]]," ")</f>
        <v>0</v>
      </c>
      <c r="K429" s="14" t="str">
        <f t="shared" si="15"/>
        <v xml:space="preserve"> </v>
      </c>
      <c r="L429" s="15" t="str" cm="1">
        <f t="array" ref="L429">IFERROR(ROUND(_FV(B429,"Change (%)",TRUE),3) &amp; "%"," ")</f>
        <v xml:space="preserve"> </v>
      </c>
    </row>
    <row r="430" spans="1:12" x14ac:dyDescent="0.25">
      <c r="A430" s="19"/>
      <c r="C430" s="10" t="str" cm="1">
        <f t="array" ref="C430">IFERROR(_FV(FundManager[[#This Row],[Name]],"Ticker symbol",TRUE)," ")</f>
        <v xml:space="preserve"> </v>
      </c>
      <c r="E430" s="13"/>
      <c r="F430" s="13"/>
      <c r="G430" s="10" t="str">
        <f t="shared" si="14"/>
        <v xml:space="preserve"> </v>
      </c>
      <c r="H430" s="13"/>
      <c r="I430" s="24"/>
      <c r="J430" s="13">
        <f>IFERROR(FundManager[[#This Row],[Current Value]]-FundManager[[#This Row],[Amount Invested]]," ")</f>
        <v>0</v>
      </c>
      <c r="K430" s="14" t="str">
        <f t="shared" si="15"/>
        <v xml:space="preserve"> </v>
      </c>
      <c r="L430" s="15" t="str" cm="1">
        <f t="array" ref="L430">IFERROR(ROUND(_FV(B430,"Change (%)",TRUE),3) &amp; "%"," ")</f>
        <v xml:space="preserve"> </v>
      </c>
    </row>
    <row r="431" spans="1:12" x14ac:dyDescent="0.25">
      <c r="A431" s="19"/>
      <c r="C431" s="10" t="str" cm="1">
        <f t="array" ref="C431">IFERROR(_FV(FundManager[[#This Row],[Name]],"Ticker symbol",TRUE)," ")</f>
        <v xml:space="preserve"> </v>
      </c>
      <c r="E431" s="13"/>
      <c r="F431" s="13"/>
      <c r="G431" s="10" t="str">
        <f t="shared" si="14"/>
        <v xml:space="preserve"> </v>
      </c>
      <c r="H431" s="13"/>
      <c r="I431" s="24"/>
      <c r="J431" s="13">
        <f>IFERROR(FundManager[[#This Row],[Current Value]]-FundManager[[#This Row],[Amount Invested]]," ")</f>
        <v>0</v>
      </c>
      <c r="K431" s="14" t="str">
        <f t="shared" si="15"/>
        <v xml:space="preserve"> </v>
      </c>
      <c r="L431" s="15" t="str" cm="1">
        <f t="array" ref="L431">IFERROR(ROUND(_FV(B431,"Change (%)",TRUE),3) &amp; "%"," ")</f>
        <v xml:space="preserve"> </v>
      </c>
    </row>
    <row r="432" spans="1:12" x14ac:dyDescent="0.25">
      <c r="A432" s="19"/>
      <c r="C432" s="10" t="str" cm="1">
        <f t="array" ref="C432">IFERROR(_FV(FundManager[[#This Row],[Name]],"Ticker symbol",TRUE)," ")</f>
        <v xml:space="preserve"> </v>
      </c>
      <c r="E432" s="13"/>
      <c r="F432" s="13"/>
      <c r="G432" s="10" t="str">
        <f t="shared" si="14"/>
        <v xml:space="preserve"> </v>
      </c>
      <c r="H432" s="13"/>
      <c r="I432" s="24"/>
      <c r="J432" s="13">
        <f>IFERROR(FundManager[[#This Row],[Current Value]]-FundManager[[#This Row],[Amount Invested]]," ")</f>
        <v>0</v>
      </c>
      <c r="K432" s="14" t="str">
        <f t="shared" si="15"/>
        <v xml:space="preserve"> </v>
      </c>
      <c r="L432" s="15" t="str" cm="1">
        <f t="array" ref="L432">IFERROR(ROUND(_FV(B432,"Change (%)",TRUE),3) &amp; "%"," ")</f>
        <v xml:space="preserve"> </v>
      </c>
    </row>
    <row r="433" spans="1:12" x14ac:dyDescent="0.25">
      <c r="A433" s="19"/>
      <c r="C433" s="10" t="str" cm="1">
        <f t="array" ref="C433">IFERROR(_FV(FundManager[[#This Row],[Name]],"Ticker symbol",TRUE)," ")</f>
        <v xml:space="preserve"> </v>
      </c>
      <c r="E433" s="13"/>
      <c r="F433" s="13"/>
      <c r="G433" s="10" t="str">
        <f t="shared" si="14"/>
        <v xml:space="preserve"> </v>
      </c>
      <c r="H433" s="13"/>
      <c r="I433" s="24"/>
      <c r="J433" s="13">
        <f>IFERROR(FundManager[[#This Row],[Current Value]]-FundManager[[#This Row],[Amount Invested]]," ")</f>
        <v>0</v>
      </c>
      <c r="K433" s="14" t="str">
        <f t="shared" si="15"/>
        <v xml:space="preserve"> </v>
      </c>
      <c r="L433" s="15" t="str" cm="1">
        <f t="array" ref="L433">IFERROR(ROUND(_FV(B433,"Change (%)",TRUE),3) &amp; "%"," ")</f>
        <v xml:space="preserve"> </v>
      </c>
    </row>
    <row r="434" spans="1:12" x14ac:dyDescent="0.25">
      <c r="A434" s="19"/>
      <c r="C434" s="10" t="str" cm="1">
        <f t="array" ref="C434">IFERROR(_FV(FundManager[[#This Row],[Name]],"Ticker symbol",TRUE)," ")</f>
        <v xml:space="preserve"> </v>
      </c>
      <c r="E434" s="13"/>
      <c r="F434" s="13"/>
      <c r="G434" s="10" t="str">
        <f t="shared" si="14"/>
        <v xml:space="preserve"> </v>
      </c>
      <c r="H434" s="13"/>
      <c r="I434" s="24"/>
      <c r="J434" s="13">
        <f>IFERROR(FundManager[[#This Row],[Current Value]]-FundManager[[#This Row],[Amount Invested]]," ")</f>
        <v>0</v>
      </c>
      <c r="K434" s="14" t="str">
        <f t="shared" si="15"/>
        <v xml:space="preserve"> </v>
      </c>
      <c r="L434" s="15" t="str" cm="1">
        <f t="array" ref="L434">IFERROR(ROUND(_FV(B434,"Change (%)",TRUE),3) &amp; "%"," ")</f>
        <v xml:space="preserve"> </v>
      </c>
    </row>
    <row r="435" spans="1:12" x14ac:dyDescent="0.25">
      <c r="A435" s="19"/>
      <c r="C435" s="10" t="str" cm="1">
        <f t="array" ref="C435">IFERROR(_FV(FundManager[[#This Row],[Name]],"Ticker symbol",TRUE)," ")</f>
        <v xml:space="preserve"> </v>
      </c>
      <c r="E435" s="13"/>
      <c r="F435" s="13"/>
      <c r="G435" s="10" t="str">
        <f t="shared" si="14"/>
        <v xml:space="preserve"> </v>
      </c>
      <c r="H435" s="13"/>
      <c r="I435" s="24"/>
      <c r="J435" s="13">
        <f>IFERROR(FundManager[[#This Row],[Current Value]]-FundManager[[#This Row],[Amount Invested]]," ")</f>
        <v>0</v>
      </c>
      <c r="K435" s="14" t="str">
        <f t="shared" si="15"/>
        <v xml:space="preserve"> </v>
      </c>
      <c r="L435" s="15" t="str" cm="1">
        <f t="array" ref="L435">IFERROR(ROUND(_FV(B435,"Change (%)",TRUE),3) &amp; "%"," ")</f>
        <v xml:space="preserve"> </v>
      </c>
    </row>
    <row r="436" spans="1:12" x14ac:dyDescent="0.25">
      <c r="A436" s="19"/>
      <c r="C436" s="10" t="str" cm="1">
        <f t="array" ref="C436">IFERROR(_FV(FundManager[[#This Row],[Name]],"Ticker symbol",TRUE)," ")</f>
        <v xml:space="preserve"> </v>
      </c>
      <c r="E436" s="13"/>
      <c r="F436" s="13"/>
      <c r="G436" s="10" t="str">
        <f t="shared" si="14"/>
        <v xml:space="preserve"> </v>
      </c>
      <c r="H436" s="13"/>
      <c r="I436" s="24"/>
      <c r="J436" s="13">
        <f>IFERROR(FundManager[[#This Row],[Current Value]]-FundManager[[#This Row],[Amount Invested]]," ")</f>
        <v>0</v>
      </c>
      <c r="K436" s="14" t="str">
        <f t="shared" si="15"/>
        <v xml:space="preserve"> </v>
      </c>
      <c r="L436" s="15" t="str" cm="1">
        <f t="array" ref="L436">IFERROR(ROUND(_FV(B436,"Change (%)",TRUE),3) &amp; "%"," ")</f>
        <v xml:space="preserve"> </v>
      </c>
    </row>
    <row r="437" spans="1:12" x14ac:dyDescent="0.25">
      <c r="A437" s="19"/>
      <c r="C437" s="10" t="str" cm="1">
        <f t="array" ref="C437">IFERROR(_FV(FundManager[[#This Row],[Name]],"Ticker symbol",TRUE)," ")</f>
        <v xml:space="preserve"> </v>
      </c>
      <c r="E437" s="13"/>
      <c r="F437" s="13"/>
      <c r="G437" s="10" t="str">
        <f t="shared" si="14"/>
        <v xml:space="preserve"> </v>
      </c>
      <c r="H437" s="13"/>
      <c r="I437" s="24"/>
      <c r="J437" s="13">
        <f>IFERROR(FundManager[[#This Row],[Current Value]]-FundManager[[#This Row],[Amount Invested]]," ")</f>
        <v>0</v>
      </c>
      <c r="K437" s="14" t="str">
        <f t="shared" si="15"/>
        <v xml:space="preserve"> </v>
      </c>
      <c r="L437" s="15" t="str" cm="1">
        <f t="array" ref="L437">IFERROR(ROUND(_FV(B437,"Change (%)",TRUE),3) &amp; "%"," ")</f>
        <v xml:space="preserve"> </v>
      </c>
    </row>
    <row r="438" spans="1:12" x14ac:dyDescent="0.25">
      <c r="A438" s="19"/>
      <c r="C438" s="10" t="str" cm="1">
        <f t="array" ref="C438">IFERROR(_FV(FundManager[[#This Row],[Name]],"Ticker symbol",TRUE)," ")</f>
        <v xml:space="preserve"> </v>
      </c>
      <c r="E438" s="13"/>
      <c r="F438" s="13"/>
      <c r="G438" s="10" t="str">
        <f t="shared" si="14"/>
        <v xml:space="preserve"> </v>
      </c>
      <c r="H438" s="13"/>
      <c r="I438" s="24"/>
      <c r="J438" s="13">
        <f>IFERROR(FundManager[[#This Row],[Current Value]]-FundManager[[#This Row],[Amount Invested]]," ")</f>
        <v>0</v>
      </c>
      <c r="K438" s="14" t="str">
        <f t="shared" si="15"/>
        <v xml:space="preserve"> </v>
      </c>
      <c r="L438" s="15" t="str" cm="1">
        <f t="array" ref="L438">IFERROR(ROUND(_FV(B438,"Change (%)",TRUE),3) &amp; "%"," ")</f>
        <v xml:space="preserve"> </v>
      </c>
    </row>
    <row r="439" spans="1:12" x14ac:dyDescent="0.25">
      <c r="A439" s="19"/>
      <c r="C439" s="10" t="str" cm="1">
        <f t="array" ref="C439">IFERROR(_FV(FundManager[[#This Row],[Name]],"Ticker symbol",TRUE)," ")</f>
        <v xml:space="preserve"> </v>
      </c>
      <c r="E439" s="13"/>
      <c r="F439" s="13"/>
      <c r="G439" s="10" t="str">
        <f t="shared" si="14"/>
        <v xml:space="preserve"> </v>
      </c>
      <c r="H439" s="13"/>
      <c r="I439" s="24"/>
      <c r="J439" s="13">
        <f>IFERROR(FundManager[[#This Row],[Current Value]]-FundManager[[#This Row],[Amount Invested]]," ")</f>
        <v>0</v>
      </c>
      <c r="K439" s="14" t="str">
        <f t="shared" si="15"/>
        <v xml:space="preserve"> </v>
      </c>
      <c r="L439" s="15" t="str" cm="1">
        <f t="array" ref="L439">IFERROR(ROUND(_FV(B439,"Change (%)",TRUE),3) &amp; "%"," ")</f>
        <v xml:space="preserve"> </v>
      </c>
    </row>
    <row r="440" spans="1:12" x14ac:dyDescent="0.25">
      <c r="A440" s="19"/>
      <c r="C440" s="10" t="str" cm="1">
        <f t="array" ref="C440">IFERROR(_FV(FundManager[[#This Row],[Name]],"Ticker symbol",TRUE)," ")</f>
        <v xml:space="preserve"> </v>
      </c>
      <c r="E440" s="13"/>
      <c r="F440" s="13"/>
      <c r="G440" s="10" t="str">
        <f t="shared" si="14"/>
        <v xml:space="preserve"> </v>
      </c>
      <c r="H440" s="13"/>
      <c r="I440" s="24"/>
      <c r="J440" s="13">
        <f>IFERROR(FundManager[[#This Row],[Current Value]]-FundManager[[#This Row],[Amount Invested]]," ")</f>
        <v>0</v>
      </c>
      <c r="K440" s="14" t="str">
        <f t="shared" si="15"/>
        <v xml:space="preserve"> </v>
      </c>
      <c r="L440" s="15" t="str" cm="1">
        <f t="array" ref="L440">IFERROR(ROUND(_FV(B440,"Change (%)",TRUE),3) &amp; "%"," ")</f>
        <v xml:space="preserve"> </v>
      </c>
    </row>
    <row r="441" spans="1:12" x14ac:dyDescent="0.25">
      <c r="A441" s="19"/>
      <c r="C441" s="10" t="str" cm="1">
        <f t="array" ref="C441">IFERROR(_FV(FundManager[[#This Row],[Name]],"Ticker symbol",TRUE)," ")</f>
        <v xml:space="preserve"> </v>
      </c>
      <c r="E441" s="13"/>
      <c r="F441" s="13"/>
      <c r="G441" s="10" t="str">
        <f t="shared" si="14"/>
        <v xml:space="preserve"> </v>
      </c>
      <c r="H441" s="13"/>
      <c r="I441" s="24"/>
      <c r="J441" s="13">
        <f>IFERROR(FundManager[[#This Row],[Current Value]]-FundManager[[#This Row],[Amount Invested]]," ")</f>
        <v>0</v>
      </c>
      <c r="K441" s="14" t="str">
        <f t="shared" si="15"/>
        <v xml:space="preserve"> </v>
      </c>
      <c r="L441" s="15" t="str" cm="1">
        <f t="array" ref="L441">IFERROR(ROUND(_FV(B441,"Change (%)",TRUE),3) &amp; "%"," ")</f>
        <v xml:space="preserve"> </v>
      </c>
    </row>
    <row r="442" spans="1:12" x14ac:dyDescent="0.25">
      <c r="A442" s="19"/>
      <c r="C442" s="10" t="str" cm="1">
        <f t="array" ref="C442">IFERROR(_FV(FundManager[[#This Row],[Name]],"Ticker symbol",TRUE)," ")</f>
        <v xml:space="preserve"> </v>
      </c>
      <c r="E442" s="13"/>
      <c r="F442" s="13"/>
      <c r="G442" s="10" t="str">
        <f t="shared" si="14"/>
        <v xml:space="preserve"> </v>
      </c>
      <c r="H442" s="13"/>
      <c r="I442" s="24"/>
      <c r="J442" s="13">
        <f>IFERROR(FundManager[[#This Row],[Current Value]]-FundManager[[#This Row],[Amount Invested]]," ")</f>
        <v>0</v>
      </c>
      <c r="K442" s="14" t="str">
        <f t="shared" si="15"/>
        <v xml:space="preserve"> </v>
      </c>
      <c r="L442" s="15" t="str" cm="1">
        <f t="array" ref="L442">IFERROR(ROUND(_FV(B442,"Change (%)",TRUE),3) &amp; "%"," ")</f>
        <v xml:space="preserve"> </v>
      </c>
    </row>
    <row r="443" spans="1:12" x14ac:dyDescent="0.25">
      <c r="A443" s="19"/>
      <c r="C443" s="10" t="str" cm="1">
        <f t="array" ref="C443">IFERROR(_FV(FundManager[[#This Row],[Name]],"Ticker symbol",TRUE)," ")</f>
        <v xml:space="preserve"> </v>
      </c>
      <c r="E443" s="13"/>
      <c r="F443" s="13"/>
      <c r="G443" s="10" t="str">
        <f t="shared" si="14"/>
        <v xml:space="preserve"> </v>
      </c>
      <c r="H443" s="13"/>
      <c r="I443" s="24"/>
      <c r="J443" s="13">
        <f>IFERROR(FundManager[[#This Row],[Current Value]]-FundManager[[#This Row],[Amount Invested]]," ")</f>
        <v>0</v>
      </c>
      <c r="K443" s="14" t="str">
        <f t="shared" si="15"/>
        <v xml:space="preserve"> </v>
      </c>
      <c r="L443" s="15" t="str" cm="1">
        <f t="array" ref="L443">IFERROR(ROUND(_FV(B443,"Change (%)",TRUE),3) &amp; "%"," ")</f>
        <v xml:space="preserve"> </v>
      </c>
    </row>
    <row r="444" spans="1:12" x14ac:dyDescent="0.25">
      <c r="A444" s="19"/>
      <c r="C444" s="10" t="str" cm="1">
        <f t="array" ref="C444">IFERROR(_FV(FundManager[[#This Row],[Name]],"Ticker symbol",TRUE)," ")</f>
        <v xml:space="preserve"> </v>
      </c>
      <c r="E444" s="13"/>
      <c r="F444" s="13"/>
      <c r="G444" s="10" t="str">
        <f t="shared" si="14"/>
        <v xml:space="preserve"> </v>
      </c>
      <c r="H444" s="13"/>
      <c r="I444" s="24"/>
      <c r="J444" s="13">
        <f>IFERROR(FundManager[[#This Row],[Current Value]]-FundManager[[#This Row],[Amount Invested]]," ")</f>
        <v>0</v>
      </c>
      <c r="K444" s="14" t="str">
        <f t="shared" si="15"/>
        <v xml:space="preserve"> </v>
      </c>
      <c r="L444" s="15" t="str" cm="1">
        <f t="array" ref="L444">IFERROR(ROUND(_FV(B444,"Change (%)",TRUE),3) &amp; "%"," ")</f>
        <v xml:space="preserve"> </v>
      </c>
    </row>
    <row r="445" spans="1:12" x14ac:dyDescent="0.25">
      <c r="A445" s="19"/>
      <c r="C445" s="10" t="str" cm="1">
        <f t="array" ref="C445">IFERROR(_FV(FundManager[[#This Row],[Name]],"Ticker symbol",TRUE)," ")</f>
        <v xml:space="preserve"> </v>
      </c>
      <c r="E445" s="13"/>
      <c r="F445" s="13"/>
      <c r="G445" s="10" t="str">
        <f t="shared" si="14"/>
        <v xml:space="preserve"> </v>
      </c>
      <c r="H445" s="13"/>
      <c r="I445" s="24"/>
      <c r="J445" s="13">
        <f>IFERROR(FundManager[[#This Row],[Current Value]]-FundManager[[#This Row],[Amount Invested]]," ")</f>
        <v>0</v>
      </c>
      <c r="K445" s="14" t="str">
        <f t="shared" si="15"/>
        <v xml:space="preserve"> </v>
      </c>
      <c r="L445" s="15" t="str" cm="1">
        <f t="array" ref="L445">IFERROR(ROUND(_FV(B445,"Change (%)",TRUE),3) &amp; "%"," ")</f>
        <v xml:space="preserve"> </v>
      </c>
    </row>
    <row r="446" spans="1:12" x14ac:dyDescent="0.25">
      <c r="A446" s="19"/>
      <c r="C446" s="10" t="str" cm="1">
        <f t="array" ref="C446">IFERROR(_FV(FundManager[[#This Row],[Name]],"Ticker symbol",TRUE)," ")</f>
        <v xml:space="preserve"> </v>
      </c>
      <c r="E446" s="13"/>
      <c r="F446" s="13"/>
      <c r="G446" s="10" t="str">
        <f t="shared" si="14"/>
        <v xml:space="preserve"> </v>
      </c>
      <c r="H446" s="13"/>
      <c r="I446" s="24"/>
      <c r="J446" s="13">
        <f>IFERROR(FundManager[[#This Row],[Current Value]]-FundManager[[#This Row],[Amount Invested]]," ")</f>
        <v>0</v>
      </c>
      <c r="K446" s="14" t="str">
        <f t="shared" si="15"/>
        <v xml:space="preserve"> </v>
      </c>
      <c r="L446" s="15" t="str" cm="1">
        <f t="array" ref="L446">IFERROR(ROUND(_FV(B446,"Change (%)",TRUE),3) &amp; "%"," ")</f>
        <v xml:space="preserve"> </v>
      </c>
    </row>
    <row r="447" spans="1:12" x14ac:dyDescent="0.25">
      <c r="A447" s="19"/>
      <c r="C447" s="10" t="str" cm="1">
        <f t="array" ref="C447">IFERROR(_FV(FundManager[[#This Row],[Name]],"Ticker symbol",TRUE)," ")</f>
        <v xml:space="preserve"> </v>
      </c>
      <c r="E447" s="13"/>
      <c r="F447" s="13"/>
      <c r="G447" s="10" t="str">
        <f t="shared" si="14"/>
        <v xml:space="preserve"> </v>
      </c>
      <c r="H447" s="13"/>
      <c r="I447" s="24"/>
      <c r="J447" s="13">
        <f>IFERROR(FundManager[[#This Row],[Current Value]]-FundManager[[#This Row],[Amount Invested]]," ")</f>
        <v>0</v>
      </c>
      <c r="K447" s="14" t="str">
        <f t="shared" si="15"/>
        <v xml:space="preserve"> </v>
      </c>
      <c r="L447" s="15" t="str" cm="1">
        <f t="array" ref="L447">IFERROR(ROUND(_FV(B447,"Change (%)",TRUE),3) &amp; "%"," ")</f>
        <v xml:space="preserve"> </v>
      </c>
    </row>
    <row r="448" spans="1:12" x14ac:dyDescent="0.25">
      <c r="A448" s="19"/>
      <c r="C448" s="10" t="str" cm="1">
        <f t="array" ref="C448">IFERROR(_FV(FundManager[[#This Row],[Name]],"Ticker symbol",TRUE)," ")</f>
        <v xml:space="preserve"> </v>
      </c>
      <c r="E448" s="13"/>
      <c r="F448" s="13"/>
      <c r="G448" s="10" t="str">
        <f t="shared" si="14"/>
        <v xml:space="preserve"> </v>
      </c>
      <c r="H448" s="13"/>
      <c r="I448" s="24"/>
      <c r="J448" s="13">
        <f>IFERROR(FundManager[[#This Row],[Current Value]]-FundManager[[#This Row],[Amount Invested]]," ")</f>
        <v>0</v>
      </c>
      <c r="K448" s="14" t="str">
        <f t="shared" si="15"/>
        <v xml:space="preserve"> </v>
      </c>
      <c r="L448" s="15" t="str" cm="1">
        <f t="array" ref="L448">IFERROR(ROUND(_FV(B448,"Change (%)",TRUE),3) &amp; "%"," ")</f>
        <v xml:space="preserve"> </v>
      </c>
    </row>
    <row r="449" spans="1:12" x14ac:dyDescent="0.25">
      <c r="A449" s="19"/>
      <c r="C449" s="10" t="str" cm="1">
        <f t="array" ref="C449">IFERROR(_FV(FundManager[[#This Row],[Name]],"Ticker symbol",TRUE)," ")</f>
        <v xml:space="preserve"> </v>
      </c>
      <c r="E449" s="13"/>
      <c r="F449" s="13"/>
      <c r="G449" s="10" t="str">
        <f t="shared" si="14"/>
        <v xml:space="preserve"> </v>
      </c>
      <c r="H449" s="13"/>
      <c r="I449" s="24"/>
      <c r="J449" s="13">
        <f>IFERROR(FundManager[[#This Row],[Current Value]]-FundManager[[#This Row],[Amount Invested]]," ")</f>
        <v>0</v>
      </c>
      <c r="K449" s="14" t="str">
        <f t="shared" si="15"/>
        <v xml:space="preserve"> </v>
      </c>
      <c r="L449" s="15" t="str" cm="1">
        <f t="array" ref="L449">IFERROR(ROUND(_FV(B449,"Change (%)",TRUE),3) &amp; "%"," ")</f>
        <v xml:space="preserve"> </v>
      </c>
    </row>
    <row r="450" spans="1:12" x14ac:dyDescent="0.25">
      <c r="A450" s="19"/>
      <c r="C450" s="10" t="str" cm="1">
        <f t="array" ref="C450">IFERROR(_FV(FundManager[[#This Row],[Name]],"Ticker symbol",TRUE)," ")</f>
        <v xml:space="preserve"> </v>
      </c>
      <c r="E450" s="13"/>
      <c r="F450" s="13"/>
      <c r="G450" s="10" t="str">
        <f t="shared" si="14"/>
        <v xml:space="preserve"> </v>
      </c>
      <c r="H450" s="13"/>
      <c r="I450" s="24"/>
      <c r="J450" s="13">
        <f>IFERROR(FundManager[[#This Row],[Current Value]]-FundManager[[#This Row],[Amount Invested]]," ")</f>
        <v>0</v>
      </c>
      <c r="K450" s="14" t="str">
        <f t="shared" si="15"/>
        <v xml:space="preserve"> </v>
      </c>
      <c r="L450" s="15" t="str" cm="1">
        <f t="array" ref="L450">IFERROR(ROUND(_FV(B450,"Change (%)",TRUE),3) &amp; "%"," ")</f>
        <v xml:space="preserve"> </v>
      </c>
    </row>
    <row r="451" spans="1:12" x14ac:dyDescent="0.25">
      <c r="A451" s="19"/>
      <c r="C451" s="10" t="str" cm="1">
        <f t="array" ref="C451">IFERROR(_FV(FundManager[[#This Row],[Name]],"Ticker symbol",TRUE)," ")</f>
        <v xml:space="preserve"> </v>
      </c>
      <c r="E451" s="13"/>
      <c r="F451" s="13"/>
      <c r="G451" s="10" t="str">
        <f t="shared" si="14"/>
        <v xml:space="preserve"> </v>
      </c>
      <c r="H451" s="13"/>
      <c r="I451" s="24"/>
      <c r="J451" s="13">
        <f>IFERROR(FundManager[[#This Row],[Current Value]]-FundManager[[#This Row],[Amount Invested]]," ")</f>
        <v>0</v>
      </c>
      <c r="K451" s="14" t="str">
        <f t="shared" si="15"/>
        <v xml:space="preserve"> </v>
      </c>
      <c r="L451" s="15" t="str" cm="1">
        <f t="array" ref="L451">IFERROR(ROUND(_FV(B451,"Change (%)",TRUE),3) &amp; "%"," ")</f>
        <v xml:space="preserve"> </v>
      </c>
    </row>
    <row r="452" spans="1:12" x14ac:dyDescent="0.25">
      <c r="A452" s="19"/>
      <c r="C452" s="10" t="str" cm="1">
        <f t="array" ref="C452">IFERROR(_FV(FundManager[[#This Row],[Name]],"Ticker symbol",TRUE)," ")</f>
        <v xml:space="preserve"> </v>
      </c>
      <c r="E452" s="13"/>
      <c r="F452" s="13"/>
      <c r="G452" s="10" t="str">
        <f t="shared" si="14"/>
        <v xml:space="preserve"> </v>
      </c>
      <c r="H452" s="13"/>
      <c r="I452" s="24"/>
      <c r="J452" s="13">
        <f>IFERROR(FundManager[[#This Row],[Current Value]]-FundManager[[#This Row],[Amount Invested]]," ")</f>
        <v>0</v>
      </c>
      <c r="K452" s="14" t="str">
        <f t="shared" si="15"/>
        <v xml:space="preserve"> </v>
      </c>
      <c r="L452" s="15" t="str" cm="1">
        <f t="array" ref="L452">IFERROR(ROUND(_FV(B452,"Change (%)",TRUE),3) &amp; "%"," ")</f>
        <v xml:space="preserve"> </v>
      </c>
    </row>
    <row r="453" spans="1:12" x14ac:dyDescent="0.25">
      <c r="A453" s="19"/>
      <c r="C453" s="10" t="str" cm="1">
        <f t="array" ref="C453">IFERROR(_FV(FundManager[[#This Row],[Name]],"Ticker symbol",TRUE)," ")</f>
        <v xml:space="preserve"> </v>
      </c>
      <c r="E453" s="13"/>
      <c r="F453" s="13"/>
      <c r="G453" s="10" t="str">
        <f t="shared" si="14"/>
        <v xml:space="preserve"> </v>
      </c>
      <c r="H453" s="13"/>
      <c r="I453" s="24"/>
      <c r="J453" s="13">
        <f>IFERROR(FundManager[[#This Row],[Current Value]]-FundManager[[#This Row],[Amount Invested]]," ")</f>
        <v>0</v>
      </c>
      <c r="K453" s="14" t="str">
        <f t="shared" si="15"/>
        <v xml:space="preserve"> </v>
      </c>
      <c r="L453" s="15" t="str" cm="1">
        <f t="array" ref="L453">IFERROR(ROUND(_FV(B453,"Change (%)",TRUE),3) &amp; "%"," ")</f>
        <v xml:space="preserve"> </v>
      </c>
    </row>
    <row r="454" spans="1:12" x14ac:dyDescent="0.25">
      <c r="A454" s="19"/>
      <c r="C454" s="10" t="str" cm="1">
        <f t="array" ref="C454">IFERROR(_FV(FundManager[[#This Row],[Name]],"Ticker symbol",TRUE)," ")</f>
        <v xml:space="preserve"> </v>
      </c>
      <c r="E454" s="13"/>
      <c r="F454" s="13"/>
      <c r="G454" s="10" t="str">
        <f t="shared" si="14"/>
        <v xml:space="preserve"> </v>
      </c>
      <c r="H454" s="13"/>
      <c r="I454" s="24"/>
      <c r="J454" s="13">
        <f>IFERROR(FundManager[[#This Row],[Current Value]]-FundManager[[#This Row],[Amount Invested]]," ")</f>
        <v>0</v>
      </c>
      <c r="K454" s="14" t="str">
        <f t="shared" si="15"/>
        <v xml:space="preserve"> </v>
      </c>
      <c r="L454" s="15" t="str" cm="1">
        <f t="array" ref="L454">IFERROR(ROUND(_FV(B454,"Change (%)",TRUE),3) &amp; "%"," ")</f>
        <v xml:space="preserve"> </v>
      </c>
    </row>
    <row r="455" spans="1:12" x14ac:dyDescent="0.25">
      <c r="A455" s="19"/>
      <c r="C455" s="10" t="str" cm="1">
        <f t="array" ref="C455">IFERROR(_FV(FundManager[[#This Row],[Name]],"Ticker symbol",TRUE)," ")</f>
        <v xml:space="preserve"> </v>
      </c>
      <c r="E455" s="13"/>
      <c r="F455" s="13"/>
      <c r="G455" s="10" t="str">
        <f t="shared" si="14"/>
        <v xml:space="preserve"> </v>
      </c>
      <c r="H455" s="13"/>
      <c r="I455" s="24"/>
      <c r="J455" s="13">
        <f>IFERROR(FundManager[[#This Row],[Current Value]]-FundManager[[#This Row],[Amount Invested]]," ")</f>
        <v>0</v>
      </c>
      <c r="K455" s="14" t="str">
        <f t="shared" si="15"/>
        <v xml:space="preserve"> </v>
      </c>
      <c r="L455" s="15" t="str" cm="1">
        <f t="array" ref="L455">IFERROR(ROUND(_FV(B455,"Change (%)",TRUE),3) &amp; "%"," ")</f>
        <v xml:space="preserve"> </v>
      </c>
    </row>
    <row r="456" spans="1:12" x14ac:dyDescent="0.25">
      <c r="A456" s="19"/>
      <c r="C456" s="10" t="str" cm="1">
        <f t="array" ref="C456">IFERROR(_FV(FundManager[[#This Row],[Name]],"Ticker symbol",TRUE)," ")</f>
        <v xml:space="preserve"> </v>
      </c>
      <c r="E456" s="13"/>
      <c r="F456" s="13"/>
      <c r="G456" s="10" t="str">
        <f t="shared" si="14"/>
        <v xml:space="preserve"> </v>
      </c>
      <c r="H456" s="13"/>
      <c r="I456" s="24"/>
      <c r="J456" s="13">
        <f>IFERROR(FundManager[[#This Row],[Current Value]]-FundManager[[#This Row],[Amount Invested]]," ")</f>
        <v>0</v>
      </c>
      <c r="K456" s="14" t="str">
        <f t="shared" si="15"/>
        <v xml:space="preserve"> </v>
      </c>
      <c r="L456" s="15" t="str" cm="1">
        <f t="array" ref="L456">IFERROR(ROUND(_FV(B456,"Change (%)",TRUE),3) &amp; "%"," ")</f>
        <v xml:space="preserve"> </v>
      </c>
    </row>
    <row r="457" spans="1:12" x14ac:dyDescent="0.25">
      <c r="A457" s="19"/>
      <c r="C457" s="10" t="str" cm="1">
        <f t="array" ref="C457">IFERROR(_FV(FundManager[[#This Row],[Name]],"Ticker symbol",TRUE)," ")</f>
        <v xml:space="preserve"> </v>
      </c>
      <c r="E457" s="13"/>
      <c r="F457" s="13"/>
      <c r="G457" s="10" t="str">
        <f t="shared" si="14"/>
        <v xml:space="preserve"> </v>
      </c>
      <c r="H457" s="13"/>
      <c r="I457" s="24"/>
      <c r="J457" s="13">
        <f>IFERROR(FundManager[[#This Row],[Current Value]]-FundManager[[#This Row],[Amount Invested]]," ")</f>
        <v>0</v>
      </c>
      <c r="K457" s="14" t="str">
        <f t="shared" si="15"/>
        <v xml:space="preserve"> </v>
      </c>
      <c r="L457" s="15" t="str" cm="1">
        <f t="array" ref="L457">IFERROR(ROUND(_FV(B457,"Change (%)",TRUE),3) &amp; "%"," ")</f>
        <v xml:space="preserve"> </v>
      </c>
    </row>
    <row r="458" spans="1:12" x14ac:dyDescent="0.25">
      <c r="A458" s="19"/>
      <c r="C458" s="10" t="str" cm="1">
        <f t="array" ref="C458">IFERROR(_FV(FundManager[[#This Row],[Name]],"Ticker symbol",TRUE)," ")</f>
        <v xml:space="preserve"> </v>
      </c>
      <c r="E458" s="13"/>
      <c r="F458" s="13"/>
      <c r="G458" s="10" t="str">
        <f t="shared" si="14"/>
        <v xml:space="preserve"> </v>
      </c>
      <c r="H458" s="13"/>
      <c r="I458" s="24"/>
      <c r="J458" s="13">
        <f>IFERROR(FundManager[[#This Row],[Current Value]]-FundManager[[#This Row],[Amount Invested]]," ")</f>
        <v>0</v>
      </c>
      <c r="K458" s="14" t="str">
        <f t="shared" si="15"/>
        <v xml:space="preserve"> </v>
      </c>
      <c r="L458" s="15" t="str" cm="1">
        <f t="array" ref="L458">IFERROR(ROUND(_FV(B458,"Change (%)",TRUE),3) &amp; "%"," ")</f>
        <v xml:space="preserve"> </v>
      </c>
    </row>
    <row r="459" spans="1:12" x14ac:dyDescent="0.25">
      <c r="A459" s="19"/>
      <c r="C459" s="10" t="str" cm="1">
        <f t="array" ref="C459">IFERROR(_FV(FundManager[[#This Row],[Name]],"Ticker symbol",TRUE)," ")</f>
        <v xml:space="preserve"> </v>
      </c>
      <c r="E459" s="13"/>
      <c r="F459" s="13"/>
      <c r="G459" s="10" t="str">
        <f t="shared" si="14"/>
        <v xml:space="preserve"> </v>
      </c>
      <c r="H459" s="13"/>
      <c r="I459" s="24"/>
      <c r="J459" s="13">
        <f>IFERROR(FundManager[[#This Row],[Current Value]]-FundManager[[#This Row],[Amount Invested]]," ")</f>
        <v>0</v>
      </c>
      <c r="K459" s="14" t="str">
        <f t="shared" si="15"/>
        <v xml:space="preserve"> </v>
      </c>
      <c r="L459" s="15" t="str" cm="1">
        <f t="array" ref="L459">IFERROR(ROUND(_FV(B459,"Change (%)",TRUE),3) &amp; "%"," ")</f>
        <v xml:space="preserve"> </v>
      </c>
    </row>
    <row r="460" spans="1:12" x14ac:dyDescent="0.25">
      <c r="A460" s="19"/>
      <c r="C460" s="10" t="str" cm="1">
        <f t="array" ref="C460">IFERROR(_FV(FundManager[[#This Row],[Name]],"Ticker symbol",TRUE)," ")</f>
        <v xml:space="preserve"> </v>
      </c>
      <c r="E460" s="13"/>
      <c r="F460" s="13"/>
      <c r="G460" s="10" t="str">
        <f t="shared" si="14"/>
        <v xml:space="preserve"> </v>
      </c>
      <c r="H460" s="13"/>
      <c r="I460" s="24"/>
      <c r="J460" s="13">
        <f>IFERROR(FundManager[[#This Row],[Current Value]]-FundManager[[#This Row],[Amount Invested]]," ")</f>
        <v>0</v>
      </c>
      <c r="K460" s="14" t="str">
        <f t="shared" si="15"/>
        <v xml:space="preserve"> </v>
      </c>
      <c r="L460" s="15" t="str" cm="1">
        <f t="array" ref="L460">IFERROR(ROUND(_FV(B460,"Change (%)",TRUE),3) &amp; "%"," ")</f>
        <v xml:space="preserve"> </v>
      </c>
    </row>
    <row r="461" spans="1:12" x14ac:dyDescent="0.25">
      <c r="A461" s="19"/>
      <c r="C461" s="10" t="str" cm="1">
        <f t="array" ref="C461">IFERROR(_FV(FundManager[[#This Row],[Name]],"Ticker symbol",TRUE)," ")</f>
        <v xml:space="preserve"> </v>
      </c>
      <c r="E461" s="13"/>
      <c r="F461" s="13"/>
      <c r="G461" s="10" t="str">
        <f t="shared" si="14"/>
        <v xml:space="preserve"> </v>
      </c>
      <c r="H461" s="13"/>
      <c r="I461" s="24"/>
      <c r="J461" s="13">
        <f>IFERROR(FundManager[[#This Row],[Current Value]]-FundManager[[#This Row],[Amount Invested]]," ")</f>
        <v>0</v>
      </c>
      <c r="K461" s="14" t="str">
        <f t="shared" si="15"/>
        <v xml:space="preserve"> </v>
      </c>
      <c r="L461" s="15" t="str" cm="1">
        <f t="array" ref="L461">IFERROR(ROUND(_FV(B461,"Change (%)",TRUE),3) &amp; "%"," ")</f>
        <v xml:space="preserve"> </v>
      </c>
    </row>
    <row r="462" spans="1:12" x14ac:dyDescent="0.25">
      <c r="A462" s="19"/>
      <c r="C462" s="10" t="str" cm="1">
        <f t="array" ref="C462">IFERROR(_FV(FundManager[[#This Row],[Name]],"Ticker symbol",TRUE)," ")</f>
        <v xml:space="preserve"> </v>
      </c>
      <c r="E462" s="13"/>
      <c r="F462" s="13"/>
      <c r="G462" s="10" t="str">
        <f t="shared" si="14"/>
        <v xml:space="preserve"> </v>
      </c>
      <c r="H462" s="13"/>
      <c r="I462" s="24"/>
      <c r="J462" s="13">
        <f>IFERROR(FundManager[[#This Row],[Current Value]]-FundManager[[#This Row],[Amount Invested]]," ")</f>
        <v>0</v>
      </c>
      <c r="K462" s="14" t="str">
        <f t="shared" si="15"/>
        <v xml:space="preserve"> </v>
      </c>
      <c r="L462" s="15" t="str" cm="1">
        <f t="array" ref="L462">IFERROR(ROUND(_FV(B462,"Change (%)",TRUE),3) &amp; "%"," ")</f>
        <v xml:space="preserve"> </v>
      </c>
    </row>
    <row r="463" spans="1:12" x14ac:dyDescent="0.25">
      <c r="A463" s="19"/>
      <c r="C463" s="10" t="str" cm="1">
        <f t="array" ref="C463">IFERROR(_FV(FundManager[[#This Row],[Name]],"Ticker symbol",TRUE)," ")</f>
        <v xml:space="preserve"> </v>
      </c>
      <c r="E463" s="13"/>
      <c r="F463" s="13"/>
      <c r="G463" s="10" t="str">
        <f t="shared" si="14"/>
        <v xml:space="preserve"> </v>
      </c>
      <c r="H463" s="13"/>
      <c r="I463" s="24"/>
      <c r="J463" s="13">
        <f>IFERROR(FundManager[[#This Row],[Current Value]]-FundManager[[#This Row],[Amount Invested]]," ")</f>
        <v>0</v>
      </c>
      <c r="K463" s="14" t="str">
        <f t="shared" si="15"/>
        <v xml:space="preserve"> </v>
      </c>
      <c r="L463" s="15" t="str" cm="1">
        <f t="array" ref="L463">IFERROR(ROUND(_FV(B463,"Change (%)",TRUE),3) &amp; "%"," ")</f>
        <v xml:space="preserve"> </v>
      </c>
    </row>
    <row r="464" spans="1:12" x14ac:dyDescent="0.25">
      <c r="A464" s="19"/>
      <c r="C464" s="10" t="str" cm="1">
        <f t="array" ref="C464">IFERROR(_FV(FundManager[[#This Row],[Name]],"Ticker symbol",TRUE)," ")</f>
        <v xml:space="preserve"> </v>
      </c>
      <c r="E464" s="13"/>
      <c r="F464" s="13"/>
      <c r="G464" s="10" t="str">
        <f t="shared" si="14"/>
        <v xml:space="preserve"> </v>
      </c>
      <c r="H464" s="13"/>
      <c r="I464" s="24"/>
      <c r="J464" s="13">
        <f>IFERROR(FundManager[[#This Row],[Current Value]]-FundManager[[#This Row],[Amount Invested]]," ")</f>
        <v>0</v>
      </c>
      <c r="K464" s="14" t="str">
        <f t="shared" si="15"/>
        <v xml:space="preserve"> </v>
      </c>
      <c r="L464" s="15" t="str" cm="1">
        <f t="array" ref="L464">IFERROR(ROUND(_FV(B464,"Change (%)",TRUE),3) &amp; "%"," ")</f>
        <v xml:space="preserve"> </v>
      </c>
    </row>
    <row r="465" spans="1:12" x14ac:dyDescent="0.25">
      <c r="A465" s="19"/>
      <c r="C465" s="10" t="str" cm="1">
        <f t="array" ref="C465">IFERROR(_FV(FundManager[[#This Row],[Name]],"Ticker symbol",TRUE)," ")</f>
        <v xml:space="preserve"> </v>
      </c>
      <c r="E465" s="13"/>
      <c r="F465" s="13"/>
      <c r="G465" s="10" t="str">
        <f t="shared" si="14"/>
        <v xml:space="preserve"> </v>
      </c>
      <c r="H465" s="13"/>
      <c r="I465" s="24"/>
      <c r="J465" s="13">
        <f>IFERROR(FundManager[[#This Row],[Current Value]]-FundManager[[#This Row],[Amount Invested]]," ")</f>
        <v>0</v>
      </c>
      <c r="K465" s="14" t="str">
        <f t="shared" si="15"/>
        <v xml:space="preserve"> </v>
      </c>
      <c r="L465" s="15" t="str" cm="1">
        <f t="array" ref="L465">IFERROR(ROUND(_FV(B465,"Change (%)",TRUE),3) &amp; "%"," ")</f>
        <v xml:space="preserve"> </v>
      </c>
    </row>
    <row r="466" spans="1:12" x14ac:dyDescent="0.25">
      <c r="A466" s="19"/>
      <c r="C466" s="10" t="str" cm="1">
        <f t="array" ref="C466">IFERROR(_FV(FundManager[[#This Row],[Name]],"Ticker symbol",TRUE)," ")</f>
        <v xml:space="preserve"> </v>
      </c>
      <c r="E466" s="13"/>
      <c r="F466" s="13"/>
      <c r="G466" s="10" t="str">
        <f t="shared" si="14"/>
        <v xml:space="preserve"> </v>
      </c>
      <c r="H466" s="13"/>
      <c r="I466" s="24"/>
      <c r="J466" s="13">
        <f>IFERROR(FundManager[[#This Row],[Current Value]]-FundManager[[#This Row],[Amount Invested]]," ")</f>
        <v>0</v>
      </c>
      <c r="K466" s="14" t="str">
        <f t="shared" si="15"/>
        <v xml:space="preserve"> </v>
      </c>
      <c r="L466" s="15" t="str" cm="1">
        <f t="array" ref="L466">IFERROR(ROUND(_FV(B466,"Change (%)",TRUE),3) &amp; "%"," ")</f>
        <v xml:space="preserve"> </v>
      </c>
    </row>
    <row r="467" spans="1:12" x14ac:dyDescent="0.25">
      <c r="A467" s="19"/>
      <c r="C467" s="10" t="str" cm="1">
        <f t="array" ref="C467">IFERROR(_FV(FundManager[[#This Row],[Name]],"Ticker symbol",TRUE)," ")</f>
        <v xml:space="preserve"> </v>
      </c>
      <c r="E467" s="13"/>
      <c r="F467" s="13"/>
      <c r="G467" s="10" t="str">
        <f t="shared" si="14"/>
        <v xml:space="preserve"> </v>
      </c>
      <c r="H467" s="13"/>
      <c r="I467" s="24"/>
      <c r="J467" s="13">
        <f>IFERROR(FundManager[[#This Row],[Current Value]]-FundManager[[#This Row],[Amount Invested]]," ")</f>
        <v>0</v>
      </c>
      <c r="K467" s="14" t="str">
        <f t="shared" si="15"/>
        <v xml:space="preserve"> </v>
      </c>
      <c r="L467" s="15" t="str" cm="1">
        <f t="array" ref="L467">IFERROR(ROUND(_FV(B467,"Change (%)",TRUE),3) &amp; "%"," ")</f>
        <v xml:space="preserve"> </v>
      </c>
    </row>
    <row r="468" spans="1:12" x14ac:dyDescent="0.25">
      <c r="A468" s="19"/>
      <c r="C468" s="10" t="str" cm="1">
        <f t="array" ref="C468">IFERROR(_FV(FundManager[[#This Row],[Name]],"Ticker symbol",TRUE)," ")</f>
        <v xml:space="preserve"> </v>
      </c>
      <c r="E468" s="13"/>
      <c r="F468" s="13"/>
      <c r="G468" s="10" t="str">
        <f t="shared" si="14"/>
        <v xml:space="preserve"> </v>
      </c>
      <c r="H468" s="13"/>
      <c r="I468" s="24"/>
      <c r="J468" s="13">
        <f>IFERROR(FundManager[[#This Row],[Current Value]]-FundManager[[#This Row],[Amount Invested]]," ")</f>
        <v>0</v>
      </c>
      <c r="K468" s="14" t="str">
        <f t="shared" si="15"/>
        <v xml:space="preserve"> </v>
      </c>
      <c r="L468" s="15" t="str" cm="1">
        <f t="array" ref="L468">IFERROR(ROUND(_FV(B468,"Change (%)",TRUE),3) &amp; "%"," ")</f>
        <v xml:space="preserve"> </v>
      </c>
    </row>
    <row r="469" spans="1:12" x14ac:dyDescent="0.25">
      <c r="A469" s="19"/>
      <c r="C469" s="10" t="str" cm="1">
        <f t="array" ref="C469">IFERROR(_FV(FundManager[[#This Row],[Name]],"Ticker symbol",TRUE)," ")</f>
        <v xml:space="preserve"> </v>
      </c>
      <c r="E469" s="13"/>
      <c r="F469" s="13"/>
      <c r="G469" s="10" t="str">
        <f t="shared" si="14"/>
        <v xml:space="preserve"> </v>
      </c>
      <c r="H469" s="13"/>
      <c r="I469" s="24"/>
      <c r="J469" s="13">
        <f>IFERROR(FundManager[[#This Row],[Current Value]]-FundManager[[#This Row],[Amount Invested]]," ")</f>
        <v>0</v>
      </c>
      <c r="K469" s="14" t="str">
        <f t="shared" si="15"/>
        <v xml:space="preserve"> </v>
      </c>
      <c r="L469" s="15" t="str" cm="1">
        <f t="array" ref="L469">IFERROR(ROUND(_FV(B469,"Change (%)",TRUE),3) &amp; "%"," ")</f>
        <v xml:space="preserve"> </v>
      </c>
    </row>
    <row r="470" spans="1:12" x14ac:dyDescent="0.25">
      <c r="A470" s="19"/>
      <c r="C470" s="10" t="str" cm="1">
        <f t="array" ref="C470">IFERROR(_FV(FundManager[[#This Row],[Name]],"Ticker symbol",TRUE)," ")</f>
        <v xml:space="preserve"> </v>
      </c>
      <c r="E470" s="13"/>
      <c r="F470" s="13"/>
      <c r="G470" s="10" t="str">
        <f t="shared" si="14"/>
        <v xml:space="preserve"> </v>
      </c>
      <c r="H470" s="13"/>
      <c r="I470" s="24"/>
      <c r="J470" s="13">
        <f>IFERROR(FundManager[[#This Row],[Current Value]]-FundManager[[#This Row],[Amount Invested]]," ")</f>
        <v>0</v>
      </c>
      <c r="K470" s="14" t="str">
        <f t="shared" si="15"/>
        <v xml:space="preserve"> </v>
      </c>
      <c r="L470" s="15" t="str" cm="1">
        <f t="array" ref="L470">IFERROR(ROUND(_FV(B470,"Change (%)",TRUE),3) &amp; "%"," ")</f>
        <v xml:space="preserve"> </v>
      </c>
    </row>
    <row r="471" spans="1:12" x14ac:dyDescent="0.25">
      <c r="A471" s="19"/>
      <c r="C471" s="10" t="str" cm="1">
        <f t="array" ref="C471">IFERROR(_FV(FundManager[[#This Row],[Name]],"Ticker symbol",TRUE)," ")</f>
        <v xml:space="preserve"> </v>
      </c>
      <c r="E471" s="13"/>
      <c r="F471" s="13"/>
      <c r="G471" s="10" t="str">
        <f t="shared" ref="G471:G534" si="16">IFERROR(H471/E471," ")</f>
        <v xml:space="preserve"> </v>
      </c>
      <c r="H471" s="13"/>
      <c r="I471" s="24"/>
      <c r="J471" s="13">
        <f>IFERROR(FundManager[[#This Row],[Current Value]]-FundManager[[#This Row],[Amount Invested]]," ")</f>
        <v>0</v>
      </c>
      <c r="K471" s="14" t="str">
        <f t="shared" ref="K471:K534" si="17">IFERROR((I471-H471)/H471," ")</f>
        <v xml:space="preserve"> </v>
      </c>
      <c r="L471" s="15" t="str" cm="1">
        <f t="array" ref="L471">IFERROR(ROUND(_FV(B471,"Change (%)",TRUE),3) &amp; "%"," ")</f>
        <v xml:space="preserve"> </v>
      </c>
    </row>
    <row r="472" spans="1:12" x14ac:dyDescent="0.25">
      <c r="A472" s="19"/>
      <c r="C472" s="10" t="str" cm="1">
        <f t="array" ref="C472">IFERROR(_FV(FundManager[[#This Row],[Name]],"Ticker symbol",TRUE)," ")</f>
        <v xml:space="preserve"> </v>
      </c>
      <c r="E472" s="13"/>
      <c r="F472" s="13"/>
      <c r="G472" s="10" t="str">
        <f t="shared" si="16"/>
        <v xml:space="preserve"> </v>
      </c>
      <c r="H472" s="13"/>
      <c r="I472" s="24"/>
      <c r="J472" s="13">
        <f>IFERROR(FundManager[[#This Row],[Current Value]]-FundManager[[#This Row],[Amount Invested]]," ")</f>
        <v>0</v>
      </c>
      <c r="K472" s="14" t="str">
        <f t="shared" si="17"/>
        <v xml:space="preserve"> </v>
      </c>
      <c r="L472" s="15" t="str" cm="1">
        <f t="array" ref="L472">IFERROR(ROUND(_FV(B472,"Change (%)",TRUE),3) &amp; "%"," ")</f>
        <v xml:space="preserve"> </v>
      </c>
    </row>
    <row r="473" spans="1:12" x14ac:dyDescent="0.25">
      <c r="A473" s="19"/>
      <c r="C473" s="10" t="str" cm="1">
        <f t="array" ref="C473">IFERROR(_FV(FundManager[[#This Row],[Name]],"Ticker symbol",TRUE)," ")</f>
        <v xml:space="preserve"> </v>
      </c>
      <c r="E473" s="13"/>
      <c r="F473" s="13"/>
      <c r="G473" s="10" t="str">
        <f t="shared" si="16"/>
        <v xml:space="preserve"> </v>
      </c>
      <c r="H473" s="13"/>
      <c r="I473" s="24"/>
      <c r="J473" s="13">
        <f>IFERROR(FundManager[[#This Row],[Current Value]]-FundManager[[#This Row],[Amount Invested]]," ")</f>
        <v>0</v>
      </c>
      <c r="K473" s="14" t="str">
        <f t="shared" si="17"/>
        <v xml:space="preserve"> </v>
      </c>
      <c r="L473" s="15" t="str" cm="1">
        <f t="array" ref="L473">IFERROR(ROUND(_FV(B473,"Change (%)",TRUE),3) &amp; "%"," ")</f>
        <v xml:space="preserve"> </v>
      </c>
    </row>
    <row r="474" spans="1:12" x14ac:dyDescent="0.25">
      <c r="A474" s="19"/>
      <c r="C474" s="10" t="str" cm="1">
        <f t="array" ref="C474">IFERROR(_FV(FundManager[[#This Row],[Name]],"Ticker symbol",TRUE)," ")</f>
        <v xml:space="preserve"> </v>
      </c>
      <c r="E474" s="13"/>
      <c r="F474" s="13"/>
      <c r="G474" s="10" t="str">
        <f t="shared" si="16"/>
        <v xml:space="preserve"> </v>
      </c>
      <c r="H474" s="13"/>
      <c r="I474" s="24"/>
      <c r="J474" s="13">
        <f>IFERROR(FundManager[[#This Row],[Current Value]]-FundManager[[#This Row],[Amount Invested]]," ")</f>
        <v>0</v>
      </c>
      <c r="K474" s="14" t="str">
        <f t="shared" si="17"/>
        <v xml:space="preserve"> </v>
      </c>
      <c r="L474" s="15" t="str" cm="1">
        <f t="array" ref="L474">IFERROR(ROUND(_FV(B474,"Change (%)",TRUE),3) &amp; "%"," ")</f>
        <v xml:space="preserve"> </v>
      </c>
    </row>
    <row r="475" spans="1:12" x14ac:dyDescent="0.25">
      <c r="A475" s="19"/>
      <c r="C475" s="10" t="str" cm="1">
        <f t="array" ref="C475">IFERROR(_FV(FundManager[[#This Row],[Name]],"Ticker symbol",TRUE)," ")</f>
        <v xml:space="preserve"> </v>
      </c>
      <c r="E475" s="13"/>
      <c r="F475" s="13"/>
      <c r="G475" s="10" t="str">
        <f t="shared" si="16"/>
        <v xml:space="preserve"> </v>
      </c>
      <c r="H475" s="13"/>
      <c r="I475" s="24"/>
      <c r="J475" s="13">
        <f>IFERROR(FundManager[[#This Row],[Current Value]]-FundManager[[#This Row],[Amount Invested]]," ")</f>
        <v>0</v>
      </c>
      <c r="K475" s="14" t="str">
        <f t="shared" si="17"/>
        <v xml:space="preserve"> </v>
      </c>
      <c r="L475" s="15" t="str" cm="1">
        <f t="array" ref="L475">IFERROR(ROUND(_FV(B475,"Change (%)",TRUE),3) &amp; "%"," ")</f>
        <v xml:space="preserve"> </v>
      </c>
    </row>
    <row r="476" spans="1:12" x14ac:dyDescent="0.25">
      <c r="A476" s="19"/>
      <c r="C476" s="10" t="str" cm="1">
        <f t="array" ref="C476">IFERROR(_FV(FundManager[[#This Row],[Name]],"Ticker symbol",TRUE)," ")</f>
        <v xml:space="preserve"> </v>
      </c>
      <c r="E476" s="13"/>
      <c r="F476" s="13"/>
      <c r="G476" s="10" t="str">
        <f t="shared" si="16"/>
        <v xml:space="preserve"> </v>
      </c>
      <c r="H476" s="13"/>
      <c r="I476" s="24"/>
      <c r="J476" s="13">
        <f>IFERROR(FundManager[[#This Row],[Current Value]]-FundManager[[#This Row],[Amount Invested]]," ")</f>
        <v>0</v>
      </c>
      <c r="K476" s="14" t="str">
        <f t="shared" si="17"/>
        <v xml:space="preserve"> </v>
      </c>
      <c r="L476" s="15" t="str" cm="1">
        <f t="array" ref="L476">IFERROR(ROUND(_FV(B476,"Change (%)",TRUE),3) &amp; "%"," ")</f>
        <v xml:space="preserve"> </v>
      </c>
    </row>
    <row r="477" spans="1:12" x14ac:dyDescent="0.25">
      <c r="A477" s="19"/>
      <c r="C477" s="10" t="str" cm="1">
        <f t="array" ref="C477">IFERROR(_FV(FundManager[[#This Row],[Name]],"Ticker symbol",TRUE)," ")</f>
        <v xml:space="preserve"> </v>
      </c>
      <c r="E477" s="13"/>
      <c r="F477" s="13"/>
      <c r="G477" s="10" t="str">
        <f t="shared" si="16"/>
        <v xml:space="preserve"> </v>
      </c>
      <c r="H477" s="13"/>
      <c r="I477" s="24"/>
      <c r="J477" s="13">
        <f>IFERROR(FundManager[[#This Row],[Current Value]]-FundManager[[#This Row],[Amount Invested]]," ")</f>
        <v>0</v>
      </c>
      <c r="K477" s="14" t="str">
        <f t="shared" si="17"/>
        <v xml:space="preserve"> </v>
      </c>
      <c r="L477" s="15" t="str" cm="1">
        <f t="array" ref="L477">IFERROR(ROUND(_FV(B477,"Change (%)",TRUE),3) &amp; "%"," ")</f>
        <v xml:space="preserve"> </v>
      </c>
    </row>
    <row r="478" spans="1:12" x14ac:dyDescent="0.25">
      <c r="A478" s="19"/>
      <c r="C478" s="10" t="str" cm="1">
        <f t="array" ref="C478">IFERROR(_FV(FundManager[[#This Row],[Name]],"Ticker symbol",TRUE)," ")</f>
        <v xml:space="preserve"> </v>
      </c>
      <c r="E478" s="13"/>
      <c r="F478" s="13"/>
      <c r="G478" s="10" t="str">
        <f t="shared" si="16"/>
        <v xml:space="preserve"> </v>
      </c>
      <c r="H478" s="13"/>
      <c r="I478" s="24"/>
      <c r="J478" s="13">
        <f>IFERROR(FundManager[[#This Row],[Current Value]]-FundManager[[#This Row],[Amount Invested]]," ")</f>
        <v>0</v>
      </c>
      <c r="K478" s="14" t="str">
        <f t="shared" si="17"/>
        <v xml:space="preserve"> </v>
      </c>
      <c r="L478" s="15" t="str" cm="1">
        <f t="array" ref="L478">IFERROR(ROUND(_FV(B478,"Change (%)",TRUE),3) &amp; "%"," ")</f>
        <v xml:space="preserve"> </v>
      </c>
    </row>
    <row r="479" spans="1:12" x14ac:dyDescent="0.25">
      <c r="A479" s="19"/>
      <c r="C479" s="10" t="str" cm="1">
        <f t="array" ref="C479">IFERROR(_FV(FundManager[[#This Row],[Name]],"Ticker symbol",TRUE)," ")</f>
        <v xml:space="preserve"> </v>
      </c>
      <c r="E479" s="13"/>
      <c r="F479" s="13"/>
      <c r="G479" s="10" t="str">
        <f t="shared" si="16"/>
        <v xml:space="preserve"> </v>
      </c>
      <c r="H479" s="13"/>
      <c r="I479" s="24"/>
      <c r="J479" s="13">
        <f>IFERROR(FundManager[[#This Row],[Current Value]]-FundManager[[#This Row],[Amount Invested]]," ")</f>
        <v>0</v>
      </c>
      <c r="K479" s="14" t="str">
        <f t="shared" si="17"/>
        <v xml:space="preserve"> </v>
      </c>
      <c r="L479" s="15" t="str" cm="1">
        <f t="array" ref="L479">IFERROR(ROUND(_FV(B479,"Change (%)",TRUE),3) &amp; "%"," ")</f>
        <v xml:space="preserve"> </v>
      </c>
    </row>
    <row r="480" spans="1:12" x14ac:dyDescent="0.25">
      <c r="A480" s="19"/>
      <c r="C480" s="10" t="str" cm="1">
        <f t="array" ref="C480">IFERROR(_FV(FundManager[[#This Row],[Name]],"Ticker symbol",TRUE)," ")</f>
        <v xml:space="preserve"> </v>
      </c>
      <c r="E480" s="13"/>
      <c r="F480" s="13"/>
      <c r="G480" s="10" t="str">
        <f t="shared" si="16"/>
        <v xml:space="preserve"> </v>
      </c>
      <c r="H480" s="13"/>
      <c r="I480" s="24"/>
      <c r="J480" s="13">
        <f>IFERROR(FundManager[[#This Row],[Current Value]]-FundManager[[#This Row],[Amount Invested]]," ")</f>
        <v>0</v>
      </c>
      <c r="K480" s="14" t="str">
        <f t="shared" si="17"/>
        <v xml:space="preserve"> </v>
      </c>
      <c r="L480" s="15" t="str" cm="1">
        <f t="array" ref="L480">IFERROR(ROUND(_FV(B480,"Change (%)",TRUE),3) &amp; "%"," ")</f>
        <v xml:space="preserve"> </v>
      </c>
    </row>
    <row r="481" spans="1:12" x14ac:dyDescent="0.25">
      <c r="A481" s="19"/>
      <c r="C481" s="10" t="str" cm="1">
        <f t="array" ref="C481">IFERROR(_FV(FundManager[[#This Row],[Name]],"Ticker symbol",TRUE)," ")</f>
        <v xml:space="preserve"> </v>
      </c>
      <c r="E481" s="13"/>
      <c r="F481" s="13"/>
      <c r="G481" s="10" t="str">
        <f t="shared" si="16"/>
        <v xml:space="preserve"> </v>
      </c>
      <c r="H481" s="13"/>
      <c r="I481" s="24"/>
      <c r="J481" s="13">
        <f>IFERROR(FundManager[[#This Row],[Current Value]]-FundManager[[#This Row],[Amount Invested]]," ")</f>
        <v>0</v>
      </c>
      <c r="K481" s="14" t="str">
        <f t="shared" si="17"/>
        <v xml:space="preserve"> </v>
      </c>
      <c r="L481" s="15" t="str" cm="1">
        <f t="array" ref="L481">IFERROR(ROUND(_FV(B481,"Change (%)",TRUE),3) &amp; "%"," ")</f>
        <v xml:space="preserve"> </v>
      </c>
    </row>
    <row r="482" spans="1:12" x14ac:dyDescent="0.25">
      <c r="A482" s="19"/>
      <c r="C482" s="10" t="str" cm="1">
        <f t="array" ref="C482">IFERROR(_FV(FundManager[[#This Row],[Name]],"Ticker symbol",TRUE)," ")</f>
        <v xml:space="preserve"> </v>
      </c>
      <c r="E482" s="13"/>
      <c r="F482" s="13"/>
      <c r="G482" s="10" t="str">
        <f t="shared" si="16"/>
        <v xml:space="preserve"> </v>
      </c>
      <c r="H482" s="13"/>
      <c r="I482" s="24"/>
      <c r="J482" s="13">
        <f>IFERROR(FundManager[[#This Row],[Current Value]]-FundManager[[#This Row],[Amount Invested]]," ")</f>
        <v>0</v>
      </c>
      <c r="K482" s="14" t="str">
        <f t="shared" si="17"/>
        <v xml:space="preserve"> </v>
      </c>
      <c r="L482" s="15" t="str" cm="1">
        <f t="array" ref="L482">IFERROR(ROUND(_FV(B482,"Change (%)",TRUE),3) &amp; "%"," ")</f>
        <v xml:space="preserve"> </v>
      </c>
    </row>
    <row r="483" spans="1:12" x14ac:dyDescent="0.25">
      <c r="A483" s="19"/>
      <c r="C483" s="10" t="str" cm="1">
        <f t="array" ref="C483">IFERROR(_FV(FundManager[[#This Row],[Name]],"Ticker symbol",TRUE)," ")</f>
        <v xml:space="preserve"> </v>
      </c>
      <c r="E483" s="13"/>
      <c r="F483" s="13"/>
      <c r="G483" s="10" t="str">
        <f t="shared" si="16"/>
        <v xml:space="preserve"> </v>
      </c>
      <c r="H483" s="13"/>
      <c r="I483" s="24"/>
      <c r="J483" s="13">
        <f>IFERROR(FundManager[[#This Row],[Current Value]]-FundManager[[#This Row],[Amount Invested]]," ")</f>
        <v>0</v>
      </c>
      <c r="K483" s="14" t="str">
        <f t="shared" si="17"/>
        <v xml:space="preserve"> </v>
      </c>
      <c r="L483" s="15" t="str" cm="1">
        <f t="array" ref="L483">IFERROR(ROUND(_FV(B483,"Change (%)",TRUE),3) &amp; "%"," ")</f>
        <v xml:space="preserve"> </v>
      </c>
    </row>
    <row r="484" spans="1:12" x14ac:dyDescent="0.25">
      <c r="A484" s="19"/>
      <c r="C484" s="10" t="str" cm="1">
        <f t="array" ref="C484">IFERROR(_FV(FundManager[[#This Row],[Name]],"Ticker symbol",TRUE)," ")</f>
        <v xml:space="preserve"> </v>
      </c>
      <c r="E484" s="13"/>
      <c r="F484" s="13"/>
      <c r="G484" s="10" t="str">
        <f t="shared" si="16"/>
        <v xml:space="preserve"> </v>
      </c>
      <c r="H484" s="13"/>
      <c r="I484" s="24"/>
      <c r="J484" s="13">
        <f>IFERROR(FundManager[[#This Row],[Current Value]]-FundManager[[#This Row],[Amount Invested]]," ")</f>
        <v>0</v>
      </c>
      <c r="K484" s="14" t="str">
        <f t="shared" si="17"/>
        <v xml:space="preserve"> </v>
      </c>
      <c r="L484" s="15" t="str" cm="1">
        <f t="array" ref="L484">IFERROR(ROUND(_FV(B484,"Change (%)",TRUE),3) &amp; "%"," ")</f>
        <v xml:space="preserve"> </v>
      </c>
    </row>
    <row r="485" spans="1:12" x14ac:dyDescent="0.25">
      <c r="A485" s="19"/>
      <c r="C485" s="10" t="str" cm="1">
        <f t="array" ref="C485">IFERROR(_FV(FundManager[[#This Row],[Name]],"Ticker symbol",TRUE)," ")</f>
        <v xml:space="preserve"> </v>
      </c>
      <c r="E485" s="13"/>
      <c r="F485" s="13"/>
      <c r="G485" s="10" t="str">
        <f t="shared" si="16"/>
        <v xml:space="preserve"> </v>
      </c>
      <c r="H485" s="13"/>
      <c r="I485" s="24"/>
      <c r="J485" s="13">
        <f>IFERROR(FundManager[[#This Row],[Current Value]]-FundManager[[#This Row],[Amount Invested]]," ")</f>
        <v>0</v>
      </c>
      <c r="K485" s="14" t="str">
        <f t="shared" si="17"/>
        <v xml:space="preserve"> </v>
      </c>
      <c r="L485" s="15" t="str" cm="1">
        <f t="array" ref="L485">IFERROR(ROUND(_FV(B485,"Change (%)",TRUE),3) &amp; "%"," ")</f>
        <v xml:space="preserve"> </v>
      </c>
    </row>
    <row r="486" spans="1:12" x14ac:dyDescent="0.25">
      <c r="A486" s="19"/>
      <c r="C486" s="10" t="str" cm="1">
        <f t="array" ref="C486">IFERROR(_FV(FundManager[[#This Row],[Name]],"Ticker symbol",TRUE)," ")</f>
        <v xml:space="preserve"> </v>
      </c>
      <c r="E486" s="13"/>
      <c r="F486" s="13"/>
      <c r="G486" s="10" t="str">
        <f t="shared" si="16"/>
        <v xml:space="preserve"> </v>
      </c>
      <c r="H486" s="13"/>
      <c r="I486" s="24"/>
      <c r="J486" s="13">
        <f>IFERROR(FundManager[[#This Row],[Current Value]]-FundManager[[#This Row],[Amount Invested]]," ")</f>
        <v>0</v>
      </c>
      <c r="K486" s="14" t="str">
        <f t="shared" si="17"/>
        <v xml:space="preserve"> </v>
      </c>
      <c r="L486" s="15" t="str" cm="1">
        <f t="array" ref="L486">IFERROR(ROUND(_FV(B486,"Change (%)",TRUE),3) &amp; "%"," ")</f>
        <v xml:space="preserve"> </v>
      </c>
    </row>
    <row r="487" spans="1:12" x14ac:dyDescent="0.25">
      <c r="A487" s="19"/>
      <c r="C487" s="10" t="str" cm="1">
        <f t="array" ref="C487">IFERROR(_FV(FundManager[[#This Row],[Name]],"Ticker symbol",TRUE)," ")</f>
        <v xml:space="preserve"> </v>
      </c>
      <c r="E487" s="13"/>
      <c r="F487" s="13"/>
      <c r="G487" s="10" t="str">
        <f t="shared" si="16"/>
        <v xml:space="preserve"> </v>
      </c>
      <c r="H487" s="13"/>
      <c r="I487" s="24"/>
      <c r="J487" s="13">
        <f>IFERROR(FundManager[[#This Row],[Current Value]]-FundManager[[#This Row],[Amount Invested]]," ")</f>
        <v>0</v>
      </c>
      <c r="K487" s="14" t="str">
        <f t="shared" si="17"/>
        <v xml:space="preserve"> </v>
      </c>
      <c r="L487" s="15" t="str" cm="1">
        <f t="array" ref="L487">IFERROR(ROUND(_FV(B487,"Change (%)",TRUE),3) &amp; "%"," ")</f>
        <v xml:space="preserve"> </v>
      </c>
    </row>
    <row r="488" spans="1:12" x14ac:dyDescent="0.25">
      <c r="A488" s="19"/>
      <c r="C488" s="10" t="str" cm="1">
        <f t="array" ref="C488">IFERROR(_FV(FundManager[[#This Row],[Name]],"Ticker symbol",TRUE)," ")</f>
        <v xml:space="preserve"> </v>
      </c>
      <c r="E488" s="13"/>
      <c r="F488" s="13"/>
      <c r="G488" s="10" t="str">
        <f t="shared" si="16"/>
        <v xml:space="preserve"> </v>
      </c>
      <c r="H488" s="13"/>
      <c r="I488" s="24"/>
      <c r="J488" s="13">
        <f>IFERROR(FundManager[[#This Row],[Current Value]]-FundManager[[#This Row],[Amount Invested]]," ")</f>
        <v>0</v>
      </c>
      <c r="K488" s="14" t="str">
        <f t="shared" si="17"/>
        <v xml:space="preserve"> </v>
      </c>
      <c r="L488" s="15" t="str" cm="1">
        <f t="array" ref="L488">IFERROR(ROUND(_FV(B488,"Change (%)",TRUE),3) &amp; "%"," ")</f>
        <v xml:space="preserve"> </v>
      </c>
    </row>
    <row r="489" spans="1:12" x14ac:dyDescent="0.25">
      <c r="A489" s="19"/>
      <c r="C489" s="10" t="str" cm="1">
        <f t="array" ref="C489">IFERROR(_FV(FundManager[[#This Row],[Name]],"Ticker symbol",TRUE)," ")</f>
        <v xml:space="preserve"> </v>
      </c>
      <c r="E489" s="13"/>
      <c r="F489" s="13"/>
      <c r="G489" s="10" t="str">
        <f t="shared" si="16"/>
        <v xml:space="preserve"> </v>
      </c>
      <c r="H489" s="13"/>
      <c r="I489" s="24"/>
      <c r="J489" s="13">
        <f>IFERROR(FundManager[[#This Row],[Current Value]]-FundManager[[#This Row],[Amount Invested]]," ")</f>
        <v>0</v>
      </c>
      <c r="K489" s="14" t="str">
        <f t="shared" si="17"/>
        <v xml:space="preserve"> </v>
      </c>
      <c r="L489" s="15" t="str" cm="1">
        <f t="array" ref="L489">IFERROR(ROUND(_FV(B489,"Change (%)",TRUE),3) &amp; "%"," ")</f>
        <v xml:space="preserve"> </v>
      </c>
    </row>
    <row r="490" spans="1:12" x14ac:dyDescent="0.25">
      <c r="A490" s="19"/>
      <c r="C490" s="10" t="str" cm="1">
        <f t="array" ref="C490">IFERROR(_FV(FundManager[[#This Row],[Name]],"Ticker symbol",TRUE)," ")</f>
        <v xml:space="preserve"> </v>
      </c>
      <c r="E490" s="13"/>
      <c r="F490" s="13"/>
      <c r="G490" s="10" t="str">
        <f t="shared" si="16"/>
        <v xml:space="preserve"> </v>
      </c>
      <c r="H490" s="13"/>
      <c r="I490" s="24"/>
      <c r="J490" s="13">
        <f>IFERROR(FundManager[[#This Row],[Current Value]]-FundManager[[#This Row],[Amount Invested]]," ")</f>
        <v>0</v>
      </c>
      <c r="K490" s="14" t="str">
        <f t="shared" si="17"/>
        <v xml:space="preserve"> </v>
      </c>
      <c r="L490" s="15" t="str" cm="1">
        <f t="array" ref="L490">IFERROR(ROUND(_FV(B490,"Change (%)",TRUE),3) &amp; "%"," ")</f>
        <v xml:space="preserve"> </v>
      </c>
    </row>
    <row r="491" spans="1:12" x14ac:dyDescent="0.25">
      <c r="A491" s="19"/>
      <c r="C491" s="10" t="str" cm="1">
        <f t="array" ref="C491">IFERROR(_FV(FundManager[[#This Row],[Name]],"Ticker symbol",TRUE)," ")</f>
        <v xml:space="preserve"> </v>
      </c>
      <c r="E491" s="13"/>
      <c r="F491" s="13"/>
      <c r="G491" s="10" t="str">
        <f t="shared" si="16"/>
        <v xml:space="preserve"> </v>
      </c>
      <c r="H491" s="13"/>
      <c r="I491" s="24"/>
      <c r="J491" s="13">
        <f>IFERROR(FundManager[[#This Row],[Current Value]]-FundManager[[#This Row],[Amount Invested]]," ")</f>
        <v>0</v>
      </c>
      <c r="K491" s="14" t="str">
        <f t="shared" si="17"/>
        <v xml:space="preserve"> </v>
      </c>
      <c r="L491" s="15" t="str" cm="1">
        <f t="array" ref="L491">IFERROR(ROUND(_FV(B491,"Change (%)",TRUE),3) &amp; "%"," ")</f>
        <v xml:space="preserve"> </v>
      </c>
    </row>
    <row r="492" spans="1:12" x14ac:dyDescent="0.25">
      <c r="A492" s="19"/>
      <c r="C492" s="10" t="str" cm="1">
        <f t="array" ref="C492">IFERROR(_FV(FundManager[[#This Row],[Name]],"Ticker symbol",TRUE)," ")</f>
        <v xml:space="preserve"> </v>
      </c>
      <c r="E492" s="13"/>
      <c r="F492" s="13"/>
      <c r="G492" s="10" t="str">
        <f t="shared" si="16"/>
        <v xml:space="preserve"> </v>
      </c>
      <c r="H492" s="13"/>
      <c r="I492" s="24"/>
      <c r="J492" s="13">
        <f>IFERROR(FundManager[[#This Row],[Current Value]]-FundManager[[#This Row],[Amount Invested]]," ")</f>
        <v>0</v>
      </c>
      <c r="K492" s="14" t="str">
        <f t="shared" si="17"/>
        <v xml:space="preserve"> </v>
      </c>
      <c r="L492" s="15" t="str" cm="1">
        <f t="array" ref="L492">IFERROR(ROUND(_FV(B492,"Change (%)",TRUE),3) &amp; "%"," ")</f>
        <v xml:space="preserve"> </v>
      </c>
    </row>
    <row r="493" spans="1:12" x14ac:dyDescent="0.25">
      <c r="A493" s="19"/>
      <c r="C493" s="10" t="str" cm="1">
        <f t="array" ref="C493">IFERROR(_FV(FundManager[[#This Row],[Name]],"Ticker symbol",TRUE)," ")</f>
        <v xml:space="preserve"> </v>
      </c>
      <c r="E493" s="13"/>
      <c r="F493" s="13"/>
      <c r="G493" s="10" t="str">
        <f t="shared" si="16"/>
        <v xml:space="preserve"> </v>
      </c>
      <c r="H493" s="13"/>
      <c r="I493" s="24"/>
      <c r="J493" s="13">
        <f>IFERROR(FundManager[[#This Row],[Current Value]]-FundManager[[#This Row],[Amount Invested]]," ")</f>
        <v>0</v>
      </c>
      <c r="K493" s="14" t="str">
        <f t="shared" si="17"/>
        <v xml:space="preserve"> </v>
      </c>
      <c r="L493" s="15" t="str" cm="1">
        <f t="array" ref="L493">IFERROR(ROUND(_FV(B493,"Change (%)",TRUE),3) &amp; "%"," ")</f>
        <v xml:space="preserve"> </v>
      </c>
    </row>
    <row r="494" spans="1:12" x14ac:dyDescent="0.25">
      <c r="A494" s="19"/>
      <c r="C494" s="10" t="str" cm="1">
        <f t="array" ref="C494">IFERROR(_FV(FundManager[[#This Row],[Name]],"Ticker symbol",TRUE)," ")</f>
        <v xml:space="preserve"> </v>
      </c>
      <c r="E494" s="13"/>
      <c r="F494" s="13"/>
      <c r="G494" s="10" t="str">
        <f t="shared" si="16"/>
        <v xml:space="preserve"> </v>
      </c>
      <c r="H494" s="13"/>
      <c r="I494" s="24"/>
      <c r="J494" s="13">
        <f>IFERROR(FundManager[[#This Row],[Current Value]]-FundManager[[#This Row],[Amount Invested]]," ")</f>
        <v>0</v>
      </c>
      <c r="K494" s="14" t="str">
        <f t="shared" si="17"/>
        <v xml:space="preserve"> </v>
      </c>
      <c r="L494" s="15" t="str" cm="1">
        <f t="array" ref="L494">IFERROR(ROUND(_FV(B494,"Change (%)",TRUE),3) &amp; "%"," ")</f>
        <v xml:space="preserve"> </v>
      </c>
    </row>
    <row r="495" spans="1:12" x14ac:dyDescent="0.25">
      <c r="A495" s="19"/>
      <c r="C495" s="10" t="str" cm="1">
        <f t="array" ref="C495">IFERROR(_FV(FundManager[[#This Row],[Name]],"Ticker symbol",TRUE)," ")</f>
        <v xml:space="preserve"> </v>
      </c>
      <c r="E495" s="13"/>
      <c r="F495" s="13"/>
      <c r="G495" s="10" t="str">
        <f t="shared" si="16"/>
        <v xml:space="preserve"> </v>
      </c>
      <c r="H495" s="13"/>
      <c r="I495" s="24"/>
      <c r="J495" s="13">
        <f>IFERROR(FundManager[[#This Row],[Current Value]]-FundManager[[#This Row],[Amount Invested]]," ")</f>
        <v>0</v>
      </c>
      <c r="K495" s="14" t="str">
        <f t="shared" si="17"/>
        <v xml:space="preserve"> </v>
      </c>
      <c r="L495" s="15" t="str" cm="1">
        <f t="array" ref="L495">IFERROR(ROUND(_FV(B495,"Change (%)",TRUE),3) &amp; "%"," ")</f>
        <v xml:space="preserve"> </v>
      </c>
    </row>
    <row r="496" spans="1:12" x14ac:dyDescent="0.25">
      <c r="A496" s="19"/>
      <c r="C496" s="10" t="str" cm="1">
        <f t="array" ref="C496">IFERROR(_FV(FundManager[[#This Row],[Name]],"Ticker symbol",TRUE)," ")</f>
        <v xml:space="preserve"> </v>
      </c>
      <c r="E496" s="13"/>
      <c r="F496" s="13"/>
      <c r="G496" s="10" t="str">
        <f t="shared" si="16"/>
        <v xml:space="preserve"> </v>
      </c>
      <c r="H496" s="13"/>
      <c r="I496" s="24"/>
      <c r="J496" s="13">
        <f>IFERROR(FundManager[[#This Row],[Current Value]]-FundManager[[#This Row],[Amount Invested]]," ")</f>
        <v>0</v>
      </c>
      <c r="K496" s="14" t="str">
        <f t="shared" si="17"/>
        <v xml:space="preserve"> </v>
      </c>
      <c r="L496" s="15" t="str" cm="1">
        <f t="array" ref="L496">IFERROR(ROUND(_FV(B496,"Change (%)",TRUE),3) &amp; "%"," ")</f>
        <v xml:space="preserve"> </v>
      </c>
    </row>
    <row r="497" spans="1:12" x14ac:dyDescent="0.25">
      <c r="A497" s="19"/>
      <c r="C497" s="10" t="str" cm="1">
        <f t="array" ref="C497">IFERROR(_FV(FundManager[[#This Row],[Name]],"Ticker symbol",TRUE)," ")</f>
        <v xml:space="preserve"> </v>
      </c>
      <c r="E497" s="13"/>
      <c r="F497" s="13"/>
      <c r="G497" s="10" t="str">
        <f t="shared" si="16"/>
        <v xml:space="preserve"> </v>
      </c>
      <c r="H497" s="13"/>
      <c r="I497" s="24"/>
      <c r="J497" s="13">
        <f>IFERROR(FundManager[[#This Row],[Current Value]]-FundManager[[#This Row],[Amount Invested]]," ")</f>
        <v>0</v>
      </c>
      <c r="K497" s="14" t="str">
        <f t="shared" si="17"/>
        <v xml:space="preserve"> </v>
      </c>
      <c r="L497" s="15" t="str" cm="1">
        <f t="array" ref="L497">IFERROR(ROUND(_FV(B497,"Change (%)",TRUE),3) &amp; "%"," ")</f>
        <v xml:space="preserve"> </v>
      </c>
    </row>
    <row r="498" spans="1:12" x14ac:dyDescent="0.25">
      <c r="A498" s="19"/>
      <c r="C498" s="10" t="str" cm="1">
        <f t="array" ref="C498">IFERROR(_FV(FundManager[[#This Row],[Name]],"Ticker symbol",TRUE)," ")</f>
        <v xml:space="preserve"> </v>
      </c>
      <c r="E498" s="13"/>
      <c r="F498" s="13"/>
      <c r="G498" s="10" t="str">
        <f t="shared" si="16"/>
        <v xml:space="preserve"> </v>
      </c>
      <c r="H498" s="13"/>
      <c r="I498" s="24"/>
      <c r="J498" s="13">
        <f>IFERROR(FundManager[[#This Row],[Current Value]]-FundManager[[#This Row],[Amount Invested]]," ")</f>
        <v>0</v>
      </c>
      <c r="K498" s="14" t="str">
        <f t="shared" si="17"/>
        <v xml:space="preserve"> </v>
      </c>
      <c r="L498" s="15" t="str" cm="1">
        <f t="array" ref="L498">IFERROR(ROUND(_FV(B498,"Change (%)",TRUE),3) &amp; "%"," ")</f>
        <v xml:space="preserve"> </v>
      </c>
    </row>
    <row r="499" spans="1:12" x14ac:dyDescent="0.25">
      <c r="A499" s="19"/>
      <c r="C499" s="10" t="str" cm="1">
        <f t="array" ref="C499">IFERROR(_FV(FundManager[[#This Row],[Name]],"Ticker symbol",TRUE)," ")</f>
        <v xml:space="preserve"> </v>
      </c>
      <c r="E499" s="13"/>
      <c r="F499" s="13"/>
      <c r="G499" s="10" t="str">
        <f t="shared" si="16"/>
        <v xml:space="preserve"> </v>
      </c>
      <c r="H499" s="13"/>
      <c r="I499" s="24"/>
      <c r="J499" s="13">
        <f>IFERROR(FundManager[[#This Row],[Current Value]]-FundManager[[#This Row],[Amount Invested]]," ")</f>
        <v>0</v>
      </c>
      <c r="K499" s="14" t="str">
        <f t="shared" si="17"/>
        <v xml:space="preserve"> </v>
      </c>
      <c r="L499" s="15" t="str" cm="1">
        <f t="array" ref="L499">IFERROR(ROUND(_FV(B499,"Change (%)",TRUE),3) &amp; "%"," ")</f>
        <v xml:space="preserve"> </v>
      </c>
    </row>
    <row r="500" spans="1:12" x14ac:dyDescent="0.25">
      <c r="A500" s="19"/>
      <c r="C500" s="10" t="str" cm="1">
        <f t="array" ref="C500">IFERROR(_FV(FundManager[[#This Row],[Name]],"Ticker symbol",TRUE)," ")</f>
        <v xml:space="preserve"> </v>
      </c>
      <c r="E500" s="13"/>
      <c r="F500" s="13"/>
      <c r="G500" s="10" t="str">
        <f t="shared" si="16"/>
        <v xml:space="preserve"> </v>
      </c>
      <c r="H500" s="13"/>
      <c r="I500" s="24"/>
      <c r="J500" s="13">
        <f>IFERROR(FundManager[[#This Row],[Current Value]]-FundManager[[#This Row],[Amount Invested]]," ")</f>
        <v>0</v>
      </c>
      <c r="K500" s="14" t="str">
        <f t="shared" si="17"/>
        <v xml:space="preserve"> </v>
      </c>
      <c r="L500" s="15" t="str" cm="1">
        <f t="array" ref="L500">IFERROR(ROUND(_FV(B500,"Change (%)",TRUE),3) &amp; "%"," ")</f>
        <v xml:space="preserve"> </v>
      </c>
    </row>
    <row r="501" spans="1:12" x14ac:dyDescent="0.25">
      <c r="A501" s="19"/>
      <c r="C501" s="10" t="str" cm="1">
        <f t="array" ref="C501">IFERROR(_FV(FundManager[[#This Row],[Name]],"Ticker symbol",TRUE)," ")</f>
        <v xml:space="preserve"> </v>
      </c>
      <c r="E501" s="13"/>
      <c r="F501" s="13"/>
      <c r="G501" s="10" t="str">
        <f t="shared" si="16"/>
        <v xml:space="preserve"> </v>
      </c>
      <c r="H501" s="13"/>
      <c r="I501" s="24"/>
      <c r="J501" s="13">
        <f>IFERROR(FundManager[[#This Row],[Current Value]]-FundManager[[#This Row],[Amount Invested]]," ")</f>
        <v>0</v>
      </c>
      <c r="K501" s="14" t="str">
        <f t="shared" si="17"/>
        <v xml:space="preserve"> </v>
      </c>
      <c r="L501" s="15" t="str" cm="1">
        <f t="array" ref="L501">IFERROR(ROUND(_FV(B501,"Change (%)",TRUE),3) &amp; "%"," ")</f>
        <v xml:space="preserve"> </v>
      </c>
    </row>
    <row r="502" spans="1:12" x14ac:dyDescent="0.25">
      <c r="A502" s="19"/>
      <c r="C502" s="10" t="str" cm="1">
        <f t="array" ref="C502">IFERROR(_FV(FundManager[[#This Row],[Name]],"Ticker symbol",TRUE)," ")</f>
        <v xml:space="preserve"> </v>
      </c>
      <c r="E502" s="13"/>
      <c r="F502" s="13"/>
      <c r="G502" s="10" t="str">
        <f t="shared" si="16"/>
        <v xml:space="preserve"> </v>
      </c>
      <c r="H502" s="13"/>
      <c r="I502" s="24"/>
      <c r="J502" s="13">
        <f>IFERROR(FundManager[[#This Row],[Current Value]]-FundManager[[#This Row],[Amount Invested]]," ")</f>
        <v>0</v>
      </c>
      <c r="K502" s="14" t="str">
        <f t="shared" si="17"/>
        <v xml:space="preserve"> </v>
      </c>
      <c r="L502" s="15" t="str" cm="1">
        <f t="array" ref="L502">IFERROR(ROUND(_FV(B502,"Change (%)",TRUE),3) &amp; "%"," ")</f>
        <v xml:space="preserve"> </v>
      </c>
    </row>
    <row r="503" spans="1:12" x14ac:dyDescent="0.25">
      <c r="A503" s="19"/>
      <c r="C503" s="10" t="str" cm="1">
        <f t="array" ref="C503">IFERROR(_FV(FundManager[[#This Row],[Name]],"Ticker symbol",TRUE)," ")</f>
        <v xml:space="preserve"> </v>
      </c>
      <c r="E503" s="13"/>
      <c r="F503" s="13"/>
      <c r="G503" s="10" t="str">
        <f t="shared" si="16"/>
        <v xml:space="preserve"> </v>
      </c>
      <c r="H503" s="13"/>
      <c r="I503" s="24"/>
      <c r="J503" s="13">
        <f>IFERROR(FundManager[[#This Row],[Current Value]]-FundManager[[#This Row],[Amount Invested]]," ")</f>
        <v>0</v>
      </c>
      <c r="K503" s="14" t="str">
        <f t="shared" si="17"/>
        <v xml:space="preserve"> </v>
      </c>
      <c r="L503" s="15" t="str" cm="1">
        <f t="array" ref="L503">IFERROR(ROUND(_FV(B503,"Change (%)",TRUE),3) &amp; "%"," ")</f>
        <v xml:space="preserve"> </v>
      </c>
    </row>
    <row r="504" spans="1:12" x14ac:dyDescent="0.25">
      <c r="A504" s="19"/>
      <c r="C504" s="10" t="str" cm="1">
        <f t="array" ref="C504">IFERROR(_FV(FundManager[[#This Row],[Name]],"Ticker symbol",TRUE)," ")</f>
        <v xml:space="preserve"> </v>
      </c>
      <c r="E504" s="13"/>
      <c r="F504" s="13"/>
      <c r="G504" s="10" t="str">
        <f t="shared" si="16"/>
        <v xml:space="preserve"> </v>
      </c>
      <c r="H504" s="13"/>
      <c r="I504" s="24"/>
      <c r="J504" s="13">
        <f>IFERROR(FundManager[[#This Row],[Current Value]]-FundManager[[#This Row],[Amount Invested]]," ")</f>
        <v>0</v>
      </c>
      <c r="K504" s="14" t="str">
        <f t="shared" si="17"/>
        <v xml:space="preserve"> </v>
      </c>
      <c r="L504" s="15" t="str" cm="1">
        <f t="array" ref="L504">IFERROR(ROUND(_FV(B504,"Change (%)",TRUE),3) &amp; "%"," ")</f>
        <v xml:space="preserve"> </v>
      </c>
    </row>
    <row r="505" spans="1:12" x14ac:dyDescent="0.25">
      <c r="A505" s="19"/>
      <c r="C505" s="10" t="str" cm="1">
        <f t="array" ref="C505">IFERROR(_FV(FundManager[[#This Row],[Name]],"Ticker symbol",TRUE)," ")</f>
        <v xml:space="preserve"> </v>
      </c>
      <c r="E505" s="13"/>
      <c r="F505" s="13"/>
      <c r="G505" s="10" t="str">
        <f t="shared" si="16"/>
        <v xml:space="preserve"> </v>
      </c>
      <c r="H505" s="13"/>
      <c r="I505" s="24"/>
      <c r="J505" s="13">
        <f>IFERROR(FundManager[[#This Row],[Current Value]]-FundManager[[#This Row],[Amount Invested]]," ")</f>
        <v>0</v>
      </c>
      <c r="K505" s="14" t="str">
        <f t="shared" si="17"/>
        <v xml:space="preserve"> </v>
      </c>
      <c r="L505" s="15" t="str" cm="1">
        <f t="array" ref="L505">IFERROR(ROUND(_FV(B505,"Change (%)",TRUE),3) &amp; "%"," ")</f>
        <v xml:space="preserve"> </v>
      </c>
    </row>
    <row r="506" spans="1:12" x14ac:dyDescent="0.25">
      <c r="A506" s="19"/>
      <c r="C506" s="10" t="str" cm="1">
        <f t="array" ref="C506">IFERROR(_FV(FundManager[[#This Row],[Name]],"Ticker symbol",TRUE)," ")</f>
        <v xml:space="preserve"> </v>
      </c>
      <c r="E506" s="13"/>
      <c r="F506" s="13"/>
      <c r="G506" s="10" t="str">
        <f t="shared" si="16"/>
        <v xml:space="preserve"> </v>
      </c>
      <c r="H506" s="13"/>
      <c r="I506" s="24"/>
      <c r="J506" s="13">
        <f>IFERROR(FundManager[[#This Row],[Current Value]]-FundManager[[#This Row],[Amount Invested]]," ")</f>
        <v>0</v>
      </c>
      <c r="K506" s="14" t="str">
        <f t="shared" si="17"/>
        <v xml:space="preserve"> </v>
      </c>
      <c r="L506" s="15" t="str" cm="1">
        <f t="array" ref="L506">IFERROR(ROUND(_FV(B506,"Change (%)",TRUE),3) &amp; "%"," ")</f>
        <v xml:space="preserve"> </v>
      </c>
    </row>
    <row r="507" spans="1:12" x14ac:dyDescent="0.25">
      <c r="A507" s="19"/>
      <c r="C507" s="10" t="str" cm="1">
        <f t="array" ref="C507">IFERROR(_FV(FundManager[[#This Row],[Name]],"Ticker symbol",TRUE)," ")</f>
        <v xml:space="preserve"> </v>
      </c>
      <c r="E507" s="13"/>
      <c r="F507" s="13"/>
      <c r="G507" s="10" t="str">
        <f t="shared" si="16"/>
        <v xml:space="preserve"> </v>
      </c>
      <c r="H507" s="13"/>
      <c r="I507" s="24"/>
      <c r="J507" s="13">
        <f>IFERROR(FundManager[[#This Row],[Current Value]]-FundManager[[#This Row],[Amount Invested]]," ")</f>
        <v>0</v>
      </c>
      <c r="K507" s="14" t="str">
        <f t="shared" si="17"/>
        <v xml:space="preserve"> </v>
      </c>
      <c r="L507" s="15" t="str" cm="1">
        <f t="array" ref="L507">IFERROR(ROUND(_FV(B507,"Change (%)",TRUE),3) &amp; "%"," ")</f>
        <v xml:space="preserve"> </v>
      </c>
    </row>
    <row r="508" spans="1:12" x14ac:dyDescent="0.25">
      <c r="A508" s="19"/>
      <c r="C508" s="10" t="str" cm="1">
        <f t="array" ref="C508">IFERROR(_FV(FundManager[[#This Row],[Name]],"Ticker symbol",TRUE)," ")</f>
        <v xml:space="preserve"> </v>
      </c>
      <c r="E508" s="13"/>
      <c r="F508" s="13"/>
      <c r="G508" s="10" t="str">
        <f t="shared" si="16"/>
        <v xml:space="preserve"> </v>
      </c>
      <c r="H508" s="13"/>
      <c r="I508" s="24"/>
      <c r="J508" s="13">
        <f>IFERROR(FundManager[[#This Row],[Current Value]]-FundManager[[#This Row],[Amount Invested]]," ")</f>
        <v>0</v>
      </c>
      <c r="K508" s="14" t="str">
        <f t="shared" si="17"/>
        <v xml:space="preserve"> </v>
      </c>
      <c r="L508" s="15" t="str" cm="1">
        <f t="array" ref="L508">IFERROR(ROUND(_FV(B508,"Change (%)",TRUE),3) &amp; "%"," ")</f>
        <v xml:space="preserve"> </v>
      </c>
    </row>
    <row r="509" spans="1:12" x14ac:dyDescent="0.25">
      <c r="A509" s="19"/>
      <c r="C509" s="10" t="str" cm="1">
        <f t="array" ref="C509">IFERROR(_FV(FundManager[[#This Row],[Name]],"Ticker symbol",TRUE)," ")</f>
        <v xml:space="preserve"> </v>
      </c>
      <c r="E509" s="13"/>
      <c r="F509" s="13"/>
      <c r="G509" s="10" t="str">
        <f t="shared" si="16"/>
        <v xml:space="preserve"> </v>
      </c>
      <c r="H509" s="13"/>
      <c r="I509" s="24"/>
      <c r="J509" s="13">
        <f>IFERROR(FundManager[[#This Row],[Current Value]]-FundManager[[#This Row],[Amount Invested]]," ")</f>
        <v>0</v>
      </c>
      <c r="K509" s="14" t="str">
        <f t="shared" si="17"/>
        <v xml:space="preserve"> </v>
      </c>
      <c r="L509" s="15" t="str" cm="1">
        <f t="array" ref="L509">IFERROR(ROUND(_FV(B509,"Change (%)",TRUE),3) &amp; "%"," ")</f>
        <v xml:space="preserve"> </v>
      </c>
    </row>
    <row r="510" spans="1:12" x14ac:dyDescent="0.25">
      <c r="A510" s="19"/>
      <c r="C510" s="10" t="str" cm="1">
        <f t="array" ref="C510">IFERROR(_FV(FundManager[[#This Row],[Name]],"Ticker symbol",TRUE)," ")</f>
        <v xml:space="preserve"> </v>
      </c>
      <c r="E510" s="13"/>
      <c r="F510" s="13"/>
      <c r="G510" s="10" t="str">
        <f t="shared" si="16"/>
        <v xml:space="preserve"> </v>
      </c>
      <c r="H510" s="13"/>
      <c r="I510" s="24"/>
      <c r="J510" s="13">
        <f>IFERROR(FundManager[[#This Row],[Current Value]]-FundManager[[#This Row],[Amount Invested]]," ")</f>
        <v>0</v>
      </c>
      <c r="K510" s="14" t="str">
        <f t="shared" si="17"/>
        <v xml:space="preserve"> </v>
      </c>
      <c r="L510" s="15" t="str" cm="1">
        <f t="array" ref="L510">IFERROR(ROUND(_FV(B510,"Change (%)",TRUE),3) &amp; "%"," ")</f>
        <v xml:space="preserve"> </v>
      </c>
    </row>
    <row r="511" spans="1:12" x14ac:dyDescent="0.25">
      <c r="A511" s="19"/>
      <c r="C511" s="10" t="str" cm="1">
        <f t="array" ref="C511">IFERROR(_FV(FundManager[[#This Row],[Name]],"Ticker symbol",TRUE)," ")</f>
        <v xml:space="preserve"> </v>
      </c>
      <c r="E511" s="13"/>
      <c r="F511" s="13"/>
      <c r="G511" s="10" t="str">
        <f t="shared" si="16"/>
        <v xml:space="preserve"> </v>
      </c>
      <c r="H511" s="13"/>
      <c r="I511" s="24"/>
      <c r="J511" s="13">
        <f>IFERROR(FundManager[[#This Row],[Current Value]]-FundManager[[#This Row],[Amount Invested]]," ")</f>
        <v>0</v>
      </c>
      <c r="K511" s="14" t="str">
        <f t="shared" si="17"/>
        <v xml:space="preserve"> </v>
      </c>
      <c r="L511" s="15" t="str" cm="1">
        <f t="array" ref="L511">IFERROR(ROUND(_FV(B511,"Change (%)",TRUE),3) &amp; "%"," ")</f>
        <v xml:space="preserve"> </v>
      </c>
    </row>
    <row r="512" spans="1:12" x14ac:dyDescent="0.25">
      <c r="A512" s="19"/>
      <c r="C512" s="10" t="str" cm="1">
        <f t="array" ref="C512">IFERROR(_FV(FundManager[[#This Row],[Name]],"Ticker symbol",TRUE)," ")</f>
        <v xml:space="preserve"> </v>
      </c>
      <c r="E512" s="13"/>
      <c r="F512" s="13"/>
      <c r="G512" s="10" t="str">
        <f t="shared" si="16"/>
        <v xml:space="preserve"> </v>
      </c>
      <c r="H512" s="13"/>
      <c r="I512" s="24"/>
      <c r="J512" s="13">
        <f>IFERROR(FundManager[[#This Row],[Current Value]]-FundManager[[#This Row],[Amount Invested]]," ")</f>
        <v>0</v>
      </c>
      <c r="K512" s="14" t="str">
        <f t="shared" si="17"/>
        <v xml:space="preserve"> </v>
      </c>
      <c r="L512" s="15" t="str" cm="1">
        <f t="array" ref="L512">IFERROR(ROUND(_FV(B512,"Change (%)",TRUE),3) &amp; "%"," ")</f>
        <v xml:space="preserve"> </v>
      </c>
    </row>
    <row r="513" spans="1:12" x14ac:dyDescent="0.25">
      <c r="A513" s="19"/>
      <c r="C513" s="10" t="str" cm="1">
        <f t="array" ref="C513">IFERROR(_FV(FundManager[[#This Row],[Name]],"Ticker symbol",TRUE)," ")</f>
        <v xml:space="preserve"> </v>
      </c>
      <c r="E513" s="13"/>
      <c r="F513" s="13"/>
      <c r="G513" s="10" t="str">
        <f t="shared" si="16"/>
        <v xml:space="preserve"> </v>
      </c>
      <c r="H513" s="13"/>
      <c r="I513" s="24"/>
      <c r="J513" s="13">
        <f>IFERROR(FundManager[[#This Row],[Current Value]]-FundManager[[#This Row],[Amount Invested]]," ")</f>
        <v>0</v>
      </c>
      <c r="K513" s="14" t="str">
        <f t="shared" si="17"/>
        <v xml:space="preserve"> </v>
      </c>
      <c r="L513" s="15" t="str" cm="1">
        <f t="array" ref="L513">IFERROR(ROUND(_FV(B513,"Change (%)",TRUE),3) &amp; "%"," ")</f>
        <v xml:space="preserve"> </v>
      </c>
    </row>
    <row r="514" spans="1:12" x14ac:dyDescent="0.25">
      <c r="A514" s="19"/>
      <c r="C514" s="10" t="str" cm="1">
        <f t="array" ref="C514">IFERROR(_FV(FundManager[[#This Row],[Name]],"Ticker symbol",TRUE)," ")</f>
        <v xml:space="preserve"> </v>
      </c>
      <c r="E514" s="13"/>
      <c r="F514" s="13"/>
      <c r="G514" s="10" t="str">
        <f t="shared" si="16"/>
        <v xml:space="preserve"> </v>
      </c>
      <c r="H514" s="13"/>
      <c r="I514" s="24"/>
      <c r="J514" s="13">
        <f>IFERROR(FundManager[[#This Row],[Current Value]]-FundManager[[#This Row],[Amount Invested]]," ")</f>
        <v>0</v>
      </c>
      <c r="K514" s="14" t="str">
        <f t="shared" si="17"/>
        <v xml:space="preserve"> </v>
      </c>
      <c r="L514" s="15" t="str" cm="1">
        <f t="array" ref="L514">IFERROR(ROUND(_FV(B514,"Change (%)",TRUE),3) &amp; "%"," ")</f>
        <v xml:space="preserve"> </v>
      </c>
    </row>
    <row r="515" spans="1:12" x14ac:dyDescent="0.25">
      <c r="A515" s="19"/>
      <c r="C515" s="10" t="str" cm="1">
        <f t="array" ref="C515">IFERROR(_FV(FundManager[[#This Row],[Name]],"Ticker symbol",TRUE)," ")</f>
        <v xml:space="preserve"> </v>
      </c>
      <c r="E515" s="13"/>
      <c r="F515" s="13"/>
      <c r="G515" s="10" t="str">
        <f t="shared" si="16"/>
        <v xml:space="preserve"> </v>
      </c>
      <c r="H515" s="13"/>
      <c r="I515" s="24"/>
      <c r="J515" s="13">
        <f>IFERROR(FundManager[[#This Row],[Current Value]]-FundManager[[#This Row],[Amount Invested]]," ")</f>
        <v>0</v>
      </c>
      <c r="K515" s="14" t="str">
        <f t="shared" si="17"/>
        <v xml:space="preserve"> </v>
      </c>
      <c r="L515" s="15" t="str" cm="1">
        <f t="array" ref="L515">IFERROR(ROUND(_FV(B515,"Change (%)",TRUE),3) &amp; "%"," ")</f>
        <v xml:space="preserve"> </v>
      </c>
    </row>
    <row r="516" spans="1:12" x14ac:dyDescent="0.25">
      <c r="A516" s="19"/>
      <c r="C516" s="10" t="str" cm="1">
        <f t="array" ref="C516">IFERROR(_FV(FundManager[[#This Row],[Name]],"Ticker symbol",TRUE)," ")</f>
        <v xml:space="preserve"> </v>
      </c>
      <c r="E516" s="13"/>
      <c r="F516" s="13"/>
      <c r="G516" s="10" t="str">
        <f t="shared" si="16"/>
        <v xml:space="preserve"> </v>
      </c>
      <c r="H516" s="13"/>
      <c r="I516" s="24"/>
      <c r="J516" s="13">
        <f>IFERROR(FundManager[[#This Row],[Current Value]]-FundManager[[#This Row],[Amount Invested]]," ")</f>
        <v>0</v>
      </c>
      <c r="K516" s="14" t="str">
        <f t="shared" si="17"/>
        <v xml:space="preserve"> </v>
      </c>
      <c r="L516" s="15" t="str" cm="1">
        <f t="array" ref="L516">IFERROR(ROUND(_FV(B516,"Change (%)",TRUE),3) &amp; "%"," ")</f>
        <v xml:space="preserve"> </v>
      </c>
    </row>
    <row r="517" spans="1:12" x14ac:dyDescent="0.25">
      <c r="A517" s="19"/>
      <c r="C517" s="10" t="str" cm="1">
        <f t="array" ref="C517">IFERROR(_FV(FundManager[[#This Row],[Name]],"Ticker symbol",TRUE)," ")</f>
        <v xml:space="preserve"> </v>
      </c>
      <c r="E517" s="13"/>
      <c r="F517" s="13"/>
      <c r="G517" s="10" t="str">
        <f t="shared" si="16"/>
        <v xml:space="preserve"> </v>
      </c>
      <c r="H517" s="13"/>
      <c r="I517" s="24"/>
      <c r="J517" s="13">
        <f>IFERROR(FundManager[[#This Row],[Current Value]]-FundManager[[#This Row],[Amount Invested]]," ")</f>
        <v>0</v>
      </c>
      <c r="K517" s="14" t="str">
        <f t="shared" si="17"/>
        <v xml:space="preserve"> </v>
      </c>
      <c r="L517" s="15" t="str" cm="1">
        <f t="array" ref="L517">IFERROR(ROUND(_FV(B517,"Change (%)",TRUE),3) &amp; "%"," ")</f>
        <v xml:space="preserve"> </v>
      </c>
    </row>
    <row r="518" spans="1:12" x14ac:dyDescent="0.25">
      <c r="A518" s="19"/>
      <c r="C518" s="10" t="str" cm="1">
        <f t="array" ref="C518">IFERROR(_FV(FundManager[[#This Row],[Name]],"Ticker symbol",TRUE)," ")</f>
        <v xml:space="preserve"> </v>
      </c>
      <c r="E518" s="13"/>
      <c r="F518" s="13"/>
      <c r="G518" s="10" t="str">
        <f t="shared" si="16"/>
        <v xml:space="preserve"> </v>
      </c>
      <c r="H518" s="13"/>
      <c r="I518" s="24"/>
      <c r="J518" s="13">
        <f>IFERROR(FundManager[[#This Row],[Current Value]]-FundManager[[#This Row],[Amount Invested]]," ")</f>
        <v>0</v>
      </c>
      <c r="K518" s="14" t="str">
        <f t="shared" si="17"/>
        <v xml:space="preserve"> </v>
      </c>
      <c r="L518" s="15" t="str" cm="1">
        <f t="array" ref="L518">IFERROR(ROUND(_FV(B518,"Change (%)",TRUE),3) &amp; "%"," ")</f>
        <v xml:space="preserve"> </v>
      </c>
    </row>
    <row r="519" spans="1:12" x14ac:dyDescent="0.25">
      <c r="A519" s="19"/>
      <c r="C519" s="10" t="str" cm="1">
        <f t="array" ref="C519">IFERROR(_FV(FundManager[[#This Row],[Name]],"Ticker symbol",TRUE)," ")</f>
        <v xml:space="preserve"> </v>
      </c>
      <c r="E519" s="13"/>
      <c r="F519" s="13"/>
      <c r="G519" s="10" t="str">
        <f t="shared" si="16"/>
        <v xml:space="preserve"> </v>
      </c>
      <c r="H519" s="13"/>
      <c r="I519" s="24"/>
      <c r="J519" s="13">
        <f>IFERROR(FundManager[[#This Row],[Current Value]]-FundManager[[#This Row],[Amount Invested]]," ")</f>
        <v>0</v>
      </c>
      <c r="K519" s="14" t="str">
        <f t="shared" si="17"/>
        <v xml:space="preserve"> </v>
      </c>
      <c r="L519" s="15" t="str" cm="1">
        <f t="array" ref="L519">IFERROR(ROUND(_FV(B519,"Change (%)",TRUE),3) &amp; "%"," ")</f>
        <v xml:space="preserve"> </v>
      </c>
    </row>
    <row r="520" spans="1:12" x14ac:dyDescent="0.25">
      <c r="A520" s="19"/>
      <c r="C520" s="10" t="str" cm="1">
        <f t="array" ref="C520">IFERROR(_FV(FundManager[[#This Row],[Name]],"Ticker symbol",TRUE)," ")</f>
        <v xml:space="preserve"> </v>
      </c>
      <c r="E520" s="13"/>
      <c r="F520" s="13"/>
      <c r="G520" s="10" t="str">
        <f t="shared" si="16"/>
        <v xml:space="preserve"> </v>
      </c>
      <c r="H520" s="13"/>
      <c r="I520" s="24"/>
      <c r="J520" s="13">
        <f>IFERROR(FundManager[[#This Row],[Current Value]]-FundManager[[#This Row],[Amount Invested]]," ")</f>
        <v>0</v>
      </c>
      <c r="K520" s="14" t="str">
        <f t="shared" si="17"/>
        <v xml:space="preserve"> </v>
      </c>
      <c r="L520" s="15" t="str" cm="1">
        <f t="array" ref="L520">IFERROR(ROUND(_FV(B520,"Change (%)",TRUE),3) &amp; "%"," ")</f>
        <v xml:space="preserve"> </v>
      </c>
    </row>
    <row r="521" spans="1:12" x14ac:dyDescent="0.25">
      <c r="A521" s="19"/>
      <c r="C521" s="10" t="str" cm="1">
        <f t="array" ref="C521">IFERROR(_FV(FundManager[[#This Row],[Name]],"Ticker symbol",TRUE)," ")</f>
        <v xml:space="preserve"> </v>
      </c>
      <c r="E521" s="13"/>
      <c r="F521" s="13"/>
      <c r="G521" s="10" t="str">
        <f t="shared" si="16"/>
        <v xml:space="preserve"> </v>
      </c>
      <c r="H521" s="13"/>
      <c r="I521" s="24"/>
      <c r="J521" s="13">
        <f>IFERROR(FundManager[[#This Row],[Current Value]]-FundManager[[#This Row],[Amount Invested]]," ")</f>
        <v>0</v>
      </c>
      <c r="K521" s="14" t="str">
        <f t="shared" si="17"/>
        <v xml:space="preserve"> </v>
      </c>
      <c r="L521" s="15" t="str" cm="1">
        <f t="array" ref="L521">IFERROR(ROUND(_FV(B521,"Change (%)",TRUE),3) &amp; "%"," ")</f>
        <v xml:space="preserve"> </v>
      </c>
    </row>
    <row r="522" spans="1:12" x14ac:dyDescent="0.25">
      <c r="A522" s="19"/>
      <c r="C522" s="10" t="str" cm="1">
        <f t="array" ref="C522">IFERROR(_FV(FundManager[[#This Row],[Name]],"Ticker symbol",TRUE)," ")</f>
        <v xml:space="preserve"> </v>
      </c>
      <c r="E522" s="13"/>
      <c r="F522" s="13"/>
      <c r="G522" s="10" t="str">
        <f t="shared" si="16"/>
        <v xml:space="preserve"> </v>
      </c>
      <c r="H522" s="13"/>
      <c r="I522" s="24"/>
      <c r="J522" s="13">
        <f>IFERROR(FundManager[[#This Row],[Current Value]]-FundManager[[#This Row],[Amount Invested]]," ")</f>
        <v>0</v>
      </c>
      <c r="K522" s="14" t="str">
        <f t="shared" si="17"/>
        <v xml:space="preserve"> </v>
      </c>
      <c r="L522" s="15" t="str" cm="1">
        <f t="array" ref="L522">IFERROR(ROUND(_FV(B522,"Change (%)",TRUE),3) &amp; "%"," ")</f>
        <v xml:space="preserve"> </v>
      </c>
    </row>
    <row r="523" spans="1:12" x14ac:dyDescent="0.25">
      <c r="A523" s="19"/>
      <c r="C523" s="10" t="str" cm="1">
        <f t="array" ref="C523">IFERROR(_FV(FundManager[[#This Row],[Name]],"Ticker symbol",TRUE)," ")</f>
        <v xml:space="preserve"> </v>
      </c>
      <c r="E523" s="13"/>
      <c r="F523" s="13"/>
      <c r="G523" s="10" t="str">
        <f t="shared" si="16"/>
        <v xml:space="preserve"> </v>
      </c>
      <c r="H523" s="13"/>
      <c r="I523" s="24"/>
      <c r="J523" s="13">
        <f>IFERROR(FundManager[[#This Row],[Current Value]]-FundManager[[#This Row],[Amount Invested]]," ")</f>
        <v>0</v>
      </c>
      <c r="K523" s="14" t="str">
        <f t="shared" si="17"/>
        <v xml:space="preserve"> </v>
      </c>
      <c r="L523" s="15" t="str" cm="1">
        <f t="array" ref="L523">IFERROR(ROUND(_FV(B523,"Change (%)",TRUE),3) &amp; "%"," ")</f>
        <v xml:space="preserve"> </v>
      </c>
    </row>
    <row r="524" spans="1:12" x14ac:dyDescent="0.25">
      <c r="A524" s="19"/>
      <c r="C524" s="10" t="str" cm="1">
        <f t="array" ref="C524">IFERROR(_FV(FundManager[[#This Row],[Name]],"Ticker symbol",TRUE)," ")</f>
        <v xml:space="preserve"> </v>
      </c>
      <c r="E524" s="13"/>
      <c r="F524" s="13"/>
      <c r="G524" s="10" t="str">
        <f t="shared" si="16"/>
        <v xml:space="preserve"> </v>
      </c>
      <c r="H524" s="13"/>
      <c r="I524" s="24"/>
      <c r="J524" s="13">
        <f>IFERROR(FundManager[[#This Row],[Current Value]]-FundManager[[#This Row],[Amount Invested]]," ")</f>
        <v>0</v>
      </c>
      <c r="K524" s="14" t="str">
        <f t="shared" si="17"/>
        <v xml:space="preserve"> </v>
      </c>
      <c r="L524" s="15" t="str" cm="1">
        <f t="array" ref="L524">IFERROR(ROUND(_FV(B524,"Change (%)",TRUE),3) &amp; "%"," ")</f>
        <v xml:space="preserve"> </v>
      </c>
    </row>
    <row r="525" spans="1:12" x14ac:dyDescent="0.25">
      <c r="A525" s="19"/>
      <c r="C525" s="10" t="str" cm="1">
        <f t="array" ref="C525">IFERROR(_FV(FundManager[[#This Row],[Name]],"Ticker symbol",TRUE)," ")</f>
        <v xml:space="preserve"> </v>
      </c>
      <c r="E525" s="13"/>
      <c r="F525" s="13"/>
      <c r="G525" s="10" t="str">
        <f t="shared" si="16"/>
        <v xml:space="preserve"> </v>
      </c>
      <c r="H525" s="13"/>
      <c r="I525" s="24"/>
      <c r="J525" s="13">
        <f>IFERROR(FundManager[[#This Row],[Current Value]]-FundManager[[#This Row],[Amount Invested]]," ")</f>
        <v>0</v>
      </c>
      <c r="K525" s="14" t="str">
        <f t="shared" si="17"/>
        <v xml:space="preserve"> </v>
      </c>
      <c r="L525" s="15" t="str" cm="1">
        <f t="array" ref="L525">IFERROR(ROUND(_FV(B525,"Change (%)",TRUE),3) &amp; "%"," ")</f>
        <v xml:space="preserve"> </v>
      </c>
    </row>
    <row r="526" spans="1:12" x14ac:dyDescent="0.25">
      <c r="A526" s="19"/>
      <c r="C526" s="10" t="str" cm="1">
        <f t="array" ref="C526">IFERROR(_FV(FundManager[[#This Row],[Name]],"Ticker symbol",TRUE)," ")</f>
        <v xml:space="preserve"> </v>
      </c>
      <c r="E526" s="13"/>
      <c r="F526" s="13"/>
      <c r="G526" s="10" t="str">
        <f t="shared" si="16"/>
        <v xml:space="preserve"> </v>
      </c>
      <c r="H526" s="13"/>
      <c r="I526" s="24"/>
      <c r="J526" s="13">
        <f>IFERROR(FundManager[[#This Row],[Current Value]]-FundManager[[#This Row],[Amount Invested]]," ")</f>
        <v>0</v>
      </c>
      <c r="K526" s="14" t="str">
        <f t="shared" si="17"/>
        <v xml:space="preserve"> </v>
      </c>
      <c r="L526" s="15" t="str" cm="1">
        <f t="array" ref="L526">IFERROR(ROUND(_FV(B526,"Change (%)",TRUE),3) &amp; "%"," ")</f>
        <v xml:space="preserve"> </v>
      </c>
    </row>
    <row r="527" spans="1:12" x14ac:dyDescent="0.25">
      <c r="A527" s="19"/>
      <c r="C527" s="10" t="str" cm="1">
        <f t="array" ref="C527">IFERROR(_FV(FundManager[[#This Row],[Name]],"Ticker symbol",TRUE)," ")</f>
        <v xml:space="preserve"> </v>
      </c>
      <c r="E527" s="13"/>
      <c r="F527" s="13"/>
      <c r="G527" s="10" t="str">
        <f t="shared" si="16"/>
        <v xml:space="preserve"> </v>
      </c>
      <c r="H527" s="13"/>
      <c r="I527" s="24"/>
      <c r="J527" s="13">
        <f>IFERROR(FundManager[[#This Row],[Current Value]]-FundManager[[#This Row],[Amount Invested]]," ")</f>
        <v>0</v>
      </c>
      <c r="K527" s="14" t="str">
        <f t="shared" si="17"/>
        <v xml:space="preserve"> </v>
      </c>
      <c r="L527" s="15" t="str" cm="1">
        <f t="array" ref="L527">IFERROR(ROUND(_FV(B527,"Change (%)",TRUE),3) &amp; "%"," ")</f>
        <v xml:space="preserve"> </v>
      </c>
    </row>
    <row r="528" spans="1:12" x14ac:dyDescent="0.25">
      <c r="A528" s="19"/>
      <c r="C528" s="10" t="str" cm="1">
        <f t="array" ref="C528">IFERROR(_FV(FundManager[[#This Row],[Name]],"Ticker symbol",TRUE)," ")</f>
        <v xml:space="preserve"> </v>
      </c>
      <c r="E528" s="13"/>
      <c r="F528" s="13"/>
      <c r="G528" s="10" t="str">
        <f t="shared" si="16"/>
        <v xml:space="preserve"> </v>
      </c>
      <c r="H528" s="13"/>
      <c r="I528" s="24"/>
      <c r="J528" s="13">
        <f>IFERROR(FundManager[[#This Row],[Current Value]]-FundManager[[#This Row],[Amount Invested]]," ")</f>
        <v>0</v>
      </c>
      <c r="K528" s="14" t="str">
        <f t="shared" si="17"/>
        <v xml:space="preserve"> </v>
      </c>
      <c r="L528" s="15" t="str" cm="1">
        <f t="array" ref="L528">IFERROR(ROUND(_FV(B528,"Change (%)",TRUE),3) &amp; "%"," ")</f>
        <v xml:space="preserve"> </v>
      </c>
    </row>
    <row r="529" spans="1:12" x14ac:dyDescent="0.25">
      <c r="A529" s="19"/>
      <c r="C529" s="10" t="str" cm="1">
        <f t="array" ref="C529">IFERROR(_FV(FundManager[[#This Row],[Name]],"Ticker symbol",TRUE)," ")</f>
        <v xml:space="preserve"> </v>
      </c>
      <c r="E529" s="13"/>
      <c r="F529" s="13"/>
      <c r="G529" s="10" t="str">
        <f t="shared" si="16"/>
        <v xml:space="preserve"> </v>
      </c>
      <c r="H529" s="13"/>
      <c r="I529" s="24"/>
      <c r="J529" s="13">
        <f>IFERROR(FundManager[[#This Row],[Current Value]]-FundManager[[#This Row],[Amount Invested]]," ")</f>
        <v>0</v>
      </c>
      <c r="K529" s="14" t="str">
        <f t="shared" si="17"/>
        <v xml:space="preserve"> </v>
      </c>
      <c r="L529" s="15" t="str" cm="1">
        <f t="array" ref="L529">IFERROR(ROUND(_FV(B529,"Change (%)",TRUE),3) &amp; "%"," ")</f>
        <v xml:space="preserve"> </v>
      </c>
    </row>
    <row r="530" spans="1:12" x14ac:dyDescent="0.25">
      <c r="A530" s="19"/>
      <c r="C530" s="10" t="str" cm="1">
        <f t="array" ref="C530">IFERROR(_FV(FundManager[[#This Row],[Name]],"Ticker symbol",TRUE)," ")</f>
        <v xml:space="preserve"> </v>
      </c>
      <c r="E530" s="13"/>
      <c r="F530" s="13"/>
      <c r="G530" s="10" t="str">
        <f t="shared" si="16"/>
        <v xml:space="preserve"> </v>
      </c>
      <c r="H530" s="13"/>
      <c r="I530" s="24"/>
      <c r="J530" s="13">
        <f>IFERROR(FundManager[[#This Row],[Current Value]]-FundManager[[#This Row],[Amount Invested]]," ")</f>
        <v>0</v>
      </c>
      <c r="K530" s="14" t="str">
        <f t="shared" si="17"/>
        <v xml:space="preserve"> </v>
      </c>
      <c r="L530" s="15" t="str" cm="1">
        <f t="array" ref="L530">IFERROR(ROUND(_FV(B530,"Change (%)",TRUE),3) &amp; "%"," ")</f>
        <v xml:space="preserve"> </v>
      </c>
    </row>
    <row r="531" spans="1:12" x14ac:dyDescent="0.25">
      <c r="A531" s="19"/>
      <c r="C531" s="10" t="str" cm="1">
        <f t="array" ref="C531">IFERROR(_FV(FundManager[[#This Row],[Name]],"Ticker symbol",TRUE)," ")</f>
        <v xml:space="preserve"> </v>
      </c>
      <c r="E531" s="13"/>
      <c r="F531" s="13"/>
      <c r="G531" s="10" t="str">
        <f t="shared" si="16"/>
        <v xml:space="preserve"> </v>
      </c>
      <c r="H531" s="13"/>
      <c r="I531" s="24"/>
      <c r="J531" s="13">
        <f>IFERROR(FundManager[[#This Row],[Current Value]]-FundManager[[#This Row],[Amount Invested]]," ")</f>
        <v>0</v>
      </c>
      <c r="K531" s="14" t="str">
        <f t="shared" si="17"/>
        <v xml:space="preserve"> </v>
      </c>
      <c r="L531" s="15" t="str" cm="1">
        <f t="array" ref="L531">IFERROR(ROUND(_FV(B531,"Change (%)",TRUE),3) &amp; "%"," ")</f>
        <v xml:space="preserve"> </v>
      </c>
    </row>
    <row r="532" spans="1:12" x14ac:dyDescent="0.25">
      <c r="A532" s="19"/>
      <c r="C532" s="10" t="str" cm="1">
        <f t="array" ref="C532">IFERROR(_FV(FundManager[[#This Row],[Name]],"Ticker symbol",TRUE)," ")</f>
        <v xml:space="preserve"> </v>
      </c>
      <c r="E532" s="13"/>
      <c r="F532" s="13"/>
      <c r="G532" s="10" t="str">
        <f t="shared" si="16"/>
        <v xml:space="preserve"> </v>
      </c>
      <c r="H532" s="13"/>
      <c r="I532" s="24"/>
      <c r="J532" s="13">
        <f>IFERROR(FundManager[[#This Row],[Current Value]]-FundManager[[#This Row],[Amount Invested]]," ")</f>
        <v>0</v>
      </c>
      <c r="K532" s="14" t="str">
        <f t="shared" si="17"/>
        <v xml:space="preserve"> </v>
      </c>
      <c r="L532" s="15" t="str" cm="1">
        <f t="array" ref="L532">IFERROR(ROUND(_FV(B532,"Change (%)",TRUE),3) &amp; "%"," ")</f>
        <v xml:space="preserve"> </v>
      </c>
    </row>
    <row r="533" spans="1:12" x14ac:dyDescent="0.25">
      <c r="A533" s="19"/>
      <c r="C533" s="10" t="str" cm="1">
        <f t="array" ref="C533">IFERROR(_FV(FundManager[[#This Row],[Name]],"Ticker symbol",TRUE)," ")</f>
        <v xml:space="preserve"> </v>
      </c>
      <c r="E533" s="13"/>
      <c r="F533" s="13"/>
      <c r="G533" s="10" t="str">
        <f t="shared" si="16"/>
        <v xml:space="preserve"> </v>
      </c>
      <c r="H533" s="13"/>
      <c r="I533" s="24"/>
      <c r="J533" s="13">
        <f>IFERROR(FundManager[[#This Row],[Current Value]]-FundManager[[#This Row],[Amount Invested]]," ")</f>
        <v>0</v>
      </c>
      <c r="K533" s="14" t="str">
        <f t="shared" si="17"/>
        <v xml:space="preserve"> </v>
      </c>
      <c r="L533" s="15" t="str" cm="1">
        <f t="array" ref="L533">IFERROR(ROUND(_FV(B533,"Change (%)",TRUE),3) &amp; "%"," ")</f>
        <v xml:space="preserve"> </v>
      </c>
    </row>
    <row r="534" spans="1:12" x14ac:dyDescent="0.25">
      <c r="A534" s="19"/>
      <c r="C534" s="10" t="str" cm="1">
        <f t="array" ref="C534">IFERROR(_FV(FundManager[[#This Row],[Name]],"Ticker symbol",TRUE)," ")</f>
        <v xml:space="preserve"> </v>
      </c>
      <c r="E534" s="13"/>
      <c r="F534" s="13"/>
      <c r="G534" s="10" t="str">
        <f t="shared" si="16"/>
        <v xml:space="preserve"> </v>
      </c>
      <c r="H534" s="13"/>
      <c r="I534" s="24"/>
      <c r="J534" s="13">
        <f>IFERROR(FundManager[[#This Row],[Current Value]]-FundManager[[#This Row],[Amount Invested]]," ")</f>
        <v>0</v>
      </c>
      <c r="K534" s="14" t="str">
        <f t="shared" si="17"/>
        <v xml:space="preserve"> </v>
      </c>
      <c r="L534" s="15" t="str" cm="1">
        <f t="array" ref="L534">IFERROR(ROUND(_FV(B534,"Change (%)",TRUE),3) &amp; "%"," ")</f>
        <v xml:space="preserve"> </v>
      </c>
    </row>
    <row r="535" spans="1:12" x14ac:dyDescent="0.25">
      <c r="A535" s="19"/>
      <c r="C535" s="10" t="str" cm="1">
        <f t="array" ref="C535">IFERROR(_FV(FundManager[[#This Row],[Name]],"Ticker symbol",TRUE)," ")</f>
        <v xml:space="preserve"> </v>
      </c>
      <c r="E535" s="13"/>
      <c r="F535" s="13"/>
      <c r="G535" s="10" t="str">
        <f t="shared" ref="G535:G598" si="18">IFERROR(H535/E535," ")</f>
        <v xml:space="preserve"> </v>
      </c>
      <c r="H535" s="13"/>
      <c r="I535" s="24"/>
      <c r="J535" s="13">
        <f>IFERROR(FundManager[[#This Row],[Current Value]]-FundManager[[#This Row],[Amount Invested]]," ")</f>
        <v>0</v>
      </c>
      <c r="K535" s="14" t="str">
        <f t="shared" ref="K535:K598" si="19">IFERROR((I535-H535)/H535," ")</f>
        <v xml:space="preserve"> </v>
      </c>
      <c r="L535" s="15" t="str" cm="1">
        <f t="array" ref="L535">IFERROR(ROUND(_FV(B535,"Change (%)",TRUE),3) &amp; "%"," ")</f>
        <v xml:space="preserve"> </v>
      </c>
    </row>
    <row r="536" spans="1:12" x14ac:dyDescent="0.25">
      <c r="A536" s="19"/>
      <c r="C536" s="10" t="str" cm="1">
        <f t="array" ref="C536">IFERROR(_FV(FundManager[[#This Row],[Name]],"Ticker symbol",TRUE)," ")</f>
        <v xml:space="preserve"> </v>
      </c>
      <c r="E536" s="13"/>
      <c r="F536" s="13"/>
      <c r="G536" s="10" t="str">
        <f t="shared" si="18"/>
        <v xml:space="preserve"> </v>
      </c>
      <c r="H536" s="13"/>
      <c r="I536" s="24"/>
      <c r="J536" s="13">
        <f>IFERROR(FundManager[[#This Row],[Current Value]]-FundManager[[#This Row],[Amount Invested]]," ")</f>
        <v>0</v>
      </c>
      <c r="K536" s="14" t="str">
        <f t="shared" si="19"/>
        <v xml:space="preserve"> </v>
      </c>
      <c r="L536" s="15" t="str" cm="1">
        <f t="array" ref="L536">IFERROR(ROUND(_FV(B536,"Change (%)",TRUE),3) &amp; "%"," ")</f>
        <v xml:space="preserve"> </v>
      </c>
    </row>
    <row r="537" spans="1:12" x14ac:dyDescent="0.25">
      <c r="A537" s="19"/>
      <c r="C537" s="10" t="str" cm="1">
        <f t="array" ref="C537">IFERROR(_FV(FundManager[[#This Row],[Name]],"Ticker symbol",TRUE)," ")</f>
        <v xml:space="preserve"> </v>
      </c>
      <c r="E537" s="13"/>
      <c r="F537" s="13"/>
      <c r="G537" s="10" t="str">
        <f t="shared" si="18"/>
        <v xml:space="preserve"> </v>
      </c>
      <c r="H537" s="13"/>
      <c r="I537" s="24"/>
      <c r="J537" s="13">
        <f>IFERROR(FundManager[[#This Row],[Current Value]]-FundManager[[#This Row],[Amount Invested]]," ")</f>
        <v>0</v>
      </c>
      <c r="K537" s="14" t="str">
        <f t="shared" si="19"/>
        <v xml:space="preserve"> </v>
      </c>
      <c r="L537" s="15" t="str" cm="1">
        <f t="array" ref="L537">IFERROR(ROUND(_FV(B537,"Change (%)",TRUE),3) &amp; "%"," ")</f>
        <v xml:space="preserve"> </v>
      </c>
    </row>
    <row r="538" spans="1:12" x14ac:dyDescent="0.25">
      <c r="A538" s="19"/>
      <c r="C538" s="10" t="str" cm="1">
        <f t="array" ref="C538">IFERROR(_FV(FundManager[[#This Row],[Name]],"Ticker symbol",TRUE)," ")</f>
        <v xml:space="preserve"> </v>
      </c>
      <c r="E538" s="13"/>
      <c r="F538" s="13"/>
      <c r="G538" s="10" t="str">
        <f t="shared" si="18"/>
        <v xml:space="preserve"> </v>
      </c>
      <c r="H538" s="13"/>
      <c r="I538" s="24"/>
      <c r="J538" s="13">
        <f>IFERROR(FundManager[[#This Row],[Current Value]]-FundManager[[#This Row],[Amount Invested]]," ")</f>
        <v>0</v>
      </c>
      <c r="K538" s="14" t="str">
        <f t="shared" si="19"/>
        <v xml:space="preserve"> </v>
      </c>
      <c r="L538" s="15" t="str" cm="1">
        <f t="array" ref="L538">IFERROR(ROUND(_FV(B538,"Change (%)",TRUE),3) &amp; "%"," ")</f>
        <v xml:space="preserve"> </v>
      </c>
    </row>
    <row r="539" spans="1:12" x14ac:dyDescent="0.25">
      <c r="A539" s="19"/>
      <c r="C539" s="10" t="str" cm="1">
        <f t="array" ref="C539">IFERROR(_FV(FundManager[[#This Row],[Name]],"Ticker symbol",TRUE)," ")</f>
        <v xml:space="preserve"> </v>
      </c>
      <c r="E539" s="13"/>
      <c r="F539" s="13"/>
      <c r="G539" s="10" t="str">
        <f t="shared" si="18"/>
        <v xml:space="preserve"> </v>
      </c>
      <c r="H539" s="13"/>
      <c r="I539" s="24"/>
      <c r="J539" s="13">
        <f>IFERROR(FundManager[[#This Row],[Current Value]]-FundManager[[#This Row],[Amount Invested]]," ")</f>
        <v>0</v>
      </c>
      <c r="K539" s="14" t="str">
        <f t="shared" si="19"/>
        <v xml:space="preserve"> </v>
      </c>
      <c r="L539" s="15" t="str" cm="1">
        <f t="array" ref="L539">IFERROR(ROUND(_FV(B539,"Change (%)",TRUE),3) &amp; "%"," ")</f>
        <v xml:space="preserve"> </v>
      </c>
    </row>
    <row r="540" spans="1:12" x14ac:dyDescent="0.25">
      <c r="A540" s="19"/>
      <c r="C540" s="10" t="str" cm="1">
        <f t="array" ref="C540">IFERROR(_FV(FundManager[[#This Row],[Name]],"Ticker symbol",TRUE)," ")</f>
        <v xml:space="preserve"> </v>
      </c>
      <c r="E540" s="13"/>
      <c r="F540" s="13"/>
      <c r="G540" s="10" t="str">
        <f t="shared" si="18"/>
        <v xml:space="preserve"> </v>
      </c>
      <c r="H540" s="13"/>
      <c r="I540" s="24"/>
      <c r="J540" s="13">
        <f>IFERROR(FundManager[[#This Row],[Current Value]]-FundManager[[#This Row],[Amount Invested]]," ")</f>
        <v>0</v>
      </c>
      <c r="K540" s="14" t="str">
        <f t="shared" si="19"/>
        <v xml:space="preserve"> </v>
      </c>
      <c r="L540" s="15" t="str" cm="1">
        <f t="array" ref="L540">IFERROR(ROUND(_FV(B540,"Change (%)",TRUE),3) &amp; "%"," ")</f>
        <v xml:space="preserve"> </v>
      </c>
    </row>
    <row r="541" spans="1:12" x14ac:dyDescent="0.25">
      <c r="A541" s="19"/>
      <c r="C541" s="10" t="str" cm="1">
        <f t="array" ref="C541">IFERROR(_FV(FundManager[[#This Row],[Name]],"Ticker symbol",TRUE)," ")</f>
        <v xml:space="preserve"> </v>
      </c>
      <c r="E541" s="13"/>
      <c r="F541" s="13"/>
      <c r="G541" s="10" t="str">
        <f t="shared" si="18"/>
        <v xml:space="preserve"> </v>
      </c>
      <c r="H541" s="13"/>
      <c r="I541" s="24"/>
      <c r="J541" s="13">
        <f>IFERROR(FundManager[[#This Row],[Current Value]]-FundManager[[#This Row],[Amount Invested]]," ")</f>
        <v>0</v>
      </c>
      <c r="K541" s="14" t="str">
        <f t="shared" si="19"/>
        <v xml:space="preserve"> </v>
      </c>
      <c r="L541" s="15" t="str" cm="1">
        <f t="array" ref="L541">IFERROR(ROUND(_FV(B541,"Change (%)",TRUE),3) &amp; "%"," ")</f>
        <v xml:space="preserve"> </v>
      </c>
    </row>
    <row r="542" spans="1:12" x14ac:dyDescent="0.25">
      <c r="A542" s="19"/>
      <c r="C542" s="10" t="str" cm="1">
        <f t="array" ref="C542">IFERROR(_FV(FundManager[[#This Row],[Name]],"Ticker symbol",TRUE)," ")</f>
        <v xml:space="preserve"> </v>
      </c>
      <c r="E542" s="13"/>
      <c r="F542" s="13"/>
      <c r="G542" s="10" t="str">
        <f t="shared" si="18"/>
        <v xml:space="preserve"> </v>
      </c>
      <c r="H542" s="13"/>
      <c r="I542" s="24"/>
      <c r="J542" s="13">
        <f>IFERROR(FundManager[[#This Row],[Current Value]]-FundManager[[#This Row],[Amount Invested]]," ")</f>
        <v>0</v>
      </c>
      <c r="K542" s="14" t="str">
        <f t="shared" si="19"/>
        <v xml:space="preserve"> </v>
      </c>
      <c r="L542" s="15" t="str" cm="1">
        <f t="array" ref="L542">IFERROR(ROUND(_FV(B542,"Change (%)",TRUE),3) &amp; "%"," ")</f>
        <v xml:space="preserve"> </v>
      </c>
    </row>
    <row r="543" spans="1:12" x14ac:dyDescent="0.25">
      <c r="A543" s="19"/>
      <c r="C543" s="10" t="str" cm="1">
        <f t="array" ref="C543">IFERROR(_FV(FundManager[[#This Row],[Name]],"Ticker symbol",TRUE)," ")</f>
        <v xml:space="preserve"> </v>
      </c>
      <c r="E543" s="13"/>
      <c r="F543" s="13"/>
      <c r="G543" s="10" t="str">
        <f t="shared" si="18"/>
        <v xml:space="preserve"> </v>
      </c>
      <c r="H543" s="13"/>
      <c r="I543" s="24"/>
      <c r="J543" s="13">
        <f>IFERROR(FundManager[[#This Row],[Current Value]]-FundManager[[#This Row],[Amount Invested]]," ")</f>
        <v>0</v>
      </c>
      <c r="K543" s="14" t="str">
        <f t="shared" si="19"/>
        <v xml:space="preserve"> </v>
      </c>
      <c r="L543" s="15" t="str" cm="1">
        <f t="array" ref="L543">IFERROR(ROUND(_FV(B543,"Change (%)",TRUE),3) &amp; "%"," ")</f>
        <v xml:space="preserve"> </v>
      </c>
    </row>
    <row r="544" spans="1:12" x14ac:dyDescent="0.25">
      <c r="A544" s="19"/>
      <c r="C544" s="10" t="str" cm="1">
        <f t="array" ref="C544">IFERROR(_FV(FundManager[[#This Row],[Name]],"Ticker symbol",TRUE)," ")</f>
        <v xml:space="preserve"> </v>
      </c>
      <c r="E544" s="13"/>
      <c r="F544" s="13"/>
      <c r="G544" s="10" t="str">
        <f t="shared" si="18"/>
        <v xml:space="preserve"> </v>
      </c>
      <c r="H544" s="13"/>
      <c r="I544" s="24"/>
      <c r="J544" s="13">
        <f>IFERROR(FundManager[[#This Row],[Current Value]]-FundManager[[#This Row],[Amount Invested]]," ")</f>
        <v>0</v>
      </c>
      <c r="K544" s="14" t="str">
        <f t="shared" si="19"/>
        <v xml:space="preserve"> </v>
      </c>
      <c r="L544" s="15" t="str" cm="1">
        <f t="array" ref="L544">IFERROR(ROUND(_FV(B544,"Change (%)",TRUE),3) &amp; "%"," ")</f>
        <v xml:space="preserve"> </v>
      </c>
    </row>
    <row r="545" spans="1:12" x14ac:dyDescent="0.25">
      <c r="A545" s="19"/>
      <c r="C545" s="10" t="str" cm="1">
        <f t="array" ref="C545">IFERROR(_FV(FundManager[[#This Row],[Name]],"Ticker symbol",TRUE)," ")</f>
        <v xml:space="preserve"> </v>
      </c>
      <c r="E545" s="13"/>
      <c r="F545" s="13"/>
      <c r="G545" s="10" t="str">
        <f t="shared" si="18"/>
        <v xml:space="preserve"> </v>
      </c>
      <c r="H545" s="13"/>
      <c r="I545" s="24"/>
      <c r="J545" s="13">
        <f>IFERROR(FundManager[[#This Row],[Current Value]]-FundManager[[#This Row],[Amount Invested]]," ")</f>
        <v>0</v>
      </c>
      <c r="K545" s="14" t="str">
        <f t="shared" si="19"/>
        <v xml:space="preserve"> </v>
      </c>
      <c r="L545" s="15" t="str" cm="1">
        <f t="array" ref="L545">IFERROR(ROUND(_FV(B545,"Change (%)",TRUE),3) &amp; "%"," ")</f>
        <v xml:space="preserve"> </v>
      </c>
    </row>
    <row r="546" spans="1:12" x14ac:dyDescent="0.25">
      <c r="A546" s="19"/>
      <c r="C546" s="10" t="str" cm="1">
        <f t="array" ref="C546">IFERROR(_FV(FundManager[[#This Row],[Name]],"Ticker symbol",TRUE)," ")</f>
        <v xml:space="preserve"> </v>
      </c>
      <c r="E546" s="13"/>
      <c r="F546" s="13"/>
      <c r="G546" s="10" t="str">
        <f t="shared" si="18"/>
        <v xml:space="preserve"> </v>
      </c>
      <c r="H546" s="13"/>
      <c r="I546" s="24"/>
      <c r="J546" s="13">
        <f>IFERROR(FundManager[[#This Row],[Current Value]]-FundManager[[#This Row],[Amount Invested]]," ")</f>
        <v>0</v>
      </c>
      <c r="K546" s="14" t="str">
        <f t="shared" si="19"/>
        <v xml:space="preserve"> </v>
      </c>
      <c r="L546" s="15" t="str" cm="1">
        <f t="array" ref="L546">IFERROR(ROUND(_FV(B546,"Change (%)",TRUE),3) &amp; "%"," ")</f>
        <v xml:space="preserve"> </v>
      </c>
    </row>
    <row r="547" spans="1:12" x14ac:dyDescent="0.25">
      <c r="A547" s="19"/>
      <c r="C547" s="10" t="str" cm="1">
        <f t="array" ref="C547">IFERROR(_FV(FundManager[[#This Row],[Name]],"Ticker symbol",TRUE)," ")</f>
        <v xml:space="preserve"> </v>
      </c>
      <c r="E547" s="13"/>
      <c r="F547" s="13"/>
      <c r="G547" s="10" t="str">
        <f t="shared" si="18"/>
        <v xml:space="preserve"> </v>
      </c>
      <c r="H547" s="13"/>
      <c r="I547" s="24"/>
      <c r="J547" s="13">
        <f>IFERROR(FundManager[[#This Row],[Current Value]]-FundManager[[#This Row],[Amount Invested]]," ")</f>
        <v>0</v>
      </c>
      <c r="K547" s="14" t="str">
        <f t="shared" si="19"/>
        <v xml:space="preserve"> </v>
      </c>
      <c r="L547" s="15" t="str" cm="1">
        <f t="array" ref="L547">IFERROR(ROUND(_FV(B547,"Change (%)",TRUE),3) &amp; "%"," ")</f>
        <v xml:space="preserve"> </v>
      </c>
    </row>
    <row r="548" spans="1:12" x14ac:dyDescent="0.25">
      <c r="A548" s="19"/>
      <c r="C548" s="10" t="str" cm="1">
        <f t="array" ref="C548">IFERROR(_FV(FundManager[[#This Row],[Name]],"Ticker symbol",TRUE)," ")</f>
        <v xml:space="preserve"> </v>
      </c>
      <c r="E548" s="13"/>
      <c r="F548" s="13"/>
      <c r="G548" s="10" t="str">
        <f t="shared" si="18"/>
        <v xml:space="preserve"> </v>
      </c>
      <c r="H548" s="13"/>
      <c r="I548" s="24"/>
      <c r="J548" s="13">
        <f>IFERROR(FundManager[[#This Row],[Current Value]]-FundManager[[#This Row],[Amount Invested]]," ")</f>
        <v>0</v>
      </c>
      <c r="K548" s="14" t="str">
        <f t="shared" si="19"/>
        <v xml:space="preserve"> </v>
      </c>
      <c r="L548" s="15" t="str" cm="1">
        <f t="array" ref="L548">IFERROR(ROUND(_FV(B548,"Change (%)",TRUE),3) &amp; "%"," ")</f>
        <v xml:space="preserve"> </v>
      </c>
    </row>
    <row r="549" spans="1:12" x14ac:dyDescent="0.25">
      <c r="A549" s="19"/>
      <c r="C549" s="10" t="str" cm="1">
        <f t="array" ref="C549">IFERROR(_FV(FundManager[[#This Row],[Name]],"Ticker symbol",TRUE)," ")</f>
        <v xml:space="preserve"> </v>
      </c>
      <c r="E549" s="13"/>
      <c r="F549" s="13"/>
      <c r="G549" s="10" t="str">
        <f t="shared" si="18"/>
        <v xml:space="preserve"> </v>
      </c>
      <c r="H549" s="13"/>
      <c r="I549" s="24"/>
      <c r="J549" s="13">
        <f>IFERROR(FundManager[[#This Row],[Current Value]]-FundManager[[#This Row],[Amount Invested]]," ")</f>
        <v>0</v>
      </c>
      <c r="K549" s="14" t="str">
        <f t="shared" si="19"/>
        <v xml:space="preserve"> </v>
      </c>
      <c r="L549" s="15" t="str" cm="1">
        <f t="array" ref="L549">IFERROR(ROUND(_FV(B549,"Change (%)",TRUE),3) &amp; "%"," ")</f>
        <v xml:space="preserve"> </v>
      </c>
    </row>
    <row r="550" spans="1:12" x14ac:dyDescent="0.25">
      <c r="A550" s="19"/>
      <c r="C550" s="10" t="str" cm="1">
        <f t="array" ref="C550">IFERROR(_FV(FundManager[[#This Row],[Name]],"Ticker symbol",TRUE)," ")</f>
        <v xml:space="preserve"> </v>
      </c>
      <c r="E550" s="13"/>
      <c r="F550" s="13"/>
      <c r="G550" s="10" t="str">
        <f t="shared" si="18"/>
        <v xml:space="preserve"> </v>
      </c>
      <c r="H550" s="13"/>
      <c r="I550" s="24"/>
      <c r="J550" s="13">
        <f>IFERROR(FundManager[[#This Row],[Current Value]]-FundManager[[#This Row],[Amount Invested]]," ")</f>
        <v>0</v>
      </c>
      <c r="K550" s="14" t="str">
        <f t="shared" si="19"/>
        <v xml:space="preserve"> </v>
      </c>
      <c r="L550" s="15" t="str" cm="1">
        <f t="array" ref="L550">IFERROR(ROUND(_FV(B550,"Change (%)",TRUE),3) &amp; "%"," ")</f>
        <v xml:space="preserve"> </v>
      </c>
    </row>
    <row r="551" spans="1:12" x14ac:dyDescent="0.25">
      <c r="A551" s="19"/>
      <c r="C551" s="10" t="str" cm="1">
        <f t="array" ref="C551">IFERROR(_FV(FundManager[[#This Row],[Name]],"Ticker symbol",TRUE)," ")</f>
        <v xml:space="preserve"> </v>
      </c>
      <c r="E551" s="13"/>
      <c r="F551" s="13"/>
      <c r="G551" s="10" t="str">
        <f t="shared" si="18"/>
        <v xml:space="preserve"> </v>
      </c>
      <c r="H551" s="13"/>
      <c r="I551" s="24"/>
      <c r="J551" s="13">
        <f>IFERROR(FundManager[[#This Row],[Current Value]]-FundManager[[#This Row],[Amount Invested]]," ")</f>
        <v>0</v>
      </c>
      <c r="K551" s="14" t="str">
        <f t="shared" si="19"/>
        <v xml:space="preserve"> </v>
      </c>
      <c r="L551" s="15" t="str" cm="1">
        <f t="array" ref="L551">IFERROR(ROUND(_FV(B551,"Change (%)",TRUE),3) &amp; "%"," ")</f>
        <v xml:space="preserve"> </v>
      </c>
    </row>
    <row r="552" spans="1:12" x14ac:dyDescent="0.25">
      <c r="A552" s="19"/>
      <c r="C552" s="10" t="str" cm="1">
        <f t="array" ref="C552">IFERROR(_FV(FundManager[[#This Row],[Name]],"Ticker symbol",TRUE)," ")</f>
        <v xml:space="preserve"> </v>
      </c>
      <c r="E552" s="13"/>
      <c r="F552" s="13"/>
      <c r="G552" s="10" t="str">
        <f t="shared" si="18"/>
        <v xml:space="preserve"> </v>
      </c>
      <c r="H552" s="13"/>
      <c r="I552" s="24"/>
      <c r="J552" s="13">
        <f>IFERROR(FundManager[[#This Row],[Current Value]]-FundManager[[#This Row],[Amount Invested]]," ")</f>
        <v>0</v>
      </c>
      <c r="K552" s="14" t="str">
        <f t="shared" si="19"/>
        <v xml:space="preserve"> </v>
      </c>
      <c r="L552" s="15" t="str" cm="1">
        <f t="array" ref="L552">IFERROR(ROUND(_FV(B552,"Change (%)",TRUE),3) &amp; "%"," ")</f>
        <v xml:space="preserve"> </v>
      </c>
    </row>
    <row r="553" spans="1:12" x14ac:dyDescent="0.25">
      <c r="A553" s="19"/>
      <c r="C553" s="10" t="str" cm="1">
        <f t="array" ref="C553">IFERROR(_FV(FundManager[[#This Row],[Name]],"Ticker symbol",TRUE)," ")</f>
        <v xml:space="preserve"> </v>
      </c>
      <c r="E553" s="13"/>
      <c r="F553" s="13"/>
      <c r="G553" s="10" t="str">
        <f t="shared" si="18"/>
        <v xml:space="preserve"> </v>
      </c>
      <c r="H553" s="13"/>
      <c r="I553" s="24"/>
      <c r="J553" s="13">
        <f>IFERROR(FundManager[[#This Row],[Current Value]]-FundManager[[#This Row],[Amount Invested]]," ")</f>
        <v>0</v>
      </c>
      <c r="K553" s="14" t="str">
        <f t="shared" si="19"/>
        <v xml:space="preserve"> </v>
      </c>
      <c r="L553" s="15" t="str" cm="1">
        <f t="array" ref="L553">IFERROR(ROUND(_FV(B553,"Change (%)",TRUE),3) &amp; "%"," ")</f>
        <v xml:space="preserve"> </v>
      </c>
    </row>
    <row r="554" spans="1:12" x14ac:dyDescent="0.25">
      <c r="A554" s="19"/>
      <c r="C554" s="10" t="str" cm="1">
        <f t="array" ref="C554">IFERROR(_FV(FundManager[[#This Row],[Name]],"Ticker symbol",TRUE)," ")</f>
        <v xml:space="preserve"> </v>
      </c>
      <c r="E554" s="13"/>
      <c r="F554" s="13"/>
      <c r="G554" s="10" t="str">
        <f t="shared" si="18"/>
        <v xml:space="preserve"> </v>
      </c>
      <c r="H554" s="13"/>
      <c r="I554" s="24"/>
      <c r="J554" s="13">
        <f>IFERROR(FundManager[[#This Row],[Current Value]]-FundManager[[#This Row],[Amount Invested]]," ")</f>
        <v>0</v>
      </c>
      <c r="K554" s="14" t="str">
        <f t="shared" si="19"/>
        <v xml:space="preserve"> </v>
      </c>
      <c r="L554" s="15" t="str" cm="1">
        <f t="array" ref="L554">IFERROR(ROUND(_FV(B554,"Change (%)",TRUE),3) &amp; "%"," ")</f>
        <v xml:space="preserve"> </v>
      </c>
    </row>
    <row r="555" spans="1:12" x14ac:dyDescent="0.25">
      <c r="A555" s="19"/>
      <c r="C555" s="10" t="str" cm="1">
        <f t="array" ref="C555">IFERROR(_FV(FundManager[[#This Row],[Name]],"Ticker symbol",TRUE)," ")</f>
        <v xml:space="preserve"> </v>
      </c>
      <c r="E555" s="13"/>
      <c r="F555" s="13"/>
      <c r="G555" s="10" t="str">
        <f t="shared" si="18"/>
        <v xml:space="preserve"> </v>
      </c>
      <c r="H555" s="13"/>
      <c r="I555" s="24"/>
      <c r="J555" s="13">
        <f>IFERROR(FundManager[[#This Row],[Current Value]]-FundManager[[#This Row],[Amount Invested]]," ")</f>
        <v>0</v>
      </c>
      <c r="K555" s="14" t="str">
        <f t="shared" si="19"/>
        <v xml:space="preserve"> </v>
      </c>
      <c r="L555" s="15" t="str" cm="1">
        <f t="array" ref="L555">IFERROR(ROUND(_FV(B555,"Change (%)",TRUE),3) &amp; "%"," ")</f>
        <v xml:space="preserve"> </v>
      </c>
    </row>
    <row r="556" spans="1:12" x14ac:dyDescent="0.25">
      <c r="A556" s="19"/>
      <c r="C556" s="10" t="str" cm="1">
        <f t="array" ref="C556">IFERROR(_FV(FundManager[[#This Row],[Name]],"Ticker symbol",TRUE)," ")</f>
        <v xml:space="preserve"> </v>
      </c>
      <c r="E556" s="13"/>
      <c r="F556" s="13"/>
      <c r="G556" s="10" t="str">
        <f t="shared" si="18"/>
        <v xml:space="preserve"> </v>
      </c>
      <c r="H556" s="13"/>
      <c r="I556" s="24"/>
      <c r="J556" s="13">
        <f>IFERROR(FundManager[[#This Row],[Current Value]]-FundManager[[#This Row],[Amount Invested]]," ")</f>
        <v>0</v>
      </c>
      <c r="K556" s="14" t="str">
        <f t="shared" si="19"/>
        <v xml:space="preserve"> </v>
      </c>
      <c r="L556" s="15" t="str" cm="1">
        <f t="array" ref="L556">IFERROR(ROUND(_FV(B556,"Change (%)",TRUE),3) &amp; "%"," ")</f>
        <v xml:space="preserve"> </v>
      </c>
    </row>
    <row r="557" spans="1:12" x14ac:dyDescent="0.25">
      <c r="A557" s="19"/>
      <c r="C557" s="10" t="str" cm="1">
        <f t="array" ref="C557">IFERROR(_FV(FundManager[[#This Row],[Name]],"Ticker symbol",TRUE)," ")</f>
        <v xml:space="preserve"> </v>
      </c>
      <c r="E557" s="13"/>
      <c r="F557" s="13"/>
      <c r="G557" s="10" t="str">
        <f t="shared" si="18"/>
        <v xml:space="preserve"> </v>
      </c>
      <c r="H557" s="13"/>
      <c r="I557" s="24"/>
      <c r="J557" s="13">
        <f>IFERROR(FundManager[[#This Row],[Current Value]]-FundManager[[#This Row],[Amount Invested]]," ")</f>
        <v>0</v>
      </c>
      <c r="K557" s="14" t="str">
        <f t="shared" si="19"/>
        <v xml:space="preserve"> </v>
      </c>
      <c r="L557" s="15" t="str" cm="1">
        <f t="array" ref="L557">IFERROR(ROUND(_FV(B557,"Change (%)",TRUE),3) &amp; "%"," ")</f>
        <v xml:space="preserve"> </v>
      </c>
    </row>
    <row r="558" spans="1:12" x14ac:dyDescent="0.25">
      <c r="A558" s="19"/>
      <c r="C558" s="10" t="str" cm="1">
        <f t="array" ref="C558">IFERROR(_FV(FundManager[[#This Row],[Name]],"Ticker symbol",TRUE)," ")</f>
        <v xml:space="preserve"> </v>
      </c>
      <c r="E558" s="13"/>
      <c r="F558" s="13"/>
      <c r="G558" s="10" t="str">
        <f t="shared" si="18"/>
        <v xml:space="preserve"> </v>
      </c>
      <c r="H558" s="13"/>
      <c r="I558" s="24"/>
      <c r="J558" s="13">
        <f>IFERROR(FundManager[[#This Row],[Current Value]]-FundManager[[#This Row],[Amount Invested]]," ")</f>
        <v>0</v>
      </c>
      <c r="K558" s="14" t="str">
        <f t="shared" si="19"/>
        <v xml:space="preserve"> </v>
      </c>
      <c r="L558" s="15" t="str" cm="1">
        <f t="array" ref="L558">IFERROR(ROUND(_FV(B558,"Change (%)",TRUE),3) &amp; "%"," ")</f>
        <v xml:space="preserve"> </v>
      </c>
    </row>
    <row r="559" spans="1:12" x14ac:dyDescent="0.25">
      <c r="A559" s="19"/>
      <c r="C559" s="10" t="str" cm="1">
        <f t="array" ref="C559">IFERROR(_FV(FundManager[[#This Row],[Name]],"Ticker symbol",TRUE)," ")</f>
        <v xml:space="preserve"> </v>
      </c>
      <c r="E559" s="13"/>
      <c r="F559" s="13"/>
      <c r="G559" s="10" t="str">
        <f t="shared" si="18"/>
        <v xml:space="preserve"> </v>
      </c>
      <c r="H559" s="13"/>
      <c r="I559" s="24"/>
      <c r="J559" s="13">
        <f>IFERROR(FundManager[[#This Row],[Current Value]]-FundManager[[#This Row],[Amount Invested]]," ")</f>
        <v>0</v>
      </c>
      <c r="K559" s="14" t="str">
        <f t="shared" si="19"/>
        <v xml:space="preserve"> </v>
      </c>
      <c r="L559" s="15" t="str" cm="1">
        <f t="array" ref="L559">IFERROR(ROUND(_FV(B559,"Change (%)",TRUE),3) &amp; "%"," ")</f>
        <v xml:space="preserve"> </v>
      </c>
    </row>
    <row r="560" spans="1:12" x14ac:dyDescent="0.25">
      <c r="A560" s="19"/>
      <c r="C560" s="10" t="str" cm="1">
        <f t="array" ref="C560">IFERROR(_FV(FundManager[[#This Row],[Name]],"Ticker symbol",TRUE)," ")</f>
        <v xml:space="preserve"> </v>
      </c>
      <c r="E560" s="13"/>
      <c r="F560" s="13"/>
      <c r="G560" s="10" t="str">
        <f t="shared" si="18"/>
        <v xml:space="preserve"> </v>
      </c>
      <c r="H560" s="13"/>
      <c r="I560" s="24"/>
      <c r="J560" s="13">
        <f>IFERROR(FundManager[[#This Row],[Current Value]]-FundManager[[#This Row],[Amount Invested]]," ")</f>
        <v>0</v>
      </c>
      <c r="K560" s="14" t="str">
        <f t="shared" si="19"/>
        <v xml:space="preserve"> </v>
      </c>
      <c r="L560" s="15" t="str" cm="1">
        <f t="array" ref="L560">IFERROR(ROUND(_FV(B560,"Change (%)",TRUE),3) &amp; "%"," ")</f>
        <v xml:space="preserve"> </v>
      </c>
    </row>
    <row r="561" spans="1:12" x14ac:dyDescent="0.25">
      <c r="A561" s="19"/>
      <c r="C561" s="10" t="str" cm="1">
        <f t="array" ref="C561">IFERROR(_FV(FundManager[[#This Row],[Name]],"Ticker symbol",TRUE)," ")</f>
        <v xml:space="preserve"> </v>
      </c>
      <c r="E561" s="13"/>
      <c r="F561" s="13"/>
      <c r="G561" s="10" t="str">
        <f t="shared" si="18"/>
        <v xml:space="preserve"> </v>
      </c>
      <c r="H561" s="13"/>
      <c r="I561" s="24"/>
      <c r="J561" s="13">
        <f>IFERROR(FundManager[[#This Row],[Current Value]]-FundManager[[#This Row],[Amount Invested]]," ")</f>
        <v>0</v>
      </c>
      <c r="K561" s="14" t="str">
        <f t="shared" si="19"/>
        <v xml:space="preserve"> </v>
      </c>
      <c r="L561" s="15" t="str" cm="1">
        <f t="array" ref="L561">IFERROR(ROUND(_FV(B561,"Change (%)",TRUE),3) &amp; "%"," ")</f>
        <v xml:space="preserve"> </v>
      </c>
    </row>
    <row r="562" spans="1:12" x14ac:dyDescent="0.25">
      <c r="A562" s="19"/>
      <c r="C562" s="10" t="str" cm="1">
        <f t="array" ref="C562">IFERROR(_FV(FundManager[[#This Row],[Name]],"Ticker symbol",TRUE)," ")</f>
        <v xml:space="preserve"> </v>
      </c>
      <c r="E562" s="13"/>
      <c r="F562" s="13"/>
      <c r="G562" s="10" t="str">
        <f t="shared" si="18"/>
        <v xml:space="preserve"> </v>
      </c>
      <c r="H562" s="13"/>
      <c r="I562" s="24"/>
      <c r="J562" s="13">
        <f>IFERROR(FundManager[[#This Row],[Current Value]]-FundManager[[#This Row],[Amount Invested]]," ")</f>
        <v>0</v>
      </c>
      <c r="K562" s="14" t="str">
        <f t="shared" si="19"/>
        <v xml:space="preserve"> </v>
      </c>
      <c r="L562" s="15" t="str" cm="1">
        <f t="array" ref="L562">IFERROR(ROUND(_FV(B562,"Change (%)",TRUE),3) &amp; "%"," ")</f>
        <v xml:space="preserve"> </v>
      </c>
    </row>
    <row r="563" spans="1:12" x14ac:dyDescent="0.25">
      <c r="A563" s="19"/>
      <c r="C563" s="10" t="str" cm="1">
        <f t="array" ref="C563">IFERROR(_FV(FundManager[[#This Row],[Name]],"Ticker symbol",TRUE)," ")</f>
        <v xml:space="preserve"> </v>
      </c>
      <c r="E563" s="13"/>
      <c r="F563" s="13"/>
      <c r="G563" s="10" t="str">
        <f t="shared" si="18"/>
        <v xml:space="preserve"> </v>
      </c>
      <c r="H563" s="13"/>
      <c r="I563" s="24"/>
      <c r="J563" s="13">
        <f>IFERROR(FundManager[[#This Row],[Current Value]]-FundManager[[#This Row],[Amount Invested]]," ")</f>
        <v>0</v>
      </c>
      <c r="K563" s="14" t="str">
        <f t="shared" si="19"/>
        <v xml:space="preserve"> </v>
      </c>
      <c r="L563" s="15" t="str" cm="1">
        <f t="array" ref="L563">IFERROR(ROUND(_FV(B563,"Change (%)",TRUE),3) &amp; "%"," ")</f>
        <v xml:space="preserve"> </v>
      </c>
    </row>
    <row r="564" spans="1:12" x14ac:dyDescent="0.25">
      <c r="A564" s="19"/>
      <c r="C564" s="10" t="str" cm="1">
        <f t="array" ref="C564">IFERROR(_FV(FundManager[[#This Row],[Name]],"Ticker symbol",TRUE)," ")</f>
        <v xml:space="preserve"> </v>
      </c>
      <c r="E564" s="13"/>
      <c r="F564" s="13"/>
      <c r="G564" s="10" t="str">
        <f t="shared" si="18"/>
        <v xml:space="preserve"> </v>
      </c>
      <c r="H564" s="13"/>
      <c r="I564" s="24"/>
      <c r="J564" s="13">
        <f>IFERROR(FundManager[[#This Row],[Current Value]]-FundManager[[#This Row],[Amount Invested]]," ")</f>
        <v>0</v>
      </c>
      <c r="K564" s="14" t="str">
        <f t="shared" si="19"/>
        <v xml:space="preserve"> </v>
      </c>
      <c r="L564" s="15" t="str" cm="1">
        <f t="array" ref="L564">IFERROR(ROUND(_FV(B564,"Change (%)",TRUE),3) &amp; "%"," ")</f>
        <v xml:space="preserve"> </v>
      </c>
    </row>
    <row r="565" spans="1:12" x14ac:dyDescent="0.25">
      <c r="A565" s="19"/>
      <c r="C565" s="10" t="str" cm="1">
        <f t="array" ref="C565">IFERROR(_FV(FundManager[[#This Row],[Name]],"Ticker symbol",TRUE)," ")</f>
        <v xml:space="preserve"> </v>
      </c>
      <c r="E565" s="13"/>
      <c r="F565" s="13"/>
      <c r="G565" s="10" t="str">
        <f t="shared" si="18"/>
        <v xml:space="preserve"> </v>
      </c>
      <c r="H565" s="13"/>
      <c r="I565" s="24"/>
      <c r="J565" s="13">
        <f>IFERROR(FundManager[[#This Row],[Current Value]]-FundManager[[#This Row],[Amount Invested]]," ")</f>
        <v>0</v>
      </c>
      <c r="K565" s="14" t="str">
        <f t="shared" si="19"/>
        <v xml:space="preserve"> </v>
      </c>
      <c r="L565" s="15" t="str" cm="1">
        <f t="array" ref="L565">IFERROR(ROUND(_FV(B565,"Change (%)",TRUE),3) &amp; "%"," ")</f>
        <v xml:space="preserve"> </v>
      </c>
    </row>
    <row r="566" spans="1:12" x14ac:dyDescent="0.25">
      <c r="A566" s="19"/>
      <c r="C566" s="10" t="str" cm="1">
        <f t="array" ref="C566">IFERROR(_FV(FundManager[[#This Row],[Name]],"Ticker symbol",TRUE)," ")</f>
        <v xml:space="preserve"> </v>
      </c>
      <c r="E566" s="13"/>
      <c r="F566" s="13"/>
      <c r="G566" s="10" t="str">
        <f t="shared" si="18"/>
        <v xml:space="preserve"> </v>
      </c>
      <c r="H566" s="13"/>
      <c r="I566" s="24"/>
      <c r="J566" s="13">
        <f>IFERROR(FundManager[[#This Row],[Current Value]]-FundManager[[#This Row],[Amount Invested]]," ")</f>
        <v>0</v>
      </c>
      <c r="K566" s="14" t="str">
        <f t="shared" si="19"/>
        <v xml:space="preserve"> </v>
      </c>
      <c r="L566" s="15" t="str" cm="1">
        <f t="array" ref="L566">IFERROR(ROUND(_FV(B566,"Change (%)",TRUE),3) &amp; "%"," ")</f>
        <v xml:space="preserve"> </v>
      </c>
    </row>
    <row r="567" spans="1:12" x14ac:dyDescent="0.25">
      <c r="A567" s="19"/>
      <c r="C567" s="10" t="str" cm="1">
        <f t="array" ref="C567">IFERROR(_FV(FundManager[[#This Row],[Name]],"Ticker symbol",TRUE)," ")</f>
        <v xml:space="preserve"> </v>
      </c>
      <c r="E567" s="13"/>
      <c r="F567" s="13"/>
      <c r="G567" s="10" t="str">
        <f t="shared" si="18"/>
        <v xml:space="preserve"> </v>
      </c>
      <c r="H567" s="13"/>
      <c r="I567" s="24"/>
      <c r="J567" s="13">
        <f>IFERROR(FundManager[[#This Row],[Current Value]]-FundManager[[#This Row],[Amount Invested]]," ")</f>
        <v>0</v>
      </c>
      <c r="K567" s="14" t="str">
        <f t="shared" si="19"/>
        <v xml:space="preserve"> </v>
      </c>
      <c r="L567" s="15" t="str" cm="1">
        <f t="array" ref="L567">IFERROR(ROUND(_FV(B567,"Change (%)",TRUE),3) &amp; "%"," ")</f>
        <v xml:space="preserve"> </v>
      </c>
    </row>
    <row r="568" spans="1:12" x14ac:dyDescent="0.25">
      <c r="A568" s="19"/>
      <c r="C568" s="10" t="str" cm="1">
        <f t="array" ref="C568">IFERROR(_FV(FundManager[[#This Row],[Name]],"Ticker symbol",TRUE)," ")</f>
        <v xml:space="preserve"> </v>
      </c>
      <c r="E568" s="13"/>
      <c r="F568" s="13"/>
      <c r="G568" s="10" t="str">
        <f t="shared" si="18"/>
        <v xml:space="preserve"> </v>
      </c>
      <c r="H568" s="13"/>
      <c r="I568" s="24"/>
      <c r="J568" s="13">
        <f>IFERROR(FundManager[[#This Row],[Current Value]]-FundManager[[#This Row],[Amount Invested]]," ")</f>
        <v>0</v>
      </c>
      <c r="K568" s="14" t="str">
        <f t="shared" si="19"/>
        <v xml:space="preserve"> </v>
      </c>
      <c r="L568" s="15" t="str" cm="1">
        <f t="array" ref="L568">IFERROR(ROUND(_FV(B568,"Change (%)",TRUE),3) &amp; "%"," ")</f>
        <v xml:space="preserve"> </v>
      </c>
    </row>
    <row r="569" spans="1:12" x14ac:dyDescent="0.25">
      <c r="A569" s="19"/>
      <c r="C569" s="10" t="str" cm="1">
        <f t="array" ref="C569">IFERROR(_FV(FundManager[[#This Row],[Name]],"Ticker symbol",TRUE)," ")</f>
        <v xml:space="preserve"> </v>
      </c>
      <c r="E569" s="13"/>
      <c r="F569" s="13"/>
      <c r="G569" s="10" t="str">
        <f t="shared" si="18"/>
        <v xml:space="preserve"> </v>
      </c>
      <c r="H569" s="13"/>
      <c r="I569" s="24"/>
      <c r="J569" s="13">
        <f>IFERROR(FundManager[[#This Row],[Current Value]]-FundManager[[#This Row],[Amount Invested]]," ")</f>
        <v>0</v>
      </c>
      <c r="K569" s="14" t="str">
        <f t="shared" si="19"/>
        <v xml:space="preserve"> </v>
      </c>
      <c r="L569" s="15" t="str" cm="1">
        <f t="array" ref="L569">IFERROR(ROUND(_FV(B569,"Change (%)",TRUE),3) &amp; "%"," ")</f>
        <v xml:space="preserve"> </v>
      </c>
    </row>
    <row r="570" spans="1:12" x14ac:dyDescent="0.25">
      <c r="A570" s="19"/>
      <c r="C570" s="10" t="str" cm="1">
        <f t="array" ref="C570">IFERROR(_FV(FundManager[[#This Row],[Name]],"Ticker symbol",TRUE)," ")</f>
        <v xml:space="preserve"> </v>
      </c>
      <c r="E570" s="13"/>
      <c r="F570" s="13"/>
      <c r="G570" s="10" t="str">
        <f t="shared" si="18"/>
        <v xml:space="preserve"> </v>
      </c>
      <c r="H570" s="13"/>
      <c r="I570" s="24"/>
      <c r="J570" s="13">
        <f>IFERROR(FundManager[[#This Row],[Current Value]]-FundManager[[#This Row],[Amount Invested]]," ")</f>
        <v>0</v>
      </c>
      <c r="K570" s="14" t="str">
        <f t="shared" si="19"/>
        <v xml:space="preserve"> </v>
      </c>
      <c r="L570" s="15" t="str" cm="1">
        <f t="array" ref="L570">IFERROR(ROUND(_FV(B570,"Change (%)",TRUE),3) &amp; "%"," ")</f>
        <v xml:space="preserve"> </v>
      </c>
    </row>
    <row r="571" spans="1:12" x14ac:dyDescent="0.25">
      <c r="A571" s="19"/>
      <c r="C571" s="10" t="str" cm="1">
        <f t="array" ref="C571">IFERROR(_FV(FundManager[[#This Row],[Name]],"Ticker symbol",TRUE)," ")</f>
        <v xml:space="preserve"> </v>
      </c>
      <c r="E571" s="13"/>
      <c r="F571" s="13"/>
      <c r="G571" s="10" t="str">
        <f t="shared" si="18"/>
        <v xml:space="preserve"> </v>
      </c>
      <c r="H571" s="13"/>
      <c r="I571" s="24"/>
      <c r="J571" s="13">
        <f>IFERROR(FundManager[[#This Row],[Current Value]]-FundManager[[#This Row],[Amount Invested]]," ")</f>
        <v>0</v>
      </c>
      <c r="K571" s="14" t="str">
        <f t="shared" si="19"/>
        <v xml:space="preserve"> </v>
      </c>
      <c r="L571" s="15" t="str" cm="1">
        <f t="array" ref="L571">IFERROR(ROUND(_FV(B571,"Change (%)",TRUE),3) &amp; "%"," ")</f>
        <v xml:space="preserve"> </v>
      </c>
    </row>
    <row r="572" spans="1:12" x14ac:dyDescent="0.25">
      <c r="A572" s="19"/>
      <c r="C572" s="10" t="str" cm="1">
        <f t="array" ref="C572">IFERROR(_FV(FundManager[[#This Row],[Name]],"Ticker symbol",TRUE)," ")</f>
        <v xml:space="preserve"> </v>
      </c>
      <c r="E572" s="13"/>
      <c r="F572" s="13"/>
      <c r="G572" s="10" t="str">
        <f t="shared" si="18"/>
        <v xml:space="preserve"> </v>
      </c>
      <c r="H572" s="13"/>
      <c r="I572" s="24"/>
      <c r="J572" s="13">
        <f>IFERROR(FundManager[[#This Row],[Current Value]]-FundManager[[#This Row],[Amount Invested]]," ")</f>
        <v>0</v>
      </c>
      <c r="K572" s="14" t="str">
        <f t="shared" si="19"/>
        <v xml:space="preserve"> </v>
      </c>
      <c r="L572" s="15" t="str" cm="1">
        <f t="array" ref="L572">IFERROR(ROUND(_FV(B572,"Change (%)",TRUE),3) &amp; "%"," ")</f>
        <v xml:space="preserve"> </v>
      </c>
    </row>
    <row r="573" spans="1:12" x14ac:dyDescent="0.25">
      <c r="A573" s="19"/>
      <c r="C573" s="10" t="str" cm="1">
        <f t="array" ref="C573">IFERROR(_FV(FundManager[[#This Row],[Name]],"Ticker symbol",TRUE)," ")</f>
        <v xml:space="preserve"> </v>
      </c>
      <c r="E573" s="13"/>
      <c r="F573" s="13"/>
      <c r="G573" s="10" t="str">
        <f t="shared" si="18"/>
        <v xml:space="preserve"> </v>
      </c>
      <c r="H573" s="13"/>
      <c r="I573" s="24"/>
      <c r="J573" s="13">
        <f>IFERROR(FundManager[[#This Row],[Current Value]]-FundManager[[#This Row],[Amount Invested]]," ")</f>
        <v>0</v>
      </c>
      <c r="K573" s="14" t="str">
        <f t="shared" si="19"/>
        <v xml:space="preserve"> </v>
      </c>
      <c r="L573" s="15" t="str" cm="1">
        <f t="array" ref="L573">IFERROR(ROUND(_FV(B573,"Change (%)",TRUE),3) &amp; "%"," ")</f>
        <v xml:space="preserve"> </v>
      </c>
    </row>
    <row r="574" spans="1:12" x14ac:dyDescent="0.25">
      <c r="A574" s="19"/>
      <c r="C574" s="10" t="str" cm="1">
        <f t="array" ref="C574">IFERROR(_FV(FundManager[[#This Row],[Name]],"Ticker symbol",TRUE)," ")</f>
        <v xml:space="preserve"> </v>
      </c>
      <c r="E574" s="13"/>
      <c r="F574" s="13"/>
      <c r="G574" s="10" t="str">
        <f t="shared" si="18"/>
        <v xml:space="preserve"> </v>
      </c>
      <c r="H574" s="13"/>
      <c r="I574" s="24"/>
      <c r="J574" s="13">
        <f>IFERROR(FundManager[[#This Row],[Current Value]]-FundManager[[#This Row],[Amount Invested]]," ")</f>
        <v>0</v>
      </c>
      <c r="K574" s="14" t="str">
        <f t="shared" si="19"/>
        <v xml:space="preserve"> </v>
      </c>
      <c r="L574" s="15" t="str" cm="1">
        <f t="array" ref="L574">IFERROR(ROUND(_FV(B574,"Change (%)",TRUE),3) &amp; "%"," ")</f>
        <v xml:space="preserve"> </v>
      </c>
    </row>
    <row r="575" spans="1:12" x14ac:dyDescent="0.25">
      <c r="A575" s="19"/>
      <c r="C575" s="10" t="str" cm="1">
        <f t="array" ref="C575">IFERROR(_FV(FundManager[[#This Row],[Name]],"Ticker symbol",TRUE)," ")</f>
        <v xml:space="preserve"> </v>
      </c>
      <c r="E575" s="13"/>
      <c r="F575" s="13"/>
      <c r="G575" s="10" t="str">
        <f t="shared" si="18"/>
        <v xml:space="preserve"> </v>
      </c>
      <c r="H575" s="13"/>
      <c r="I575" s="24"/>
      <c r="J575" s="13">
        <f>IFERROR(FundManager[[#This Row],[Current Value]]-FundManager[[#This Row],[Amount Invested]]," ")</f>
        <v>0</v>
      </c>
      <c r="K575" s="14" t="str">
        <f t="shared" si="19"/>
        <v xml:space="preserve"> </v>
      </c>
      <c r="L575" s="15" t="str" cm="1">
        <f t="array" ref="L575">IFERROR(ROUND(_FV(B575,"Change (%)",TRUE),3) &amp; "%"," ")</f>
        <v xml:space="preserve"> </v>
      </c>
    </row>
    <row r="576" spans="1:12" x14ac:dyDescent="0.25">
      <c r="A576" s="19"/>
      <c r="C576" s="10" t="str" cm="1">
        <f t="array" ref="C576">IFERROR(_FV(FundManager[[#This Row],[Name]],"Ticker symbol",TRUE)," ")</f>
        <v xml:space="preserve"> </v>
      </c>
      <c r="E576" s="13"/>
      <c r="F576" s="13"/>
      <c r="G576" s="10" t="str">
        <f t="shared" si="18"/>
        <v xml:space="preserve"> </v>
      </c>
      <c r="H576" s="13"/>
      <c r="I576" s="24"/>
      <c r="J576" s="13">
        <f>IFERROR(FundManager[[#This Row],[Current Value]]-FundManager[[#This Row],[Amount Invested]]," ")</f>
        <v>0</v>
      </c>
      <c r="K576" s="14" t="str">
        <f t="shared" si="19"/>
        <v xml:space="preserve"> </v>
      </c>
      <c r="L576" s="15" t="str" cm="1">
        <f t="array" ref="L576">IFERROR(ROUND(_FV(B576,"Change (%)",TRUE),3) &amp; "%"," ")</f>
        <v xml:space="preserve"> </v>
      </c>
    </row>
    <row r="577" spans="1:12" x14ac:dyDescent="0.25">
      <c r="A577" s="19"/>
      <c r="C577" s="10" t="str" cm="1">
        <f t="array" ref="C577">IFERROR(_FV(FundManager[[#This Row],[Name]],"Ticker symbol",TRUE)," ")</f>
        <v xml:space="preserve"> </v>
      </c>
      <c r="E577" s="13"/>
      <c r="F577" s="13"/>
      <c r="G577" s="10" t="str">
        <f t="shared" si="18"/>
        <v xml:space="preserve"> </v>
      </c>
      <c r="H577" s="13"/>
      <c r="I577" s="24"/>
      <c r="J577" s="13">
        <f>IFERROR(FundManager[[#This Row],[Current Value]]-FundManager[[#This Row],[Amount Invested]]," ")</f>
        <v>0</v>
      </c>
      <c r="K577" s="14" t="str">
        <f t="shared" si="19"/>
        <v xml:space="preserve"> </v>
      </c>
      <c r="L577" s="15" t="str" cm="1">
        <f t="array" ref="L577">IFERROR(ROUND(_FV(B577,"Change (%)",TRUE),3) &amp; "%"," ")</f>
        <v xml:space="preserve"> </v>
      </c>
    </row>
    <row r="578" spans="1:12" x14ac:dyDescent="0.25">
      <c r="A578" s="19"/>
      <c r="C578" s="10" t="str" cm="1">
        <f t="array" ref="C578">IFERROR(_FV(FundManager[[#This Row],[Name]],"Ticker symbol",TRUE)," ")</f>
        <v xml:space="preserve"> </v>
      </c>
      <c r="E578" s="13"/>
      <c r="F578" s="13"/>
      <c r="G578" s="10" t="str">
        <f t="shared" si="18"/>
        <v xml:space="preserve"> </v>
      </c>
      <c r="H578" s="13"/>
      <c r="I578" s="24"/>
      <c r="J578" s="13">
        <f>IFERROR(FundManager[[#This Row],[Current Value]]-FundManager[[#This Row],[Amount Invested]]," ")</f>
        <v>0</v>
      </c>
      <c r="K578" s="14" t="str">
        <f t="shared" si="19"/>
        <v xml:space="preserve"> </v>
      </c>
      <c r="L578" s="15" t="str" cm="1">
        <f t="array" ref="L578">IFERROR(ROUND(_FV(B578,"Change (%)",TRUE),3) &amp; "%"," ")</f>
        <v xml:space="preserve"> </v>
      </c>
    </row>
    <row r="579" spans="1:12" x14ac:dyDescent="0.25">
      <c r="A579" s="19"/>
      <c r="C579" s="10" t="str" cm="1">
        <f t="array" ref="C579">IFERROR(_FV(FundManager[[#This Row],[Name]],"Ticker symbol",TRUE)," ")</f>
        <v xml:space="preserve"> </v>
      </c>
      <c r="E579" s="13"/>
      <c r="F579" s="13"/>
      <c r="G579" s="10" t="str">
        <f t="shared" si="18"/>
        <v xml:space="preserve"> </v>
      </c>
      <c r="H579" s="13"/>
      <c r="I579" s="24"/>
      <c r="J579" s="13">
        <f>IFERROR(FundManager[[#This Row],[Current Value]]-FundManager[[#This Row],[Amount Invested]]," ")</f>
        <v>0</v>
      </c>
      <c r="K579" s="14" t="str">
        <f t="shared" si="19"/>
        <v xml:space="preserve"> </v>
      </c>
      <c r="L579" s="15" t="str" cm="1">
        <f t="array" ref="L579">IFERROR(ROUND(_FV(B579,"Change (%)",TRUE),3) &amp; "%"," ")</f>
        <v xml:space="preserve"> </v>
      </c>
    </row>
    <row r="580" spans="1:12" x14ac:dyDescent="0.25">
      <c r="A580" s="19"/>
      <c r="C580" s="10" t="str" cm="1">
        <f t="array" ref="C580">IFERROR(_FV(FundManager[[#This Row],[Name]],"Ticker symbol",TRUE)," ")</f>
        <v xml:space="preserve"> </v>
      </c>
      <c r="E580" s="13"/>
      <c r="F580" s="13"/>
      <c r="G580" s="10" t="str">
        <f t="shared" si="18"/>
        <v xml:space="preserve"> </v>
      </c>
      <c r="H580" s="13"/>
      <c r="I580" s="24"/>
      <c r="J580" s="13">
        <f>IFERROR(FundManager[[#This Row],[Current Value]]-FundManager[[#This Row],[Amount Invested]]," ")</f>
        <v>0</v>
      </c>
      <c r="K580" s="14" t="str">
        <f t="shared" si="19"/>
        <v xml:space="preserve"> </v>
      </c>
      <c r="L580" s="15" t="str" cm="1">
        <f t="array" ref="L580">IFERROR(ROUND(_FV(B580,"Change (%)",TRUE),3) &amp; "%"," ")</f>
        <v xml:space="preserve"> </v>
      </c>
    </row>
    <row r="581" spans="1:12" x14ac:dyDescent="0.25">
      <c r="A581" s="19"/>
      <c r="C581" s="10" t="str" cm="1">
        <f t="array" ref="C581">IFERROR(_FV(FundManager[[#This Row],[Name]],"Ticker symbol",TRUE)," ")</f>
        <v xml:space="preserve"> </v>
      </c>
      <c r="E581" s="13"/>
      <c r="F581" s="13"/>
      <c r="G581" s="10" t="str">
        <f t="shared" si="18"/>
        <v xml:space="preserve"> </v>
      </c>
      <c r="H581" s="13"/>
      <c r="I581" s="24"/>
      <c r="J581" s="13">
        <f>IFERROR(FundManager[[#This Row],[Current Value]]-FundManager[[#This Row],[Amount Invested]]," ")</f>
        <v>0</v>
      </c>
      <c r="K581" s="14" t="str">
        <f t="shared" si="19"/>
        <v xml:space="preserve"> </v>
      </c>
      <c r="L581" s="15" t="str" cm="1">
        <f t="array" ref="L581">IFERROR(ROUND(_FV(B581,"Change (%)",TRUE),3) &amp; "%"," ")</f>
        <v xml:space="preserve"> </v>
      </c>
    </row>
    <row r="582" spans="1:12" x14ac:dyDescent="0.25">
      <c r="A582" s="19"/>
      <c r="C582" s="10" t="str" cm="1">
        <f t="array" ref="C582">IFERROR(_FV(FundManager[[#This Row],[Name]],"Ticker symbol",TRUE)," ")</f>
        <v xml:space="preserve"> </v>
      </c>
      <c r="E582" s="13"/>
      <c r="F582" s="13"/>
      <c r="G582" s="10" t="str">
        <f t="shared" si="18"/>
        <v xml:space="preserve"> </v>
      </c>
      <c r="H582" s="13"/>
      <c r="I582" s="24"/>
      <c r="J582" s="13">
        <f>IFERROR(FundManager[[#This Row],[Current Value]]-FundManager[[#This Row],[Amount Invested]]," ")</f>
        <v>0</v>
      </c>
      <c r="K582" s="14" t="str">
        <f t="shared" si="19"/>
        <v xml:space="preserve"> </v>
      </c>
      <c r="L582" s="15" t="str" cm="1">
        <f t="array" ref="L582">IFERROR(ROUND(_FV(B582,"Change (%)",TRUE),3) &amp; "%"," ")</f>
        <v xml:space="preserve"> </v>
      </c>
    </row>
    <row r="583" spans="1:12" x14ac:dyDescent="0.25">
      <c r="A583" s="19"/>
      <c r="C583" s="10" t="str" cm="1">
        <f t="array" ref="C583">IFERROR(_FV(FundManager[[#This Row],[Name]],"Ticker symbol",TRUE)," ")</f>
        <v xml:space="preserve"> </v>
      </c>
      <c r="E583" s="13"/>
      <c r="F583" s="13"/>
      <c r="G583" s="10" t="str">
        <f t="shared" si="18"/>
        <v xml:space="preserve"> </v>
      </c>
      <c r="H583" s="13"/>
      <c r="I583" s="24"/>
      <c r="J583" s="13">
        <f>IFERROR(FundManager[[#This Row],[Current Value]]-FundManager[[#This Row],[Amount Invested]]," ")</f>
        <v>0</v>
      </c>
      <c r="K583" s="14" t="str">
        <f t="shared" si="19"/>
        <v xml:space="preserve"> </v>
      </c>
      <c r="L583" s="15" t="str" cm="1">
        <f t="array" ref="L583">IFERROR(ROUND(_FV(B583,"Change (%)",TRUE),3) &amp; "%"," ")</f>
        <v xml:space="preserve"> </v>
      </c>
    </row>
    <row r="584" spans="1:12" x14ac:dyDescent="0.25">
      <c r="A584" s="19"/>
      <c r="C584" s="10" t="str" cm="1">
        <f t="array" ref="C584">IFERROR(_FV(FundManager[[#This Row],[Name]],"Ticker symbol",TRUE)," ")</f>
        <v xml:space="preserve"> </v>
      </c>
      <c r="E584" s="13"/>
      <c r="F584" s="13"/>
      <c r="G584" s="10" t="str">
        <f t="shared" si="18"/>
        <v xml:space="preserve"> </v>
      </c>
      <c r="H584" s="13"/>
      <c r="I584" s="24"/>
      <c r="J584" s="13">
        <f>IFERROR(FundManager[[#This Row],[Current Value]]-FundManager[[#This Row],[Amount Invested]]," ")</f>
        <v>0</v>
      </c>
      <c r="K584" s="14" t="str">
        <f t="shared" si="19"/>
        <v xml:space="preserve"> </v>
      </c>
      <c r="L584" s="15" t="str" cm="1">
        <f t="array" ref="L584">IFERROR(ROUND(_FV(B584,"Change (%)",TRUE),3) &amp; "%"," ")</f>
        <v xml:space="preserve"> </v>
      </c>
    </row>
    <row r="585" spans="1:12" x14ac:dyDescent="0.25">
      <c r="A585" s="19"/>
      <c r="C585" s="10" t="str" cm="1">
        <f t="array" ref="C585">IFERROR(_FV(FundManager[[#This Row],[Name]],"Ticker symbol",TRUE)," ")</f>
        <v xml:space="preserve"> </v>
      </c>
      <c r="E585" s="13"/>
      <c r="F585" s="13"/>
      <c r="G585" s="10" t="str">
        <f t="shared" si="18"/>
        <v xml:space="preserve"> </v>
      </c>
      <c r="H585" s="13"/>
      <c r="I585" s="24"/>
      <c r="J585" s="13">
        <f>IFERROR(FundManager[[#This Row],[Current Value]]-FundManager[[#This Row],[Amount Invested]]," ")</f>
        <v>0</v>
      </c>
      <c r="K585" s="14" t="str">
        <f t="shared" si="19"/>
        <v xml:space="preserve"> </v>
      </c>
      <c r="L585" s="15" t="str" cm="1">
        <f t="array" ref="L585">IFERROR(ROUND(_FV(B585,"Change (%)",TRUE),3) &amp; "%"," ")</f>
        <v xml:space="preserve"> </v>
      </c>
    </row>
    <row r="586" spans="1:12" x14ac:dyDescent="0.25">
      <c r="A586" s="19"/>
      <c r="C586" s="10" t="str" cm="1">
        <f t="array" ref="C586">IFERROR(_FV(FundManager[[#This Row],[Name]],"Ticker symbol",TRUE)," ")</f>
        <v xml:space="preserve"> </v>
      </c>
      <c r="E586" s="13"/>
      <c r="F586" s="13"/>
      <c r="G586" s="10" t="str">
        <f t="shared" si="18"/>
        <v xml:space="preserve"> </v>
      </c>
      <c r="H586" s="13"/>
      <c r="I586" s="24"/>
      <c r="J586" s="13">
        <f>IFERROR(FundManager[[#This Row],[Current Value]]-FundManager[[#This Row],[Amount Invested]]," ")</f>
        <v>0</v>
      </c>
      <c r="K586" s="14" t="str">
        <f t="shared" si="19"/>
        <v xml:space="preserve"> </v>
      </c>
      <c r="L586" s="15" t="str" cm="1">
        <f t="array" ref="L586">IFERROR(ROUND(_FV(B586,"Change (%)",TRUE),3) &amp; "%"," ")</f>
        <v xml:space="preserve"> </v>
      </c>
    </row>
    <row r="587" spans="1:12" x14ac:dyDescent="0.25">
      <c r="A587" s="19"/>
      <c r="C587" s="10" t="str" cm="1">
        <f t="array" ref="C587">IFERROR(_FV(FundManager[[#This Row],[Name]],"Ticker symbol",TRUE)," ")</f>
        <v xml:space="preserve"> </v>
      </c>
      <c r="E587" s="13"/>
      <c r="F587" s="13"/>
      <c r="G587" s="10" t="str">
        <f t="shared" si="18"/>
        <v xml:space="preserve"> </v>
      </c>
      <c r="H587" s="13"/>
      <c r="I587" s="24"/>
      <c r="J587" s="13">
        <f>IFERROR(FundManager[[#This Row],[Current Value]]-FundManager[[#This Row],[Amount Invested]]," ")</f>
        <v>0</v>
      </c>
      <c r="K587" s="14" t="str">
        <f t="shared" si="19"/>
        <v xml:space="preserve"> </v>
      </c>
      <c r="L587" s="15" t="str" cm="1">
        <f t="array" ref="L587">IFERROR(ROUND(_FV(B587,"Change (%)",TRUE),3) &amp; "%"," ")</f>
        <v xml:space="preserve"> </v>
      </c>
    </row>
    <row r="588" spans="1:12" x14ac:dyDescent="0.25">
      <c r="A588" s="19"/>
      <c r="C588" s="10" t="str" cm="1">
        <f t="array" ref="C588">IFERROR(_FV(FundManager[[#This Row],[Name]],"Ticker symbol",TRUE)," ")</f>
        <v xml:space="preserve"> </v>
      </c>
      <c r="E588" s="13"/>
      <c r="F588" s="13"/>
      <c r="G588" s="10" t="str">
        <f t="shared" si="18"/>
        <v xml:space="preserve"> </v>
      </c>
      <c r="H588" s="13"/>
      <c r="I588" s="24"/>
      <c r="J588" s="13">
        <f>IFERROR(FundManager[[#This Row],[Current Value]]-FundManager[[#This Row],[Amount Invested]]," ")</f>
        <v>0</v>
      </c>
      <c r="K588" s="14" t="str">
        <f t="shared" si="19"/>
        <v xml:space="preserve"> </v>
      </c>
      <c r="L588" s="15" t="str" cm="1">
        <f t="array" ref="L588">IFERROR(ROUND(_FV(B588,"Change (%)",TRUE),3) &amp; "%"," ")</f>
        <v xml:space="preserve"> </v>
      </c>
    </row>
    <row r="589" spans="1:12" x14ac:dyDescent="0.25">
      <c r="A589" s="19"/>
      <c r="C589" s="10" t="str" cm="1">
        <f t="array" ref="C589">IFERROR(_FV(FundManager[[#This Row],[Name]],"Ticker symbol",TRUE)," ")</f>
        <v xml:space="preserve"> </v>
      </c>
      <c r="E589" s="13"/>
      <c r="F589" s="13"/>
      <c r="G589" s="10" t="str">
        <f t="shared" si="18"/>
        <v xml:space="preserve"> </v>
      </c>
      <c r="H589" s="13"/>
      <c r="I589" s="24"/>
      <c r="J589" s="13">
        <f>IFERROR(FundManager[[#This Row],[Current Value]]-FundManager[[#This Row],[Amount Invested]]," ")</f>
        <v>0</v>
      </c>
      <c r="K589" s="14" t="str">
        <f t="shared" si="19"/>
        <v xml:space="preserve"> </v>
      </c>
      <c r="L589" s="15" t="str" cm="1">
        <f t="array" ref="L589">IFERROR(ROUND(_FV(B589,"Change (%)",TRUE),3) &amp; "%"," ")</f>
        <v xml:space="preserve"> </v>
      </c>
    </row>
    <row r="590" spans="1:12" x14ac:dyDescent="0.25">
      <c r="A590" s="19"/>
      <c r="C590" s="10" t="str" cm="1">
        <f t="array" ref="C590">IFERROR(_FV(FundManager[[#This Row],[Name]],"Ticker symbol",TRUE)," ")</f>
        <v xml:space="preserve"> </v>
      </c>
      <c r="E590" s="13"/>
      <c r="F590" s="13"/>
      <c r="G590" s="10" t="str">
        <f t="shared" si="18"/>
        <v xml:space="preserve"> </v>
      </c>
      <c r="H590" s="13"/>
      <c r="I590" s="24"/>
      <c r="J590" s="13">
        <f>IFERROR(FundManager[[#This Row],[Current Value]]-FundManager[[#This Row],[Amount Invested]]," ")</f>
        <v>0</v>
      </c>
      <c r="K590" s="14" t="str">
        <f t="shared" si="19"/>
        <v xml:space="preserve"> </v>
      </c>
      <c r="L590" s="15" t="str" cm="1">
        <f t="array" ref="L590">IFERROR(ROUND(_FV(B590,"Change (%)",TRUE),3) &amp; "%"," ")</f>
        <v xml:space="preserve"> </v>
      </c>
    </row>
    <row r="591" spans="1:12" x14ac:dyDescent="0.25">
      <c r="A591" s="19"/>
      <c r="C591" s="10" t="str" cm="1">
        <f t="array" ref="C591">IFERROR(_FV(FundManager[[#This Row],[Name]],"Ticker symbol",TRUE)," ")</f>
        <v xml:space="preserve"> </v>
      </c>
      <c r="E591" s="13"/>
      <c r="F591" s="13"/>
      <c r="G591" s="10" t="str">
        <f t="shared" si="18"/>
        <v xml:space="preserve"> </v>
      </c>
      <c r="H591" s="13"/>
      <c r="I591" s="24"/>
      <c r="J591" s="13">
        <f>IFERROR(FundManager[[#This Row],[Current Value]]-FundManager[[#This Row],[Amount Invested]]," ")</f>
        <v>0</v>
      </c>
      <c r="K591" s="14" t="str">
        <f t="shared" si="19"/>
        <v xml:space="preserve"> </v>
      </c>
      <c r="L591" s="15" t="str" cm="1">
        <f t="array" ref="L591">IFERROR(ROUND(_FV(B591,"Change (%)",TRUE),3) &amp; "%"," ")</f>
        <v xml:space="preserve"> </v>
      </c>
    </row>
    <row r="592" spans="1:12" x14ac:dyDescent="0.25">
      <c r="A592" s="19"/>
      <c r="C592" s="10" t="str" cm="1">
        <f t="array" ref="C592">IFERROR(_FV(FundManager[[#This Row],[Name]],"Ticker symbol",TRUE)," ")</f>
        <v xml:space="preserve"> </v>
      </c>
      <c r="E592" s="13"/>
      <c r="F592" s="13"/>
      <c r="G592" s="10" t="str">
        <f t="shared" si="18"/>
        <v xml:space="preserve"> </v>
      </c>
      <c r="H592" s="13"/>
      <c r="I592" s="24"/>
      <c r="J592" s="13">
        <f>IFERROR(FundManager[[#This Row],[Current Value]]-FundManager[[#This Row],[Amount Invested]]," ")</f>
        <v>0</v>
      </c>
      <c r="K592" s="14" t="str">
        <f t="shared" si="19"/>
        <v xml:space="preserve"> </v>
      </c>
      <c r="L592" s="15" t="str" cm="1">
        <f t="array" ref="L592">IFERROR(ROUND(_FV(B592,"Change (%)",TRUE),3) &amp; "%"," ")</f>
        <v xml:space="preserve"> </v>
      </c>
    </row>
    <row r="593" spans="1:12" x14ac:dyDescent="0.25">
      <c r="A593" s="19"/>
      <c r="C593" s="10" t="str" cm="1">
        <f t="array" ref="C593">IFERROR(_FV(FundManager[[#This Row],[Name]],"Ticker symbol",TRUE)," ")</f>
        <v xml:space="preserve"> </v>
      </c>
      <c r="E593" s="13"/>
      <c r="F593" s="13"/>
      <c r="G593" s="10" t="str">
        <f t="shared" si="18"/>
        <v xml:space="preserve"> </v>
      </c>
      <c r="H593" s="13"/>
      <c r="I593" s="24"/>
      <c r="J593" s="13">
        <f>IFERROR(FundManager[[#This Row],[Current Value]]-FundManager[[#This Row],[Amount Invested]]," ")</f>
        <v>0</v>
      </c>
      <c r="K593" s="14" t="str">
        <f t="shared" si="19"/>
        <v xml:space="preserve"> </v>
      </c>
      <c r="L593" s="15" t="str" cm="1">
        <f t="array" ref="L593">IFERROR(ROUND(_FV(B593,"Change (%)",TRUE),3) &amp; "%"," ")</f>
        <v xml:space="preserve"> </v>
      </c>
    </row>
    <row r="594" spans="1:12" x14ac:dyDescent="0.25">
      <c r="A594" s="19"/>
      <c r="C594" s="10" t="str" cm="1">
        <f t="array" ref="C594">IFERROR(_FV(FundManager[[#This Row],[Name]],"Ticker symbol",TRUE)," ")</f>
        <v xml:space="preserve"> </v>
      </c>
      <c r="E594" s="13"/>
      <c r="F594" s="13"/>
      <c r="G594" s="10" t="str">
        <f t="shared" si="18"/>
        <v xml:space="preserve"> </v>
      </c>
      <c r="H594" s="13"/>
      <c r="I594" s="24"/>
      <c r="J594" s="13">
        <f>IFERROR(FundManager[[#This Row],[Current Value]]-FundManager[[#This Row],[Amount Invested]]," ")</f>
        <v>0</v>
      </c>
      <c r="K594" s="14" t="str">
        <f t="shared" si="19"/>
        <v xml:space="preserve"> </v>
      </c>
      <c r="L594" s="15" t="str" cm="1">
        <f t="array" ref="L594">IFERROR(ROUND(_FV(B594,"Change (%)",TRUE),3) &amp; "%"," ")</f>
        <v xml:space="preserve"> </v>
      </c>
    </row>
    <row r="595" spans="1:12" x14ac:dyDescent="0.25">
      <c r="A595" s="19"/>
      <c r="C595" s="10" t="str" cm="1">
        <f t="array" ref="C595">IFERROR(_FV(FundManager[[#This Row],[Name]],"Ticker symbol",TRUE)," ")</f>
        <v xml:space="preserve"> </v>
      </c>
      <c r="E595" s="13"/>
      <c r="F595" s="13"/>
      <c r="G595" s="10" t="str">
        <f t="shared" si="18"/>
        <v xml:space="preserve"> </v>
      </c>
      <c r="H595" s="13"/>
      <c r="I595" s="24"/>
      <c r="J595" s="13">
        <f>IFERROR(FundManager[[#This Row],[Current Value]]-FundManager[[#This Row],[Amount Invested]]," ")</f>
        <v>0</v>
      </c>
      <c r="K595" s="14" t="str">
        <f t="shared" si="19"/>
        <v xml:space="preserve"> </v>
      </c>
      <c r="L595" s="15" t="str" cm="1">
        <f t="array" ref="L595">IFERROR(ROUND(_FV(B595,"Change (%)",TRUE),3) &amp; "%"," ")</f>
        <v xml:space="preserve"> </v>
      </c>
    </row>
    <row r="596" spans="1:12" x14ac:dyDescent="0.25">
      <c r="A596" s="19"/>
      <c r="C596" s="10" t="str" cm="1">
        <f t="array" ref="C596">IFERROR(_FV(FundManager[[#This Row],[Name]],"Ticker symbol",TRUE)," ")</f>
        <v xml:space="preserve"> </v>
      </c>
      <c r="E596" s="13"/>
      <c r="F596" s="13"/>
      <c r="G596" s="10" t="str">
        <f t="shared" si="18"/>
        <v xml:space="preserve"> </v>
      </c>
      <c r="H596" s="13"/>
      <c r="I596" s="24"/>
      <c r="J596" s="13">
        <f>IFERROR(FundManager[[#This Row],[Current Value]]-FundManager[[#This Row],[Amount Invested]]," ")</f>
        <v>0</v>
      </c>
      <c r="K596" s="14" t="str">
        <f t="shared" si="19"/>
        <v xml:space="preserve"> </v>
      </c>
      <c r="L596" s="15" t="str" cm="1">
        <f t="array" ref="L596">IFERROR(ROUND(_FV(B596,"Change (%)",TRUE),3) &amp; "%"," ")</f>
        <v xml:space="preserve"> </v>
      </c>
    </row>
    <row r="597" spans="1:12" x14ac:dyDescent="0.25">
      <c r="A597" s="19"/>
      <c r="C597" s="10" t="str" cm="1">
        <f t="array" ref="C597">IFERROR(_FV(FundManager[[#This Row],[Name]],"Ticker symbol",TRUE)," ")</f>
        <v xml:space="preserve"> </v>
      </c>
      <c r="E597" s="13"/>
      <c r="F597" s="13"/>
      <c r="G597" s="10" t="str">
        <f t="shared" si="18"/>
        <v xml:space="preserve"> </v>
      </c>
      <c r="H597" s="13"/>
      <c r="I597" s="24"/>
      <c r="J597" s="13">
        <f>IFERROR(FundManager[[#This Row],[Current Value]]-FundManager[[#This Row],[Amount Invested]]," ")</f>
        <v>0</v>
      </c>
      <c r="K597" s="14" t="str">
        <f t="shared" si="19"/>
        <v xml:space="preserve"> </v>
      </c>
      <c r="L597" s="15" t="str" cm="1">
        <f t="array" ref="L597">IFERROR(ROUND(_FV(B597,"Change (%)",TRUE),3) &amp; "%"," ")</f>
        <v xml:space="preserve"> </v>
      </c>
    </row>
    <row r="598" spans="1:12" x14ac:dyDescent="0.25">
      <c r="A598" s="19"/>
      <c r="C598" s="10" t="str" cm="1">
        <f t="array" ref="C598">IFERROR(_FV(FundManager[[#This Row],[Name]],"Ticker symbol",TRUE)," ")</f>
        <v xml:space="preserve"> </v>
      </c>
      <c r="E598" s="13"/>
      <c r="F598" s="13"/>
      <c r="G598" s="10" t="str">
        <f t="shared" si="18"/>
        <v xml:space="preserve"> </v>
      </c>
      <c r="H598" s="13"/>
      <c r="I598" s="24"/>
      <c r="J598" s="13">
        <f>IFERROR(FundManager[[#This Row],[Current Value]]-FundManager[[#This Row],[Amount Invested]]," ")</f>
        <v>0</v>
      </c>
      <c r="K598" s="14" t="str">
        <f t="shared" si="19"/>
        <v xml:space="preserve"> </v>
      </c>
      <c r="L598" s="15" t="str" cm="1">
        <f t="array" ref="L598">IFERROR(ROUND(_FV(B598,"Change (%)",TRUE),3) &amp; "%"," ")</f>
        <v xml:space="preserve"> </v>
      </c>
    </row>
    <row r="599" spans="1:12" x14ac:dyDescent="0.25">
      <c r="A599" s="19"/>
      <c r="C599" s="10" t="str" cm="1">
        <f t="array" ref="C599">IFERROR(_FV(FundManager[[#This Row],[Name]],"Ticker symbol",TRUE)," ")</f>
        <v xml:space="preserve"> </v>
      </c>
      <c r="E599" s="13"/>
      <c r="F599" s="13"/>
      <c r="G599" s="10" t="str">
        <f t="shared" ref="G599:G662" si="20">IFERROR(H599/E599," ")</f>
        <v xml:space="preserve"> </v>
      </c>
      <c r="H599" s="13"/>
      <c r="I599" s="24"/>
      <c r="J599" s="13">
        <f>IFERROR(FundManager[[#This Row],[Current Value]]-FundManager[[#This Row],[Amount Invested]]," ")</f>
        <v>0</v>
      </c>
      <c r="K599" s="14" t="str">
        <f t="shared" ref="K599:K662" si="21">IFERROR((I599-H599)/H599," ")</f>
        <v xml:space="preserve"> </v>
      </c>
      <c r="L599" s="15" t="str" cm="1">
        <f t="array" ref="L599">IFERROR(ROUND(_FV(B599,"Change (%)",TRUE),3) &amp; "%"," ")</f>
        <v xml:space="preserve"> </v>
      </c>
    </row>
    <row r="600" spans="1:12" x14ac:dyDescent="0.25">
      <c r="A600" s="19"/>
      <c r="C600" s="10" t="str" cm="1">
        <f t="array" ref="C600">IFERROR(_FV(FundManager[[#This Row],[Name]],"Ticker symbol",TRUE)," ")</f>
        <v xml:space="preserve"> </v>
      </c>
      <c r="E600" s="13"/>
      <c r="F600" s="13"/>
      <c r="G600" s="10" t="str">
        <f t="shared" si="20"/>
        <v xml:space="preserve"> </v>
      </c>
      <c r="H600" s="13"/>
      <c r="I600" s="24"/>
      <c r="J600" s="13">
        <f>IFERROR(FundManager[[#This Row],[Current Value]]-FundManager[[#This Row],[Amount Invested]]," ")</f>
        <v>0</v>
      </c>
      <c r="K600" s="14" t="str">
        <f t="shared" si="21"/>
        <v xml:space="preserve"> </v>
      </c>
      <c r="L600" s="15" t="str" cm="1">
        <f t="array" ref="L600">IFERROR(ROUND(_FV(B600,"Change (%)",TRUE),3) &amp; "%"," ")</f>
        <v xml:space="preserve"> </v>
      </c>
    </row>
    <row r="601" spans="1:12" x14ac:dyDescent="0.25">
      <c r="A601" s="19"/>
      <c r="C601" s="10" t="str" cm="1">
        <f t="array" ref="C601">IFERROR(_FV(FundManager[[#This Row],[Name]],"Ticker symbol",TRUE)," ")</f>
        <v xml:space="preserve"> </v>
      </c>
      <c r="E601" s="13"/>
      <c r="F601" s="13"/>
      <c r="G601" s="10" t="str">
        <f t="shared" si="20"/>
        <v xml:space="preserve"> </v>
      </c>
      <c r="H601" s="13"/>
      <c r="I601" s="24"/>
      <c r="J601" s="13">
        <f>IFERROR(FundManager[[#This Row],[Current Value]]-FundManager[[#This Row],[Amount Invested]]," ")</f>
        <v>0</v>
      </c>
      <c r="K601" s="14" t="str">
        <f t="shared" si="21"/>
        <v xml:space="preserve"> </v>
      </c>
      <c r="L601" s="15" t="str" cm="1">
        <f t="array" ref="L601">IFERROR(ROUND(_FV(B601,"Change (%)",TRUE),3) &amp; "%"," ")</f>
        <v xml:space="preserve"> </v>
      </c>
    </row>
    <row r="602" spans="1:12" x14ac:dyDescent="0.25">
      <c r="A602" s="19"/>
      <c r="C602" s="10" t="str" cm="1">
        <f t="array" ref="C602">IFERROR(_FV(FundManager[[#This Row],[Name]],"Ticker symbol",TRUE)," ")</f>
        <v xml:space="preserve"> </v>
      </c>
      <c r="E602" s="13"/>
      <c r="F602" s="13"/>
      <c r="G602" s="10" t="str">
        <f t="shared" si="20"/>
        <v xml:space="preserve"> </v>
      </c>
      <c r="H602" s="13"/>
      <c r="I602" s="24"/>
      <c r="J602" s="13">
        <f>IFERROR(FundManager[[#This Row],[Current Value]]-FundManager[[#This Row],[Amount Invested]]," ")</f>
        <v>0</v>
      </c>
      <c r="K602" s="14" t="str">
        <f t="shared" si="21"/>
        <v xml:space="preserve"> </v>
      </c>
      <c r="L602" s="15" t="str" cm="1">
        <f t="array" ref="L602">IFERROR(ROUND(_FV(B602,"Change (%)",TRUE),3) &amp; "%"," ")</f>
        <v xml:space="preserve"> </v>
      </c>
    </row>
    <row r="603" spans="1:12" x14ac:dyDescent="0.25">
      <c r="A603" s="19"/>
      <c r="C603" s="10" t="str" cm="1">
        <f t="array" ref="C603">IFERROR(_FV(FundManager[[#This Row],[Name]],"Ticker symbol",TRUE)," ")</f>
        <v xml:space="preserve"> </v>
      </c>
      <c r="E603" s="13"/>
      <c r="F603" s="13"/>
      <c r="G603" s="10" t="str">
        <f t="shared" si="20"/>
        <v xml:space="preserve"> </v>
      </c>
      <c r="H603" s="13"/>
      <c r="I603" s="24"/>
      <c r="J603" s="13">
        <f>IFERROR(FundManager[[#This Row],[Current Value]]-FundManager[[#This Row],[Amount Invested]]," ")</f>
        <v>0</v>
      </c>
      <c r="K603" s="14" t="str">
        <f t="shared" si="21"/>
        <v xml:space="preserve"> </v>
      </c>
      <c r="L603" s="15" t="str" cm="1">
        <f t="array" ref="L603">IFERROR(ROUND(_FV(B603,"Change (%)",TRUE),3) &amp; "%"," ")</f>
        <v xml:space="preserve"> </v>
      </c>
    </row>
    <row r="604" spans="1:12" x14ac:dyDescent="0.25">
      <c r="A604" s="19"/>
      <c r="C604" s="10" t="str" cm="1">
        <f t="array" ref="C604">IFERROR(_FV(FundManager[[#This Row],[Name]],"Ticker symbol",TRUE)," ")</f>
        <v xml:space="preserve"> </v>
      </c>
      <c r="E604" s="13"/>
      <c r="F604" s="13"/>
      <c r="G604" s="10" t="str">
        <f t="shared" si="20"/>
        <v xml:space="preserve"> </v>
      </c>
      <c r="H604" s="13"/>
      <c r="I604" s="24"/>
      <c r="J604" s="13">
        <f>IFERROR(FundManager[[#This Row],[Current Value]]-FundManager[[#This Row],[Amount Invested]]," ")</f>
        <v>0</v>
      </c>
      <c r="K604" s="14" t="str">
        <f t="shared" si="21"/>
        <v xml:space="preserve"> </v>
      </c>
      <c r="L604" s="15" t="str" cm="1">
        <f t="array" ref="L604">IFERROR(ROUND(_FV(B604,"Change (%)",TRUE),3) &amp; "%"," ")</f>
        <v xml:space="preserve"> </v>
      </c>
    </row>
    <row r="605" spans="1:12" x14ac:dyDescent="0.25">
      <c r="A605" s="19"/>
      <c r="C605" s="10" t="str" cm="1">
        <f t="array" ref="C605">IFERROR(_FV(FundManager[[#This Row],[Name]],"Ticker symbol",TRUE)," ")</f>
        <v xml:space="preserve"> </v>
      </c>
      <c r="E605" s="13"/>
      <c r="F605" s="13"/>
      <c r="G605" s="10" t="str">
        <f t="shared" si="20"/>
        <v xml:space="preserve"> </v>
      </c>
      <c r="H605" s="13"/>
      <c r="I605" s="24"/>
      <c r="J605" s="13">
        <f>IFERROR(FundManager[[#This Row],[Current Value]]-FundManager[[#This Row],[Amount Invested]]," ")</f>
        <v>0</v>
      </c>
      <c r="K605" s="14" t="str">
        <f t="shared" si="21"/>
        <v xml:space="preserve"> </v>
      </c>
      <c r="L605" s="15" t="str" cm="1">
        <f t="array" ref="L605">IFERROR(ROUND(_FV(B605,"Change (%)",TRUE),3) &amp; "%"," ")</f>
        <v xml:space="preserve"> </v>
      </c>
    </row>
    <row r="606" spans="1:12" x14ac:dyDescent="0.25">
      <c r="A606" s="19"/>
      <c r="C606" s="10" t="str" cm="1">
        <f t="array" ref="C606">IFERROR(_FV(FundManager[[#This Row],[Name]],"Ticker symbol",TRUE)," ")</f>
        <v xml:space="preserve"> </v>
      </c>
      <c r="E606" s="13"/>
      <c r="F606" s="13"/>
      <c r="G606" s="10" t="str">
        <f t="shared" si="20"/>
        <v xml:space="preserve"> </v>
      </c>
      <c r="H606" s="13"/>
      <c r="I606" s="24"/>
      <c r="J606" s="13">
        <f>IFERROR(FundManager[[#This Row],[Current Value]]-FundManager[[#This Row],[Amount Invested]]," ")</f>
        <v>0</v>
      </c>
      <c r="K606" s="14" t="str">
        <f t="shared" si="21"/>
        <v xml:space="preserve"> </v>
      </c>
      <c r="L606" s="15" t="str" cm="1">
        <f t="array" ref="L606">IFERROR(ROUND(_FV(B606,"Change (%)",TRUE),3) &amp; "%"," ")</f>
        <v xml:space="preserve"> </v>
      </c>
    </row>
    <row r="607" spans="1:12" x14ac:dyDescent="0.25">
      <c r="A607" s="19"/>
      <c r="C607" s="10" t="str" cm="1">
        <f t="array" ref="C607">IFERROR(_FV(FundManager[[#This Row],[Name]],"Ticker symbol",TRUE)," ")</f>
        <v xml:space="preserve"> </v>
      </c>
      <c r="E607" s="13"/>
      <c r="F607" s="13"/>
      <c r="G607" s="10" t="str">
        <f t="shared" si="20"/>
        <v xml:space="preserve"> </v>
      </c>
      <c r="H607" s="13"/>
      <c r="I607" s="24"/>
      <c r="J607" s="13">
        <f>IFERROR(FundManager[[#This Row],[Current Value]]-FundManager[[#This Row],[Amount Invested]]," ")</f>
        <v>0</v>
      </c>
      <c r="K607" s="14" t="str">
        <f t="shared" si="21"/>
        <v xml:space="preserve"> </v>
      </c>
      <c r="L607" s="15" t="str" cm="1">
        <f t="array" ref="L607">IFERROR(ROUND(_FV(B607,"Change (%)",TRUE),3) &amp; "%"," ")</f>
        <v xml:space="preserve"> </v>
      </c>
    </row>
    <row r="608" spans="1:12" x14ac:dyDescent="0.25">
      <c r="A608" s="19"/>
      <c r="C608" s="10" t="str" cm="1">
        <f t="array" ref="C608">IFERROR(_FV(FundManager[[#This Row],[Name]],"Ticker symbol",TRUE)," ")</f>
        <v xml:space="preserve"> </v>
      </c>
      <c r="E608" s="13"/>
      <c r="F608" s="13"/>
      <c r="G608" s="10" t="str">
        <f t="shared" si="20"/>
        <v xml:space="preserve"> </v>
      </c>
      <c r="H608" s="13"/>
      <c r="I608" s="24"/>
      <c r="J608" s="13">
        <f>IFERROR(FundManager[[#This Row],[Current Value]]-FundManager[[#This Row],[Amount Invested]]," ")</f>
        <v>0</v>
      </c>
      <c r="K608" s="14" t="str">
        <f t="shared" si="21"/>
        <v xml:space="preserve"> </v>
      </c>
      <c r="L608" s="15" t="str" cm="1">
        <f t="array" ref="L608">IFERROR(ROUND(_FV(B608,"Change (%)",TRUE),3) &amp; "%"," ")</f>
        <v xml:space="preserve"> </v>
      </c>
    </row>
    <row r="609" spans="1:12" x14ac:dyDescent="0.25">
      <c r="A609" s="19"/>
      <c r="C609" s="10" t="str" cm="1">
        <f t="array" ref="C609">IFERROR(_FV(FundManager[[#This Row],[Name]],"Ticker symbol",TRUE)," ")</f>
        <v xml:space="preserve"> </v>
      </c>
      <c r="E609" s="13"/>
      <c r="F609" s="13"/>
      <c r="G609" s="10" t="str">
        <f t="shared" si="20"/>
        <v xml:space="preserve"> </v>
      </c>
      <c r="H609" s="13"/>
      <c r="I609" s="24"/>
      <c r="J609" s="13">
        <f>IFERROR(FundManager[[#This Row],[Current Value]]-FundManager[[#This Row],[Amount Invested]]," ")</f>
        <v>0</v>
      </c>
      <c r="K609" s="14" t="str">
        <f t="shared" si="21"/>
        <v xml:space="preserve"> </v>
      </c>
      <c r="L609" s="15" t="str" cm="1">
        <f t="array" ref="L609">IFERROR(ROUND(_FV(B609,"Change (%)",TRUE),3) &amp; "%"," ")</f>
        <v xml:space="preserve"> </v>
      </c>
    </row>
    <row r="610" spans="1:12" x14ac:dyDescent="0.25">
      <c r="A610" s="19"/>
      <c r="C610" s="10" t="str" cm="1">
        <f t="array" ref="C610">IFERROR(_FV(FundManager[[#This Row],[Name]],"Ticker symbol",TRUE)," ")</f>
        <v xml:space="preserve"> </v>
      </c>
      <c r="E610" s="13"/>
      <c r="F610" s="13"/>
      <c r="G610" s="10" t="str">
        <f t="shared" si="20"/>
        <v xml:space="preserve"> </v>
      </c>
      <c r="H610" s="13"/>
      <c r="I610" s="24"/>
      <c r="J610" s="13">
        <f>IFERROR(FundManager[[#This Row],[Current Value]]-FundManager[[#This Row],[Amount Invested]]," ")</f>
        <v>0</v>
      </c>
      <c r="K610" s="14" t="str">
        <f t="shared" si="21"/>
        <v xml:space="preserve"> </v>
      </c>
      <c r="L610" s="15" t="str" cm="1">
        <f t="array" ref="L610">IFERROR(ROUND(_FV(B610,"Change (%)",TRUE),3) &amp; "%"," ")</f>
        <v xml:space="preserve"> </v>
      </c>
    </row>
    <row r="611" spans="1:12" x14ac:dyDescent="0.25">
      <c r="A611" s="19"/>
      <c r="C611" s="10" t="str" cm="1">
        <f t="array" ref="C611">IFERROR(_FV(FundManager[[#This Row],[Name]],"Ticker symbol",TRUE)," ")</f>
        <v xml:space="preserve"> </v>
      </c>
      <c r="E611" s="13"/>
      <c r="F611" s="13"/>
      <c r="G611" s="10" t="str">
        <f t="shared" si="20"/>
        <v xml:space="preserve"> </v>
      </c>
      <c r="H611" s="13"/>
      <c r="I611" s="24"/>
      <c r="J611" s="13">
        <f>IFERROR(FundManager[[#This Row],[Current Value]]-FundManager[[#This Row],[Amount Invested]]," ")</f>
        <v>0</v>
      </c>
      <c r="K611" s="14" t="str">
        <f t="shared" si="21"/>
        <v xml:space="preserve"> </v>
      </c>
      <c r="L611" s="15" t="str" cm="1">
        <f t="array" ref="L611">IFERROR(ROUND(_FV(B611,"Change (%)",TRUE),3) &amp; "%"," ")</f>
        <v xml:space="preserve"> </v>
      </c>
    </row>
    <row r="612" spans="1:12" x14ac:dyDescent="0.25">
      <c r="A612" s="19"/>
      <c r="C612" s="10" t="str" cm="1">
        <f t="array" ref="C612">IFERROR(_FV(FundManager[[#This Row],[Name]],"Ticker symbol",TRUE)," ")</f>
        <v xml:space="preserve"> </v>
      </c>
      <c r="E612" s="13"/>
      <c r="F612" s="13"/>
      <c r="G612" s="10" t="str">
        <f t="shared" si="20"/>
        <v xml:space="preserve"> </v>
      </c>
      <c r="H612" s="13"/>
      <c r="I612" s="24"/>
      <c r="J612" s="13">
        <f>IFERROR(FundManager[[#This Row],[Current Value]]-FundManager[[#This Row],[Amount Invested]]," ")</f>
        <v>0</v>
      </c>
      <c r="K612" s="14" t="str">
        <f t="shared" si="21"/>
        <v xml:space="preserve"> </v>
      </c>
      <c r="L612" s="15" t="str" cm="1">
        <f t="array" ref="L612">IFERROR(ROUND(_FV(B612,"Change (%)",TRUE),3) &amp; "%"," ")</f>
        <v xml:space="preserve"> </v>
      </c>
    </row>
    <row r="613" spans="1:12" x14ac:dyDescent="0.25">
      <c r="A613" s="19"/>
      <c r="C613" s="10" t="str" cm="1">
        <f t="array" ref="C613">IFERROR(_FV(FundManager[[#This Row],[Name]],"Ticker symbol",TRUE)," ")</f>
        <v xml:space="preserve"> </v>
      </c>
      <c r="E613" s="13"/>
      <c r="F613" s="13"/>
      <c r="G613" s="10" t="str">
        <f t="shared" si="20"/>
        <v xml:space="preserve"> </v>
      </c>
      <c r="H613" s="13"/>
      <c r="I613" s="24"/>
      <c r="J613" s="13">
        <f>IFERROR(FundManager[[#This Row],[Current Value]]-FundManager[[#This Row],[Amount Invested]]," ")</f>
        <v>0</v>
      </c>
      <c r="K613" s="14" t="str">
        <f t="shared" si="21"/>
        <v xml:space="preserve"> </v>
      </c>
      <c r="L613" s="15" t="str" cm="1">
        <f t="array" ref="L613">IFERROR(ROUND(_FV(B613,"Change (%)",TRUE),3) &amp; "%"," ")</f>
        <v xml:space="preserve"> </v>
      </c>
    </row>
    <row r="614" spans="1:12" x14ac:dyDescent="0.25">
      <c r="A614" s="19"/>
      <c r="C614" s="10" t="str" cm="1">
        <f t="array" ref="C614">IFERROR(_FV(FundManager[[#This Row],[Name]],"Ticker symbol",TRUE)," ")</f>
        <v xml:space="preserve"> </v>
      </c>
      <c r="E614" s="13"/>
      <c r="F614" s="13"/>
      <c r="G614" s="10" t="str">
        <f t="shared" si="20"/>
        <v xml:space="preserve"> </v>
      </c>
      <c r="H614" s="13"/>
      <c r="I614" s="24"/>
      <c r="J614" s="13">
        <f>IFERROR(FundManager[[#This Row],[Current Value]]-FundManager[[#This Row],[Amount Invested]]," ")</f>
        <v>0</v>
      </c>
      <c r="K614" s="14" t="str">
        <f t="shared" si="21"/>
        <v xml:space="preserve"> </v>
      </c>
      <c r="L614" s="15" t="str" cm="1">
        <f t="array" ref="L614">IFERROR(ROUND(_FV(B614,"Change (%)",TRUE),3) &amp; "%"," ")</f>
        <v xml:space="preserve"> </v>
      </c>
    </row>
    <row r="615" spans="1:12" x14ac:dyDescent="0.25">
      <c r="A615" s="19"/>
      <c r="C615" s="10" t="str" cm="1">
        <f t="array" ref="C615">IFERROR(_FV(FundManager[[#This Row],[Name]],"Ticker symbol",TRUE)," ")</f>
        <v xml:space="preserve"> </v>
      </c>
      <c r="E615" s="13"/>
      <c r="F615" s="13"/>
      <c r="G615" s="10" t="str">
        <f t="shared" si="20"/>
        <v xml:space="preserve"> </v>
      </c>
      <c r="H615" s="13"/>
      <c r="I615" s="24"/>
      <c r="J615" s="13">
        <f>IFERROR(FundManager[[#This Row],[Current Value]]-FundManager[[#This Row],[Amount Invested]]," ")</f>
        <v>0</v>
      </c>
      <c r="K615" s="14" t="str">
        <f t="shared" si="21"/>
        <v xml:space="preserve"> </v>
      </c>
      <c r="L615" s="15" t="str" cm="1">
        <f t="array" ref="L615">IFERROR(ROUND(_FV(B615,"Change (%)",TRUE),3) &amp; "%"," ")</f>
        <v xml:space="preserve"> </v>
      </c>
    </row>
    <row r="616" spans="1:12" x14ac:dyDescent="0.25">
      <c r="A616" s="19"/>
      <c r="C616" s="10" t="str" cm="1">
        <f t="array" ref="C616">IFERROR(_FV(FundManager[[#This Row],[Name]],"Ticker symbol",TRUE)," ")</f>
        <v xml:space="preserve"> </v>
      </c>
      <c r="E616" s="13"/>
      <c r="F616" s="13"/>
      <c r="G616" s="10" t="str">
        <f t="shared" si="20"/>
        <v xml:space="preserve"> </v>
      </c>
      <c r="H616" s="13"/>
      <c r="I616" s="24"/>
      <c r="J616" s="13">
        <f>IFERROR(FundManager[[#This Row],[Current Value]]-FundManager[[#This Row],[Amount Invested]]," ")</f>
        <v>0</v>
      </c>
      <c r="K616" s="14" t="str">
        <f t="shared" si="21"/>
        <v xml:space="preserve"> </v>
      </c>
      <c r="L616" s="15" t="str" cm="1">
        <f t="array" ref="L616">IFERROR(ROUND(_FV(B616,"Change (%)",TRUE),3) &amp; "%"," ")</f>
        <v xml:space="preserve"> </v>
      </c>
    </row>
    <row r="617" spans="1:12" x14ac:dyDescent="0.25">
      <c r="A617" s="19"/>
      <c r="C617" s="10" t="str" cm="1">
        <f t="array" ref="C617">IFERROR(_FV(FundManager[[#This Row],[Name]],"Ticker symbol",TRUE)," ")</f>
        <v xml:space="preserve"> </v>
      </c>
      <c r="E617" s="13"/>
      <c r="F617" s="13"/>
      <c r="G617" s="10" t="str">
        <f t="shared" si="20"/>
        <v xml:space="preserve"> </v>
      </c>
      <c r="H617" s="13"/>
      <c r="I617" s="24"/>
      <c r="J617" s="13">
        <f>IFERROR(FundManager[[#This Row],[Current Value]]-FundManager[[#This Row],[Amount Invested]]," ")</f>
        <v>0</v>
      </c>
      <c r="K617" s="14" t="str">
        <f t="shared" si="21"/>
        <v xml:space="preserve"> </v>
      </c>
      <c r="L617" s="15" t="str" cm="1">
        <f t="array" ref="L617">IFERROR(ROUND(_FV(B617,"Change (%)",TRUE),3) &amp; "%"," ")</f>
        <v xml:space="preserve"> </v>
      </c>
    </row>
    <row r="618" spans="1:12" x14ac:dyDescent="0.25">
      <c r="A618" s="19"/>
      <c r="C618" s="10" t="str" cm="1">
        <f t="array" ref="C618">IFERROR(_FV(FundManager[[#This Row],[Name]],"Ticker symbol",TRUE)," ")</f>
        <v xml:space="preserve"> </v>
      </c>
      <c r="E618" s="13"/>
      <c r="F618" s="13"/>
      <c r="G618" s="10" t="str">
        <f t="shared" si="20"/>
        <v xml:space="preserve"> </v>
      </c>
      <c r="H618" s="13"/>
      <c r="I618" s="24"/>
      <c r="J618" s="13">
        <f>IFERROR(FundManager[[#This Row],[Current Value]]-FundManager[[#This Row],[Amount Invested]]," ")</f>
        <v>0</v>
      </c>
      <c r="K618" s="14" t="str">
        <f t="shared" si="21"/>
        <v xml:space="preserve"> </v>
      </c>
      <c r="L618" s="15" t="str" cm="1">
        <f t="array" ref="L618">IFERROR(ROUND(_FV(B618,"Change (%)",TRUE),3) &amp; "%"," ")</f>
        <v xml:space="preserve"> </v>
      </c>
    </row>
    <row r="619" spans="1:12" x14ac:dyDescent="0.25">
      <c r="A619" s="19"/>
      <c r="C619" s="10" t="str" cm="1">
        <f t="array" ref="C619">IFERROR(_FV(FundManager[[#This Row],[Name]],"Ticker symbol",TRUE)," ")</f>
        <v xml:space="preserve"> </v>
      </c>
      <c r="E619" s="13"/>
      <c r="F619" s="13"/>
      <c r="G619" s="10" t="str">
        <f t="shared" si="20"/>
        <v xml:space="preserve"> </v>
      </c>
      <c r="H619" s="13"/>
      <c r="I619" s="24"/>
      <c r="J619" s="13">
        <f>IFERROR(FundManager[[#This Row],[Current Value]]-FundManager[[#This Row],[Amount Invested]]," ")</f>
        <v>0</v>
      </c>
      <c r="K619" s="14" t="str">
        <f t="shared" si="21"/>
        <v xml:space="preserve"> </v>
      </c>
      <c r="L619" s="15" t="str" cm="1">
        <f t="array" ref="L619">IFERROR(ROUND(_FV(B619,"Change (%)",TRUE),3) &amp; "%"," ")</f>
        <v xml:space="preserve"> </v>
      </c>
    </row>
    <row r="620" spans="1:12" x14ac:dyDescent="0.25">
      <c r="A620" s="19"/>
      <c r="C620" s="10" t="str" cm="1">
        <f t="array" ref="C620">IFERROR(_FV(FundManager[[#This Row],[Name]],"Ticker symbol",TRUE)," ")</f>
        <v xml:space="preserve"> </v>
      </c>
      <c r="E620" s="13"/>
      <c r="F620" s="13"/>
      <c r="G620" s="10" t="str">
        <f t="shared" si="20"/>
        <v xml:space="preserve"> </v>
      </c>
      <c r="H620" s="13"/>
      <c r="I620" s="24"/>
      <c r="J620" s="13">
        <f>IFERROR(FundManager[[#This Row],[Current Value]]-FundManager[[#This Row],[Amount Invested]]," ")</f>
        <v>0</v>
      </c>
      <c r="K620" s="14" t="str">
        <f t="shared" si="21"/>
        <v xml:space="preserve"> </v>
      </c>
      <c r="L620" s="15" t="str" cm="1">
        <f t="array" ref="L620">IFERROR(ROUND(_FV(B620,"Change (%)",TRUE),3) &amp; "%"," ")</f>
        <v xml:space="preserve"> </v>
      </c>
    </row>
    <row r="621" spans="1:12" x14ac:dyDescent="0.25">
      <c r="A621" s="19"/>
      <c r="C621" s="10" t="str" cm="1">
        <f t="array" ref="C621">IFERROR(_FV(FundManager[[#This Row],[Name]],"Ticker symbol",TRUE)," ")</f>
        <v xml:space="preserve"> </v>
      </c>
      <c r="E621" s="13"/>
      <c r="F621" s="13"/>
      <c r="G621" s="10" t="str">
        <f t="shared" si="20"/>
        <v xml:space="preserve"> </v>
      </c>
      <c r="H621" s="13"/>
      <c r="I621" s="24"/>
      <c r="J621" s="13">
        <f>IFERROR(FundManager[[#This Row],[Current Value]]-FundManager[[#This Row],[Amount Invested]]," ")</f>
        <v>0</v>
      </c>
      <c r="K621" s="14" t="str">
        <f t="shared" si="21"/>
        <v xml:space="preserve"> </v>
      </c>
      <c r="L621" s="15" t="str" cm="1">
        <f t="array" ref="L621">IFERROR(ROUND(_FV(B621,"Change (%)",TRUE),3) &amp; "%"," ")</f>
        <v xml:space="preserve"> </v>
      </c>
    </row>
    <row r="622" spans="1:12" x14ac:dyDescent="0.25">
      <c r="A622" s="19"/>
      <c r="C622" s="10" t="str" cm="1">
        <f t="array" ref="C622">IFERROR(_FV(FundManager[[#This Row],[Name]],"Ticker symbol",TRUE)," ")</f>
        <v xml:space="preserve"> </v>
      </c>
      <c r="E622" s="13"/>
      <c r="F622" s="13"/>
      <c r="G622" s="10" t="str">
        <f t="shared" si="20"/>
        <v xml:space="preserve"> </v>
      </c>
      <c r="H622" s="13"/>
      <c r="I622" s="24"/>
      <c r="J622" s="13">
        <f>IFERROR(FundManager[[#This Row],[Current Value]]-FundManager[[#This Row],[Amount Invested]]," ")</f>
        <v>0</v>
      </c>
      <c r="K622" s="14" t="str">
        <f t="shared" si="21"/>
        <v xml:space="preserve"> </v>
      </c>
      <c r="L622" s="15" t="str" cm="1">
        <f t="array" ref="L622">IFERROR(ROUND(_FV(B622,"Change (%)",TRUE),3) &amp; "%"," ")</f>
        <v xml:space="preserve"> </v>
      </c>
    </row>
    <row r="623" spans="1:12" x14ac:dyDescent="0.25">
      <c r="A623" s="19"/>
      <c r="C623" s="10" t="str" cm="1">
        <f t="array" ref="C623">IFERROR(_FV(FundManager[[#This Row],[Name]],"Ticker symbol",TRUE)," ")</f>
        <v xml:space="preserve"> </v>
      </c>
      <c r="E623" s="13"/>
      <c r="F623" s="13"/>
      <c r="G623" s="10" t="str">
        <f t="shared" si="20"/>
        <v xml:space="preserve"> </v>
      </c>
      <c r="H623" s="13"/>
      <c r="I623" s="24"/>
      <c r="J623" s="13">
        <f>IFERROR(FundManager[[#This Row],[Current Value]]-FundManager[[#This Row],[Amount Invested]]," ")</f>
        <v>0</v>
      </c>
      <c r="K623" s="14" t="str">
        <f t="shared" si="21"/>
        <v xml:space="preserve"> </v>
      </c>
      <c r="L623" s="15" t="str" cm="1">
        <f t="array" ref="L623">IFERROR(ROUND(_FV(B623,"Change (%)",TRUE),3) &amp; "%"," ")</f>
        <v xml:space="preserve"> </v>
      </c>
    </row>
    <row r="624" spans="1:12" x14ac:dyDescent="0.25">
      <c r="A624" s="19"/>
      <c r="C624" s="10" t="str" cm="1">
        <f t="array" ref="C624">IFERROR(_FV(FundManager[[#This Row],[Name]],"Ticker symbol",TRUE)," ")</f>
        <v xml:space="preserve"> </v>
      </c>
      <c r="E624" s="13"/>
      <c r="F624" s="13"/>
      <c r="G624" s="10" t="str">
        <f t="shared" si="20"/>
        <v xml:space="preserve"> </v>
      </c>
      <c r="H624" s="13"/>
      <c r="I624" s="24"/>
      <c r="J624" s="13">
        <f>IFERROR(FundManager[[#This Row],[Current Value]]-FundManager[[#This Row],[Amount Invested]]," ")</f>
        <v>0</v>
      </c>
      <c r="K624" s="14" t="str">
        <f t="shared" si="21"/>
        <v xml:space="preserve"> </v>
      </c>
      <c r="L624" s="15" t="str" cm="1">
        <f t="array" ref="L624">IFERROR(ROUND(_FV(B624,"Change (%)",TRUE),3) &amp; "%"," ")</f>
        <v xml:space="preserve"> </v>
      </c>
    </row>
    <row r="625" spans="1:12" x14ac:dyDescent="0.25">
      <c r="A625" s="19"/>
      <c r="C625" s="10" t="str" cm="1">
        <f t="array" ref="C625">IFERROR(_FV(FundManager[[#This Row],[Name]],"Ticker symbol",TRUE)," ")</f>
        <v xml:space="preserve"> </v>
      </c>
      <c r="E625" s="13"/>
      <c r="F625" s="13"/>
      <c r="G625" s="10" t="str">
        <f t="shared" si="20"/>
        <v xml:space="preserve"> </v>
      </c>
      <c r="H625" s="13"/>
      <c r="I625" s="24"/>
      <c r="J625" s="13">
        <f>IFERROR(FundManager[[#This Row],[Current Value]]-FundManager[[#This Row],[Amount Invested]]," ")</f>
        <v>0</v>
      </c>
      <c r="K625" s="14" t="str">
        <f t="shared" si="21"/>
        <v xml:space="preserve"> </v>
      </c>
      <c r="L625" s="15" t="str" cm="1">
        <f t="array" ref="L625">IFERROR(ROUND(_FV(B625,"Change (%)",TRUE),3) &amp; "%"," ")</f>
        <v xml:space="preserve"> </v>
      </c>
    </row>
    <row r="626" spans="1:12" x14ac:dyDescent="0.25">
      <c r="A626" s="19"/>
      <c r="C626" s="10" t="str" cm="1">
        <f t="array" ref="C626">IFERROR(_FV(FundManager[[#This Row],[Name]],"Ticker symbol",TRUE)," ")</f>
        <v xml:space="preserve"> </v>
      </c>
      <c r="E626" s="13"/>
      <c r="F626" s="13"/>
      <c r="G626" s="10" t="str">
        <f t="shared" si="20"/>
        <v xml:space="preserve"> </v>
      </c>
      <c r="H626" s="13"/>
      <c r="I626" s="24"/>
      <c r="J626" s="13">
        <f>IFERROR(FundManager[[#This Row],[Current Value]]-FundManager[[#This Row],[Amount Invested]]," ")</f>
        <v>0</v>
      </c>
      <c r="K626" s="14" t="str">
        <f t="shared" si="21"/>
        <v xml:space="preserve"> </v>
      </c>
      <c r="L626" s="15" t="str" cm="1">
        <f t="array" ref="L626">IFERROR(ROUND(_FV(B626,"Change (%)",TRUE),3) &amp; "%"," ")</f>
        <v xml:space="preserve"> </v>
      </c>
    </row>
    <row r="627" spans="1:12" x14ac:dyDescent="0.25">
      <c r="A627" s="19"/>
      <c r="C627" s="10" t="str" cm="1">
        <f t="array" ref="C627">IFERROR(_FV(FundManager[[#This Row],[Name]],"Ticker symbol",TRUE)," ")</f>
        <v xml:space="preserve"> </v>
      </c>
      <c r="E627" s="13"/>
      <c r="F627" s="13"/>
      <c r="G627" s="10" t="str">
        <f t="shared" si="20"/>
        <v xml:space="preserve"> </v>
      </c>
      <c r="H627" s="13"/>
      <c r="I627" s="24"/>
      <c r="J627" s="13">
        <f>IFERROR(FundManager[[#This Row],[Current Value]]-FundManager[[#This Row],[Amount Invested]]," ")</f>
        <v>0</v>
      </c>
      <c r="K627" s="14" t="str">
        <f t="shared" si="21"/>
        <v xml:space="preserve"> </v>
      </c>
      <c r="L627" s="15" t="str" cm="1">
        <f t="array" ref="L627">IFERROR(ROUND(_FV(B627,"Change (%)",TRUE),3) &amp; "%"," ")</f>
        <v xml:space="preserve"> </v>
      </c>
    </row>
    <row r="628" spans="1:12" x14ac:dyDescent="0.25">
      <c r="A628" s="19"/>
      <c r="C628" s="10" t="str" cm="1">
        <f t="array" ref="C628">IFERROR(_FV(FundManager[[#This Row],[Name]],"Ticker symbol",TRUE)," ")</f>
        <v xml:space="preserve"> </v>
      </c>
      <c r="E628" s="13"/>
      <c r="F628" s="13"/>
      <c r="G628" s="10" t="str">
        <f t="shared" si="20"/>
        <v xml:space="preserve"> </v>
      </c>
      <c r="H628" s="13"/>
      <c r="I628" s="24"/>
      <c r="J628" s="13">
        <f>IFERROR(FundManager[[#This Row],[Current Value]]-FundManager[[#This Row],[Amount Invested]]," ")</f>
        <v>0</v>
      </c>
      <c r="K628" s="14" t="str">
        <f t="shared" si="21"/>
        <v xml:space="preserve"> </v>
      </c>
      <c r="L628" s="15" t="str" cm="1">
        <f t="array" ref="L628">IFERROR(ROUND(_FV(B628,"Change (%)",TRUE),3) &amp; "%"," ")</f>
        <v xml:space="preserve"> </v>
      </c>
    </row>
    <row r="629" spans="1:12" x14ac:dyDescent="0.25">
      <c r="A629" s="19"/>
      <c r="C629" s="10" t="str" cm="1">
        <f t="array" ref="C629">IFERROR(_FV(FundManager[[#This Row],[Name]],"Ticker symbol",TRUE)," ")</f>
        <v xml:space="preserve"> </v>
      </c>
      <c r="E629" s="13"/>
      <c r="F629" s="13"/>
      <c r="G629" s="10" t="str">
        <f t="shared" si="20"/>
        <v xml:space="preserve"> </v>
      </c>
      <c r="H629" s="13"/>
      <c r="I629" s="24"/>
      <c r="J629" s="13">
        <f>IFERROR(FundManager[[#This Row],[Current Value]]-FundManager[[#This Row],[Amount Invested]]," ")</f>
        <v>0</v>
      </c>
      <c r="K629" s="14" t="str">
        <f t="shared" si="21"/>
        <v xml:space="preserve"> </v>
      </c>
      <c r="L629" s="15" t="str" cm="1">
        <f t="array" ref="L629">IFERROR(ROUND(_FV(B629,"Change (%)",TRUE),3) &amp; "%"," ")</f>
        <v xml:space="preserve"> </v>
      </c>
    </row>
    <row r="630" spans="1:12" x14ac:dyDescent="0.25">
      <c r="A630" s="19"/>
      <c r="C630" s="10" t="str" cm="1">
        <f t="array" ref="C630">IFERROR(_FV(FundManager[[#This Row],[Name]],"Ticker symbol",TRUE)," ")</f>
        <v xml:space="preserve"> </v>
      </c>
      <c r="E630" s="13"/>
      <c r="F630" s="13"/>
      <c r="G630" s="10" t="str">
        <f t="shared" si="20"/>
        <v xml:space="preserve"> </v>
      </c>
      <c r="H630" s="13"/>
      <c r="I630" s="24"/>
      <c r="J630" s="13">
        <f>IFERROR(FundManager[[#This Row],[Current Value]]-FundManager[[#This Row],[Amount Invested]]," ")</f>
        <v>0</v>
      </c>
      <c r="K630" s="14" t="str">
        <f t="shared" si="21"/>
        <v xml:space="preserve"> </v>
      </c>
      <c r="L630" s="15" t="str" cm="1">
        <f t="array" ref="L630">IFERROR(ROUND(_FV(B630,"Change (%)",TRUE),3) &amp; "%"," ")</f>
        <v xml:space="preserve"> </v>
      </c>
    </row>
    <row r="631" spans="1:12" x14ac:dyDescent="0.25">
      <c r="A631" s="19"/>
      <c r="C631" s="10" t="str" cm="1">
        <f t="array" ref="C631">IFERROR(_FV(FundManager[[#This Row],[Name]],"Ticker symbol",TRUE)," ")</f>
        <v xml:space="preserve"> </v>
      </c>
      <c r="E631" s="13"/>
      <c r="F631" s="13"/>
      <c r="G631" s="10" t="str">
        <f t="shared" si="20"/>
        <v xml:space="preserve"> </v>
      </c>
      <c r="H631" s="13"/>
      <c r="I631" s="24"/>
      <c r="J631" s="13">
        <f>IFERROR(FundManager[[#This Row],[Current Value]]-FundManager[[#This Row],[Amount Invested]]," ")</f>
        <v>0</v>
      </c>
      <c r="K631" s="14" t="str">
        <f t="shared" si="21"/>
        <v xml:space="preserve"> </v>
      </c>
      <c r="L631" s="15" t="str" cm="1">
        <f t="array" ref="L631">IFERROR(ROUND(_FV(B631,"Change (%)",TRUE),3) &amp; "%"," ")</f>
        <v xml:space="preserve"> </v>
      </c>
    </row>
    <row r="632" spans="1:12" x14ac:dyDescent="0.25">
      <c r="A632" s="19"/>
      <c r="C632" s="10" t="str" cm="1">
        <f t="array" ref="C632">IFERROR(_FV(FundManager[[#This Row],[Name]],"Ticker symbol",TRUE)," ")</f>
        <v xml:space="preserve"> </v>
      </c>
      <c r="E632" s="13"/>
      <c r="F632" s="13"/>
      <c r="G632" s="10" t="str">
        <f t="shared" si="20"/>
        <v xml:space="preserve"> </v>
      </c>
      <c r="H632" s="13"/>
      <c r="I632" s="24"/>
      <c r="J632" s="13">
        <f>IFERROR(FundManager[[#This Row],[Current Value]]-FundManager[[#This Row],[Amount Invested]]," ")</f>
        <v>0</v>
      </c>
      <c r="K632" s="14" t="str">
        <f t="shared" si="21"/>
        <v xml:space="preserve"> </v>
      </c>
      <c r="L632" s="15" t="str" cm="1">
        <f t="array" ref="L632">IFERROR(ROUND(_FV(B632,"Change (%)",TRUE),3) &amp; "%"," ")</f>
        <v xml:space="preserve"> </v>
      </c>
    </row>
    <row r="633" spans="1:12" x14ac:dyDescent="0.25">
      <c r="A633" s="19"/>
      <c r="C633" s="10" t="str" cm="1">
        <f t="array" ref="C633">IFERROR(_FV(FundManager[[#This Row],[Name]],"Ticker symbol",TRUE)," ")</f>
        <v xml:space="preserve"> </v>
      </c>
      <c r="E633" s="13"/>
      <c r="F633" s="13"/>
      <c r="G633" s="10" t="str">
        <f t="shared" si="20"/>
        <v xml:space="preserve"> </v>
      </c>
      <c r="H633" s="13"/>
      <c r="I633" s="24"/>
      <c r="J633" s="13">
        <f>IFERROR(FundManager[[#This Row],[Current Value]]-FundManager[[#This Row],[Amount Invested]]," ")</f>
        <v>0</v>
      </c>
      <c r="K633" s="14" t="str">
        <f t="shared" si="21"/>
        <v xml:space="preserve"> </v>
      </c>
      <c r="L633" s="15" t="str" cm="1">
        <f t="array" ref="L633">IFERROR(ROUND(_FV(B633,"Change (%)",TRUE),3) &amp; "%"," ")</f>
        <v xml:space="preserve"> </v>
      </c>
    </row>
    <row r="634" spans="1:12" x14ac:dyDescent="0.25">
      <c r="A634" s="19"/>
      <c r="C634" s="10" t="str" cm="1">
        <f t="array" ref="C634">IFERROR(_FV(FundManager[[#This Row],[Name]],"Ticker symbol",TRUE)," ")</f>
        <v xml:space="preserve"> </v>
      </c>
      <c r="E634" s="13"/>
      <c r="F634" s="13"/>
      <c r="G634" s="10" t="str">
        <f t="shared" si="20"/>
        <v xml:space="preserve"> </v>
      </c>
      <c r="H634" s="13"/>
      <c r="I634" s="24"/>
      <c r="J634" s="13">
        <f>IFERROR(FundManager[[#This Row],[Current Value]]-FundManager[[#This Row],[Amount Invested]]," ")</f>
        <v>0</v>
      </c>
      <c r="K634" s="14" t="str">
        <f t="shared" si="21"/>
        <v xml:space="preserve"> </v>
      </c>
      <c r="L634" s="15" t="str" cm="1">
        <f t="array" ref="L634">IFERROR(ROUND(_FV(B634,"Change (%)",TRUE),3) &amp; "%"," ")</f>
        <v xml:space="preserve"> </v>
      </c>
    </row>
    <row r="635" spans="1:12" x14ac:dyDescent="0.25">
      <c r="A635" s="19"/>
      <c r="C635" s="10" t="str" cm="1">
        <f t="array" ref="C635">IFERROR(_FV(FundManager[[#This Row],[Name]],"Ticker symbol",TRUE)," ")</f>
        <v xml:space="preserve"> </v>
      </c>
      <c r="E635" s="13"/>
      <c r="F635" s="13"/>
      <c r="G635" s="10" t="str">
        <f t="shared" si="20"/>
        <v xml:space="preserve"> </v>
      </c>
      <c r="H635" s="13"/>
      <c r="I635" s="24"/>
      <c r="J635" s="13">
        <f>IFERROR(FundManager[[#This Row],[Current Value]]-FundManager[[#This Row],[Amount Invested]]," ")</f>
        <v>0</v>
      </c>
      <c r="K635" s="14" t="str">
        <f t="shared" si="21"/>
        <v xml:space="preserve"> </v>
      </c>
      <c r="L635" s="15" t="str" cm="1">
        <f t="array" ref="L635">IFERROR(ROUND(_FV(B635,"Change (%)",TRUE),3) &amp; "%"," ")</f>
        <v xml:space="preserve"> </v>
      </c>
    </row>
    <row r="636" spans="1:12" x14ac:dyDescent="0.25">
      <c r="A636" s="19"/>
      <c r="C636" s="10" t="str" cm="1">
        <f t="array" ref="C636">IFERROR(_FV(FundManager[[#This Row],[Name]],"Ticker symbol",TRUE)," ")</f>
        <v xml:space="preserve"> </v>
      </c>
      <c r="E636" s="13"/>
      <c r="F636" s="13"/>
      <c r="G636" s="10" t="str">
        <f t="shared" si="20"/>
        <v xml:space="preserve"> </v>
      </c>
      <c r="H636" s="13"/>
      <c r="I636" s="24"/>
      <c r="J636" s="13">
        <f>IFERROR(FundManager[[#This Row],[Current Value]]-FundManager[[#This Row],[Amount Invested]]," ")</f>
        <v>0</v>
      </c>
      <c r="K636" s="14" t="str">
        <f t="shared" si="21"/>
        <v xml:space="preserve"> </v>
      </c>
      <c r="L636" s="15" t="str" cm="1">
        <f t="array" ref="L636">IFERROR(ROUND(_FV(B636,"Change (%)",TRUE),3) &amp; "%"," ")</f>
        <v xml:space="preserve"> </v>
      </c>
    </row>
    <row r="637" spans="1:12" x14ac:dyDescent="0.25">
      <c r="A637" s="19"/>
      <c r="C637" s="10" t="str" cm="1">
        <f t="array" ref="C637">IFERROR(_FV(FundManager[[#This Row],[Name]],"Ticker symbol",TRUE)," ")</f>
        <v xml:space="preserve"> </v>
      </c>
      <c r="E637" s="13"/>
      <c r="F637" s="13"/>
      <c r="G637" s="10" t="str">
        <f t="shared" si="20"/>
        <v xml:space="preserve"> </v>
      </c>
      <c r="H637" s="13"/>
      <c r="I637" s="24"/>
      <c r="J637" s="13">
        <f>IFERROR(FundManager[[#This Row],[Current Value]]-FundManager[[#This Row],[Amount Invested]]," ")</f>
        <v>0</v>
      </c>
      <c r="K637" s="14" t="str">
        <f t="shared" si="21"/>
        <v xml:space="preserve"> </v>
      </c>
      <c r="L637" s="15" t="str" cm="1">
        <f t="array" ref="L637">IFERROR(ROUND(_FV(B637,"Change (%)",TRUE),3) &amp; "%"," ")</f>
        <v xml:space="preserve"> </v>
      </c>
    </row>
    <row r="638" spans="1:12" x14ac:dyDescent="0.25">
      <c r="A638" s="19"/>
      <c r="C638" s="10" t="str" cm="1">
        <f t="array" ref="C638">IFERROR(_FV(FundManager[[#This Row],[Name]],"Ticker symbol",TRUE)," ")</f>
        <v xml:space="preserve"> </v>
      </c>
      <c r="E638" s="13"/>
      <c r="F638" s="13"/>
      <c r="G638" s="10" t="str">
        <f t="shared" si="20"/>
        <v xml:space="preserve"> </v>
      </c>
      <c r="H638" s="13"/>
      <c r="I638" s="24"/>
      <c r="J638" s="13">
        <f>IFERROR(FundManager[[#This Row],[Current Value]]-FundManager[[#This Row],[Amount Invested]]," ")</f>
        <v>0</v>
      </c>
      <c r="K638" s="14" t="str">
        <f t="shared" si="21"/>
        <v xml:space="preserve"> </v>
      </c>
      <c r="L638" s="15" t="str" cm="1">
        <f t="array" ref="L638">IFERROR(ROUND(_FV(B638,"Change (%)",TRUE),3) &amp; "%"," ")</f>
        <v xml:space="preserve"> </v>
      </c>
    </row>
    <row r="639" spans="1:12" x14ac:dyDescent="0.25">
      <c r="A639" s="19"/>
      <c r="C639" s="10" t="str" cm="1">
        <f t="array" ref="C639">IFERROR(_FV(FundManager[[#This Row],[Name]],"Ticker symbol",TRUE)," ")</f>
        <v xml:space="preserve"> </v>
      </c>
      <c r="E639" s="13"/>
      <c r="F639" s="13"/>
      <c r="G639" s="10" t="str">
        <f t="shared" si="20"/>
        <v xml:space="preserve"> </v>
      </c>
      <c r="H639" s="13"/>
      <c r="I639" s="24"/>
      <c r="J639" s="13">
        <f>IFERROR(FundManager[[#This Row],[Current Value]]-FundManager[[#This Row],[Amount Invested]]," ")</f>
        <v>0</v>
      </c>
      <c r="K639" s="14" t="str">
        <f t="shared" si="21"/>
        <v xml:space="preserve"> </v>
      </c>
      <c r="L639" s="15" t="str" cm="1">
        <f t="array" ref="L639">IFERROR(ROUND(_FV(B639,"Change (%)",TRUE),3) &amp; "%"," ")</f>
        <v xml:space="preserve"> </v>
      </c>
    </row>
    <row r="640" spans="1:12" x14ac:dyDescent="0.25">
      <c r="A640" s="19"/>
      <c r="C640" s="10" t="str" cm="1">
        <f t="array" ref="C640">IFERROR(_FV(FundManager[[#This Row],[Name]],"Ticker symbol",TRUE)," ")</f>
        <v xml:space="preserve"> </v>
      </c>
      <c r="E640" s="13"/>
      <c r="F640" s="13"/>
      <c r="G640" s="10" t="str">
        <f t="shared" si="20"/>
        <v xml:space="preserve"> </v>
      </c>
      <c r="H640" s="13"/>
      <c r="I640" s="24"/>
      <c r="J640" s="13">
        <f>IFERROR(FundManager[[#This Row],[Current Value]]-FundManager[[#This Row],[Amount Invested]]," ")</f>
        <v>0</v>
      </c>
      <c r="K640" s="14" t="str">
        <f t="shared" si="21"/>
        <v xml:space="preserve"> </v>
      </c>
      <c r="L640" s="15" t="str" cm="1">
        <f t="array" ref="L640">IFERROR(ROUND(_FV(B640,"Change (%)",TRUE),3) &amp; "%"," ")</f>
        <v xml:space="preserve"> </v>
      </c>
    </row>
    <row r="641" spans="1:12" x14ac:dyDescent="0.25">
      <c r="A641" s="19"/>
      <c r="C641" s="10" t="str" cm="1">
        <f t="array" ref="C641">IFERROR(_FV(FundManager[[#This Row],[Name]],"Ticker symbol",TRUE)," ")</f>
        <v xml:space="preserve"> </v>
      </c>
      <c r="E641" s="13"/>
      <c r="F641" s="13"/>
      <c r="G641" s="10" t="str">
        <f t="shared" si="20"/>
        <v xml:space="preserve"> </v>
      </c>
      <c r="H641" s="13"/>
      <c r="I641" s="24"/>
      <c r="J641" s="13">
        <f>IFERROR(FundManager[[#This Row],[Current Value]]-FundManager[[#This Row],[Amount Invested]]," ")</f>
        <v>0</v>
      </c>
      <c r="K641" s="14" t="str">
        <f t="shared" si="21"/>
        <v xml:space="preserve"> </v>
      </c>
      <c r="L641" s="15" t="str" cm="1">
        <f t="array" ref="L641">IFERROR(ROUND(_FV(B641,"Change (%)",TRUE),3) &amp; "%"," ")</f>
        <v xml:space="preserve"> </v>
      </c>
    </row>
    <row r="642" spans="1:12" x14ac:dyDescent="0.25">
      <c r="A642" s="19"/>
      <c r="C642" s="10" t="str" cm="1">
        <f t="array" ref="C642">IFERROR(_FV(FundManager[[#This Row],[Name]],"Ticker symbol",TRUE)," ")</f>
        <v xml:space="preserve"> </v>
      </c>
      <c r="E642" s="13"/>
      <c r="F642" s="13"/>
      <c r="G642" s="10" t="str">
        <f t="shared" si="20"/>
        <v xml:space="preserve"> </v>
      </c>
      <c r="H642" s="13"/>
      <c r="I642" s="24"/>
      <c r="J642" s="13">
        <f>IFERROR(FundManager[[#This Row],[Current Value]]-FundManager[[#This Row],[Amount Invested]]," ")</f>
        <v>0</v>
      </c>
      <c r="K642" s="14" t="str">
        <f t="shared" si="21"/>
        <v xml:space="preserve"> </v>
      </c>
      <c r="L642" s="15" t="str" cm="1">
        <f t="array" ref="L642">IFERROR(ROUND(_FV(B642,"Change (%)",TRUE),3) &amp; "%"," ")</f>
        <v xml:space="preserve"> </v>
      </c>
    </row>
    <row r="643" spans="1:12" x14ac:dyDescent="0.25">
      <c r="A643" s="19"/>
      <c r="C643" s="10" t="str" cm="1">
        <f t="array" ref="C643">IFERROR(_FV(FundManager[[#This Row],[Name]],"Ticker symbol",TRUE)," ")</f>
        <v xml:space="preserve"> </v>
      </c>
      <c r="E643" s="13"/>
      <c r="F643" s="13"/>
      <c r="G643" s="10" t="str">
        <f t="shared" si="20"/>
        <v xml:space="preserve"> </v>
      </c>
      <c r="H643" s="13"/>
      <c r="I643" s="24"/>
      <c r="J643" s="13">
        <f>IFERROR(FundManager[[#This Row],[Current Value]]-FundManager[[#This Row],[Amount Invested]]," ")</f>
        <v>0</v>
      </c>
      <c r="K643" s="14" t="str">
        <f t="shared" si="21"/>
        <v xml:space="preserve"> </v>
      </c>
      <c r="L643" s="15" t="str" cm="1">
        <f t="array" ref="L643">IFERROR(ROUND(_FV(B643,"Change (%)",TRUE),3) &amp; "%"," ")</f>
        <v xml:space="preserve"> </v>
      </c>
    </row>
    <row r="644" spans="1:12" x14ac:dyDescent="0.25">
      <c r="A644" s="19"/>
      <c r="C644" s="10" t="str" cm="1">
        <f t="array" ref="C644">IFERROR(_FV(FundManager[[#This Row],[Name]],"Ticker symbol",TRUE)," ")</f>
        <v xml:space="preserve"> </v>
      </c>
      <c r="E644" s="13"/>
      <c r="F644" s="13"/>
      <c r="G644" s="10" t="str">
        <f t="shared" si="20"/>
        <v xml:space="preserve"> </v>
      </c>
      <c r="H644" s="13"/>
      <c r="I644" s="24"/>
      <c r="J644" s="13">
        <f>IFERROR(FundManager[[#This Row],[Current Value]]-FundManager[[#This Row],[Amount Invested]]," ")</f>
        <v>0</v>
      </c>
      <c r="K644" s="14" t="str">
        <f t="shared" si="21"/>
        <v xml:space="preserve"> </v>
      </c>
      <c r="L644" s="15" t="str" cm="1">
        <f t="array" ref="L644">IFERROR(ROUND(_FV(B644,"Change (%)",TRUE),3) &amp; "%"," ")</f>
        <v xml:space="preserve"> </v>
      </c>
    </row>
    <row r="645" spans="1:12" x14ac:dyDescent="0.25">
      <c r="A645" s="19"/>
      <c r="C645" s="10" t="str" cm="1">
        <f t="array" ref="C645">IFERROR(_FV(FundManager[[#This Row],[Name]],"Ticker symbol",TRUE)," ")</f>
        <v xml:space="preserve"> </v>
      </c>
      <c r="E645" s="13"/>
      <c r="F645" s="13"/>
      <c r="G645" s="10" t="str">
        <f t="shared" si="20"/>
        <v xml:space="preserve"> </v>
      </c>
      <c r="H645" s="13"/>
      <c r="I645" s="24"/>
      <c r="J645" s="13">
        <f>IFERROR(FundManager[[#This Row],[Current Value]]-FundManager[[#This Row],[Amount Invested]]," ")</f>
        <v>0</v>
      </c>
      <c r="K645" s="14" t="str">
        <f t="shared" si="21"/>
        <v xml:space="preserve"> </v>
      </c>
      <c r="L645" s="15" t="str" cm="1">
        <f t="array" ref="L645">IFERROR(ROUND(_FV(B645,"Change (%)",TRUE),3) &amp; "%"," ")</f>
        <v xml:space="preserve"> </v>
      </c>
    </row>
    <row r="646" spans="1:12" x14ac:dyDescent="0.25">
      <c r="A646" s="19"/>
      <c r="C646" s="10" t="str" cm="1">
        <f t="array" ref="C646">IFERROR(_FV(FundManager[[#This Row],[Name]],"Ticker symbol",TRUE)," ")</f>
        <v xml:space="preserve"> </v>
      </c>
      <c r="E646" s="13"/>
      <c r="F646" s="13"/>
      <c r="G646" s="10" t="str">
        <f t="shared" si="20"/>
        <v xml:space="preserve"> </v>
      </c>
      <c r="H646" s="13"/>
      <c r="I646" s="24"/>
      <c r="J646" s="13">
        <f>IFERROR(FundManager[[#This Row],[Current Value]]-FundManager[[#This Row],[Amount Invested]]," ")</f>
        <v>0</v>
      </c>
      <c r="K646" s="14" t="str">
        <f t="shared" si="21"/>
        <v xml:space="preserve"> </v>
      </c>
      <c r="L646" s="15" t="str" cm="1">
        <f t="array" ref="L646">IFERROR(ROUND(_FV(B646,"Change (%)",TRUE),3) &amp; "%"," ")</f>
        <v xml:space="preserve"> </v>
      </c>
    </row>
    <row r="647" spans="1:12" x14ac:dyDescent="0.25">
      <c r="A647" s="19"/>
      <c r="C647" s="10" t="str" cm="1">
        <f t="array" ref="C647">IFERROR(_FV(FundManager[[#This Row],[Name]],"Ticker symbol",TRUE)," ")</f>
        <v xml:space="preserve"> </v>
      </c>
      <c r="E647" s="13"/>
      <c r="F647" s="13"/>
      <c r="G647" s="10" t="str">
        <f t="shared" si="20"/>
        <v xml:space="preserve"> </v>
      </c>
      <c r="H647" s="13"/>
      <c r="I647" s="24"/>
      <c r="J647" s="13">
        <f>IFERROR(FundManager[[#This Row],[Current Value]]-FundManager[[#This Row],[Amount Invested]]," ")</f>
        <v>0</v>
      </c>
      <c r="K647" s="14" t="str">
        <f t="shared" si="21"/>
        <v xml:space="preserve"> </v>
      </c>
      <c r="L647" s="15" t="str" cm="1">
        <f t="array" ref="L647">IFERROR(ROUND(_FV(B647,"Change (%)",TRUE),3) &amp; "%"," ")</f>
        <v xml:space="preserve"> </v>
      </c>
    </row>
    <row r="648" spans="1:12" x14ac:dyDescent="0.25">
      <c r="A648" s="19"/>
      <c r="C648" s="10" t="str" cm="1">
        <f t="array" ref="C648">IFERROR(_FV(FundManager[[#This Row],[Name]],"Ticker symbol",TRUE)," ")</f>
        <v xml:space="preserve"> </v>
      </c>
      <c r="E648" s="13"/>
      <c r="F648" s="13"/>
      <c r="G648" s="10" t="str">
        <f t="shared" si="20"/>
        <v xml:space="preserve"> </v>
      </c>
      <c r="H648" s="13"/>
      <c r="I648" s="24"/>
      <c r="J648" s="13">
        <f>IFERROR(FundManager[[#This Row],[Current Value]]-FundManager[[#This Row],[Amount Invested]]," ")</f>
        <v>0</v>
      </c>
      <c r="K648" s="14" t="str">
        <f t="shared" si="21"/>
        <v xml:space="preserve"> </v>
      </c>
      <c r="L648" s="15" t="str" cm="1">
        <f t="array" ref="L648">IFERROR(ROUND(_FV(B648,"Change (%)",TRUE),3) &amp; "%"," ")</f>
        <v xml:space="preserve"> </v>
      </c>
    </row>
    <row r="649" spans="1:12" x14ac:dyDescent="0.25">
      <c r="A649" s="19"/>
      <c r="C649" s="10" t="str" cm="1">
        <f t="array" ref="C649">IFERROR(_FV(FundManager[[#This Row],[Name]],"Ticker symbol",TRUE)," ")</f>
        <v xml:space="preserve"> </v>
      </c>
      <c r="E649" s="13"/>
      <c r="F649" s="13"/>
      <c r="G649" s="10" t="str">
        <f t="shared" si="20"/>
        <v xml:space="preserve"> </v>
      </c>
      <c r="H649" s="13"/>
      <c r="I649" s="24"/>
      <c r="J649" s="13">
        <f>IFERROR(FundManager[[#This Row],[Current Value]]-FundManager[[#This Row],[Amount Invested]]," ")</f>
        <v>0</v>
      </c>
      <c r="K649" s="14" t="str">
        <f t="shared" si="21"/>
        <v xml:space="preserve"> </v>
      </c>
      <c r="L649" s="15" t="str" cm="1">
        <f t="array" ref="L649">IFERROR(ROUND(_FV(B649,"Change (%)",TRUE),3) &amp; "%"," ")</f>
        <v xml:space="preserve"> </v>
      </c>
    </row>
    <row r="650" spans="1:12" x14ac:dyDescent="0.25">
      <c r="A650" s="19"/>
      <c r="C650" s="10" t="str" cm="1">
        <f t="array" ref="C650">IFERROR(_FV(FundManager[[#This Row],[Name]],"Ticker symbol",TRUE)," ")</f>
        <v xml:space="preserve"> </v>
      </c>
      <c r="E650" s="13"/>
      <c r="F650" s="13"/>
      <c r="G650" s="10" t="str">
        <f t="shared" si="20"/>
        <v xml:space="preserve"> </v>
      </c>
      <c r="H650" s="13"/>
      <c r="I650" s="24"/>
      <c r="J650" s="13">
        <f>IFERROR(FundManager[[#This Row],[Current Value]]-FundManager[[#This Row],[Amount Invested]]," ")</f>
        <v>0</v>
      </c>
      <c r="K650" s="14" t="str">
        <f t="shared" si="21"/>
        <v xml:space="preserve"> </v>
      </c>
      <c r="L650" s="15" t="str" cm="1">
        <f t="array" ref="L650">IFERROR(ROUND(_FV(B650,"Change (%)",TRUE),3) &amp; "%"," ")</f>
        <v xml:space="preserve"> </v>
      </c>
    </row>
    <row r="651" spans="1:12" x14ac:dyDescent="0.25">
      <c r="A651" s="19"/>
      <c r="C651" s="10" t="str" cm="1">
        <f t="array" ref="C651">IFERROR(_FV(FundManager[[#This Row],[Name]],"Ticker symbol",TRUE)," ")</f>
        <v xml:space="preserve"> </v>
      </c>
      <c r="E651" s="13"/>
      <c r="F651" s="13"/>
      <c r="G651" s="10" t="str">
        <f t="shared" si="20"/>
        <v xml:space="preserve"> </v>
      </c>
      <c r="H651" s="13"/>
      <c r="I651" s="24"/>
      <c r="J651" s="13">
        <f>IFERROR(FundManager[[#This Row],[Current Value]]-FundManager[[#This Row],[Amount Invested]]," ")</f>
        <v>0</v>
      </c>
      <c r="K651" s="14" t="str">
        <f t="shared" si="21"/>
        <v xml:space="preserve"> </v>
      </c>
      <c r="L651" s="15" t="str" cm="1">
        <f t="array" ref="L651">IFERROR(ROUND(_FV(B651,"Change (%)",TRUE),3) &amp; "%"," ")</f>
        <v xml:space="preserve"> </v>
      </c>
    </row>
    <row r="652" spans="1:12" x14ac:dyDescent="0.25">
      <c r="A652" s="19"/>
      <c r="C652" s="10" t="str" cm="1">
        <f t="array" ref="C652">IFERROR(_FV(FundManager[[#This Row],[Name]],"Ticker symbol",TRUE)," ")</f>
        <v xml:space="preserve"> </v>
      </c>
      <c r="E652" s="13"/>
      <c r="F652" s="13"/>
      <c r="G652" s="10" t="str">
        <f t="shared" si="20"/>
        <v xml:space="preserve"> </v>
      </c>
      <c r="H652" s="13"/>
      <c r="I652" s="24"/>
      <c r="J652" s="13">
        <f>IFERROR(FundManager[[#This Row],[Current Value]]-FundManager[[#This Row],[Amount Invested]]," ")</f>
        <v>0</v>
      </c>
      <c r="K652" s="14" t="str">
        <f t="shared" si="21"/>
        <v xml:space="preserve"> </v>
      </c>
      <c r="L652" s="15" t="str" cm="1">
        <f t="array" ref="L652">IFERROR(ROUND(_FV(B652,"Change (%)",TRUE),3) &amp; "%"," ")</f>
        <v xml:space="preserve"> </v>
      </c>
    </row>
    <row r="653" spans="1:12" x14ac:dyDescent="0.25">
      <c r="A653" s="19"/>
      <c r="C653" s="10" t="str" cm="1">
        <f t="array" ref="C653">IFERROR(_FV(FundManager[[#This Row],[Name]],"Ticker symbol",TRUE)," ")</f>
        <v xml:space="preserve"> </v>
      </c>
      <c r="E653" s="13"/>
      <c r="F653" s="13"/>
      <c r="G653" s="10" t="str">
        <f t="shared" si="20"/>
        <v xml:space="preserve"> </v>
      </c>
      <c r="H653" s="13"/>
      <c r="I653" s="24"/>
      <c r="J653" s="13">
        <f>IFERROR(FundManager[[#This Row],[Current Value]]-FundManager[[#This Row],[Amount Invested]]," ")</f>
        <v>0</v>
      </c>
      <c r="K653" s="14" t="str">
        <f t="shared" si="21"/>
        <v xml:space="preserve"> </v>
      </c>
      <c r="L653" s="15" t="str" cm="1">
        <f t="array" ref="L653">IFERROR(ROUND(_FV(B653,"Change (%)",TRUE),3) &amp; "%"," ")</f>
        <v xml:space="preserve"> </v>
      </c>
    </row>
    <row r="654" spans="1:12" x14ac:dyDescent="0.25">
      <c r="A654" s="19"/>
      <c r="C654" s="10" t="str" cm="1">
        <f t="array" ref="C654">IFERROR(_FV(FundManager[[#This Row],[Name]],"Ticker symbol",TRUE)," ")</f>
        <v xml:space="preserve"> </v>
      </c>
      <c r="E654" s="13"/>
      <c r="F654" s="13"/>
      <c r="G654" s="10" t="str">
        <f t="shared" si="20"/>
        <v xml:space="preserve"> </v>
      </c>
      <c r="H654" s="13"/>
      <c r="I654" s="24"/>
      <c r="J654" s="13">
        <f>IFERROR(FundManager[[#This Row],[Current Value]]-FundManager[[#This Row],[Amount Invested]]," ")</f>
        <v>0</v>
      </c>
      <c r="K654" s="14" t="str">
        <f t="shared" si="21"/>
        <v xml:space="preserve"> </v>
      </c>
      <c r="L654" s="15" t="str" cm="1">
        <f t="array" ref="L654">IFERROR(ROUND(_FV(B654,"Change (%)",TRUE),3) &amp; "%"," ")</f>
        <v xml:space="preserve"> </v>
      </c>
    </row>
    <row r="655" spans="1:12" x14ac:dyDescent="0.25">
      <c r="A655" s="19"/>
      <c r="C655" s="10" t="str" cm="1">
        <f t="array" ref="C655">IFERROR(_FV(FundManager[[#This Row],[Name]],"Ticker symbol",TRUE)," ")</f>
        <v xml:space="preserve"> </v>
      </c>
      <c r="E655" s="13"/>
      <c r="F655" s="13"/>
      <c r="G655" s="10" t="str">
        <f t="shared" si="20"/>
        <v xml:space="preserve"> </v>
      </c>
      <c r="H655" s="13"/>
      <c r="I655" s="24"/>
      <c r="J655" s="13">
        <f>IFERROR(FundManager[[#This Row],[Current Value]]-FundManager[[#This Row],[Amount Invested]]," ")</f>
        <v>0</v>
      </c>
      <c r="K655" s="14" t="str">
        <f t="shared" si="21"/>
        <v xml:space="preserve"> </v>
      </c>
      <c r="L655" s="15" t="str" cm="1">
        <f t="array" ref="L655">IFERROR(ROUND(_FV(B655,"Change (%)",TRUE),3) &amp; "%"," ")</f>
        <v xml:space="preserve"> </v>
      </c>
    </row>
    <row r="656" spans="1:12" x14ac:dyDescent="0.25">
      <c r="A656" s="19"/>
      <c r="C656" s="10" t="str" cm="1">
        <f t="array" ref="C656">IFERROR(_FV(FundManager[[#This Row],[Name]],"Ticker symbol",TRUE)," ")</f>
        <v xml:space="preserve"> </v>
      </c>
      <c r="E656" s="13"/>
      <c r="F656" s="13"/>
      <c r="G656" s="10" t="str">
        <f t="shared" si="20"/>
        <v xml:space="preserve"> </v>
      </c>
      <c r="H656" s="13"/>
      <c r="I656" s="24"/>
      <c r="J656" s="13">
        <f>IFERROR(FundManager[[#This Row],[Current Value]]-FundManager[[#This Row],[Amount Invested]]," ")</f>
        <v>0</v>
      </c>
      <c r="K656" s="14" t="str">
        <f t="shared" si="21"/>
        <v xml:space="preserve"> </v>
      </c>
      <c r="L656" s="15" t="str" cm="1">
        <f t="array" ref="L656">IFERROR(ROUND(_FV(B656,"Change (%)",TRUE),3) &amp; "%"," ")</f>
        <v xml:space="preserve"> </v>
      </c>
    </row>
    <row r="657" spans="1:12" x14ac:dyDescent="0.25">
      <c r="A657" s="19"/>
      <c r="C657" s="10" t="str" cm="1">
        <f t="array" ref="C657">IFERROR(_FV(FundManager[[#This Row],[Name]],"Ticker symbol",TRUE)," ")</f>
        <v xml:space="preserve"> </v>
      </c>
      <c r="E657" s="13"/>
      <c r="F657" s="13"/>
      <c r="G657" s="10" t="str">
        <f t="shared" si="20"/>
        <v xml:space="preserve"> </v>
      </c>
      <c r="H657" s="13"/>
      <c r="I657" s="24"/>
      <c r="J657" s="13">
        <f>IFERROR(FundManager[[#This Row],[Current Value]]-FundManager[[#This Row],[Amount Invested]]," ")</f>
        <v>0</v>
      </c>
      <c r="K657" s="14" t="str">
        <f t="shared" si="21"/>
        <v xml:space="preserve"> </v>
      </c>
      <c r="L657" s="15" t="str" cm="1">
        <f t="array" ref="L657">IFERROR(ROUND(_FV(B657,"Change (%)",TRUE),3) &amp; "%"," ")</f>
        <v xml:space="preserve"> </v>
      </c>
    </row>
    <row r="658" spans="1:12" x14ac:dyDescent="0.25">
      <c r="A658" s="19"/>
      <c r="C658" s="10" t="str" cm="1">
        <f t="array" ref="C658">IFERROR(_FV(FundManager[[#This Row],[Name]],"Ticker symbol",TRUE)," ")</f>
        <v xml:space="preserve"> </v>
      </c>
      <c r="E658" s="13"/>
      <c r="F658" s="13"/>
      <c r="G658" s="10" t="str">
        <f t="shared" si="20"/>
        <v xml:space="preserve"> </v>
      </c>
      <c r="H658" s="13"/>
      <c r="I658" s="24"/>
      <c r="J658" s="13">
        <f>IFERROR(FundManager[[#This Row],[Current Value]]-FundManager[[#This Row],[Amount Invested]]," ")</f>
        <v>0</v>
      </c>
      <c r="K658" s="14" t="str">
        <f t="shared" si="21"/>
        <v xml:space="preserve"> </v>
      </c>
      <c r="L658" s="15" t="str" cm="1">
        <f t="array" ref="L658">IFERROR(ROUND(_FV(B658,"Change (%)",TRUE),3) &amp; "%"," ")</f>
        <v xml:space="preserve"> </v>
      </c>
    </row>
    <row r="659" spans="1:12" x14ac:dyDescent="0.25">
      <c r="A659" s="19"/>
      <c r="C659" s="10" t="str" cm="1">
        <f t="array" ref="C659">IFERROR(_FV(FundManager[[#This Row],[Name]],"Ticker symbol",TRUE)," ")</f>
        <v xml:space="preserve"> </v>
      </c>
      <c r="E659" s="13"/>
      <c r="F659" s="13"/>
      <c r="G659" s="10" t="str">
        <f t="shared" si="20"/>
        <v xml:space="preserve"> </v>
      </c>
      <c r="H659" s="13"/>
      <c r="I659" s="24"/>
      <c r="J659" s="13">
        <f>IFERROR(FundManager[[#This Row],[Current Value]]-FundManager[[#This Row],[Amount Invested]]," ")</f>
        <v>0</v>
      </c>
      <c r="K659" s="14" t="str">
        <f t="shared" si="21"/>
        <v xml:space="preserve"> </v>
      </c>
      <c r="L659" s="15" t="str" cm="1">
        <f t="array" ref="L659">IFERROR(ROUND(_FV(B659,"Change (%)",TRUE),3) &amp; "%"," ")</f>
        <v xml:space="preserve"> </v>
      </c>
    </row>
    <row r="660" spans="1:12" x14ac:dyDescent="0.25">
      <c r="A660" s="19"/>
      <c r="C660" s="10" t="str" cm="1">
        <f t="array" ref="C660">IFERROR(_FV(FundManager[[#This Row],[Name]],"Ticker symbol",TRUE)," ")</f>
        <v xml:space="preserve"> </v>
      </c>
      <c r="E660" s="13"/>
      <c r="F660" s="13"/>
      <c r="G660" s="10" t="str">
        <f t="shared" si="20"/>
        <v xml:space="preserve"> </v>
      </c>
      <c r="H660" s="13"/>
      <c r="I660" s="24"/>
      <c r="J660" s="13">
        <f>IFERROR(FundManager[[#This Row],[Current Value]]-FundManager[[#This Row],[Amount Invested]]," ")</f>
        <v>0</v>
      </c>
      <c r="K660" s="14" t="str">
        <f t="shared" si="21"/>
        <v xml:space="preserve"> </v>
      </c>
      <c r="L660" s="15" t="str" cm="1">
        <f t="array" ref="L660">IFERROR(ROUND(_FV(B660,"Change (%)",TRUE),3) &amp; "%"," ")</f>
        <v xml:space="preserve"> </v>
      </c>
    </row>
    <row r="661" spans="1:12" x14ac:dyDescent="0.25">
      <c r="A661" s="19"/>
      <c r="C661" s="10" t="str" cm="1">
        <f t="array" ref="C661">IFERROR(_FV(FundManager[[#This Row],[Name]],"Ticker symbol",TRUE)," ")</f>
        <v xml:space="preserve"> </v>
      </c>
      <c r="E661" s="13"/>
      <c r="F661" s="13"/>
      <c r="G661" s="10" t="str">
        <f t="shared" si="20"/>
        <v xml:space="preserve"> </v>
      </c>
      <c r="H661" s="13"/>
      <c r="I661" s="24"/>
      <c r="J661" s="13">
        <f>IFERROR(FundManager[[#This Row],[Current Value]]-FundManager[[#This Row],[Amount Invested]]," ")</f>
        <v>0</v>
      </c>
      <c r="K661" s="14" t="str">
        <f t="shared" si="21"/>
        <v xml:space="preserve"> </v>
      </c>
      <c r="L661" s="15" t="str" cm="1">
        <f t="array" ref="L661">IFERROR(ROUND(_FV(B661,"Change (%)",TRUE),3) &amp; "%"," ")</f>
        <v xml:space="preserve"> </v>
      </c>
    </row>
    <row r="662" spans="1:12" x14ac:dyDescent="0.25">
      <c r="A662" s="19"/>
      <c r="C662" s="10" t="str" cm="1">
        <f t="array" ref="C662">IFERROR(_FV(FundManager[[#This Row],[Name]],"Ticker symbol",TRUE)," ")</f>
        <v xml:space="preserve"> </v>
      </c>
      <c r="E662" s="13"/>
      <c r="F662" s="13"/>
      <c r="G662" s="10" t="str">
        <f t="shared" si="20"/>
        <v xml:space="preserve"> </v>
      </c>
      <c r="H662" s="13"/>
      <c r="I662" s="24"/>
      <c r="J662" s="13">
        <f>IFERROR(FundManager[[#This Row],[Current Value]]-FundManager[[#This Row],[Amount Invested]]," ")</f>
        <v>0</v>
      </c>
      <c r="K662" s="14" t="str">
        <f t="shared" si="21"/>
        <v xml:space="preserve"> </v>
      </c>
      <c r="L662" s="15" t="str" cm="1">
        <f t="array" ref="L662">IFERROR(ROUND(_FV(B662,"Change (%)",TRUE),3) &amp; "%"," ")</f>
        <v xml:space="preserve"> </v>
      </c>
    </row>
    <row r="663" spans="1:12" x14ac:dyDescent="0.25">
      <c r="A663" s="19"/>
      <c r="C663" s="10" t="str" cm="1">
        <f t="array" ref="C663">IFERROR(_FV(FundManager[[#This Row],[Name]],"Ticker symbol",TRUE)," ")</f>
        <v xml:space="preserve"> </v>
      </c>
      <c r="E663" s="13"/>
      <c r="F663" s="13"/>
      <c r="G663" s="10" t="str">
        <f t="shared" ref="G663:G726" si="22">IFERROR(H663/E663," ")</f>
        <v xml:space="preserve"> </v>
      </c>
      <c r="H663" s="13"/>
      <c r="I663" s="24"/>
      <c r="J663" s="13">
        <f>IFERROR(FundManager[[#This Row],[Current Value]]-FundManager[[#This Row],[Amount Invested]]," ")</f>
        <v>0</v>
      </c>
      <c r="K663" s="14" t="str">
        <f t="shared" ref="K663:K726" si="23">IFERROR((I663-H663)/H663," ")</f>
        <v xml:space="preserve"> </v>
      </c>
      <c r="L663" s="15" t="str" cm="1">
        <f t="array" ref="L663">IFERROR(ROUND(_FV(B663,"Change (%)",TRUE),3) &amp; "%"," ")</f>
        <v xml:space="preserve"> </v>
      </c>
    </row>
    <row r="664" spans="1:12" x14ac:dyDescent="0.25">
      <c r="A664" s="19"/>
      <c r="C664" s="10" t="str" cm="1">
        <f t="array" ref="C664">IFERROR(_FV(FundManager[[#This Row],[Name]],"Ticker symbol",TRUE)," ")</f>
        <v xml:space="preserve"> </v>
      </c>
      <c r="E664" s="13"/>
      <c r="F664" s="13"/>
      <c r="G664" s="10" t="str">
        <f t="shared" si="22"/>
        <v xml:space="preserve"> </v>
      </c>
      <c r="H664" s="13"/>
      <c r="I664" s="24"/>
      <c r="J664" s="13">
        <f>IFERROR(FundManager[[#This Row],[Current Value]]-FundManager[[#This Row],[Amount Invested]]," ")</f>
        <v>0</v>
      </c>
      <c r="K664" s="14" t="str">
        <f t="shared" si="23"/>
        <v xml:space="preserve"> </v>
      </c>
      <c r="L664" s="15" t="str" cm="1">
        <f t="array" ref="L664">IFERROR(ROUND(_FV(B664,"Change (%)",TRUE),3) &amp; "%"," ")</f>
        <v xml:space="preserve"> </v>
      </c>
    </row>
    <row r="665" spans="1:12" x14ac:dyDescent="0.25">
      <c r="A665" s="19"/>
      <c r="C665" s="10" t="str" cm="1">
        <f t="array" ref="C665">IFERROR(_FV(FundManager[[#This Row],[Name]],"Ticker symbol",TRUE)," ")</f>
        <v xml:space="preserve"> </v>
      </c>
      <c r="E665" s="13"/>
      <c r="F665" s="13"/>
      <c r="G665" s="10" t="str">
        <f t="shared" si="22"/>
        <v xml:space="preserve"> </v>
      </c>
      <c r="H665" s="13"/>
      <c r="I665" s="24"/>
      <c r="J665" s="13">
        <f>IFERROR(FundManager[[#This Row],[Current Value]]-FundManager[[#This Row],[Amount Invested]]," ")</f>
        <v>0</v>
      </c>
      <c r="K665" s="14" t="str">
        <f t="shared" si="23"/>
        <v xml:space="preserve"> </v>
      </c>
      <c r="L665" s="15" t="str" cm="1">
        <f t="array" ref="L665">IFERROR(ROUND(_FV(B665,"Change (%)",TRUE),3) &amp; "%"," ")</f>
        <v xml:space="preserve"> </v>
      </c>
    </row>
    <row r="666" spans="1:12" x14ac:dyDescent="0.25">
      <c r="A666" s="19"/>
      <c r="C666" s="10" t="str" cm="1">
        <f t="array" ref="C666">IFERROR(_FV(FundManager[[#This Row],[Name]],"Ticker symbol",TRUE)," ")</f>
        <v xml:space="preserve"> </v>
      </c>
      <c r="E666" s="13"/>
      <c r="F666" s="13"/>
      <c r="G666" s="10" t="str">
        <f t="shared" si="22"/>
        <v xml:space="preserve"> </v>
      </c>
      <c r="H666" s="13"/>
      <c r="I666" s="24"/>
      <c r="J666" s="13">
        <f>IFERROR(FundManager[[#This Row],[Current Value]]-FundManager[[#This Row],[Amount Invested]]," ")</f>
        <v>0</v>
      </c>
      <c r="K666" s="14" t="str">
        <f t="shared" si="23"/>
        <v xml:space="preserve"> </v>
      </c>
      <c r="L666" s="15" t="str" cm="1">
        <f t="array" ref="L666">IFERROR(ROUND(_FV(B666,"Change (%)",TRUE),3) &amp; "%"," ")</f>
        <v xml:space="preserve"> </v>
      </c>
    </row>
    <row r="667" spans="1:12" x14ac:dyDescent="0.25">
      <c r="A667" s="19"/>
      <c r="C667" s="10" t="str" cm="1">
        <f t="array" ref="C667">IFERROR(_FV(FundManager[[#This Row],[Name]],"Ticker symbol",TRUE)," ")</f>
        <v xml:space="preserve"> </v>
      </c>
      <c r="E667" s="13"/>
      <c r="F667" s="13"/>
      <c r="G667" s="10" t="str">
        <f t="shared" si="22"/>
        <v xml:space="preserve"> </v>
      </c>
      <c r="H667" s="13"/>
      <c r="I667" s="24"/>
      <c r="J667" s="13">
        <f>IFERROR(FundManager[[#This Row],[Current Value]]-FundManager[[#This Row],[Amount Invested]]," ")</f>
        <v>0</v>
      </c>
      <c r="K667" s="14" t="str">
        <f t="shared" si="23"/>
        <v xml:space="preserve"> </v>
      </c>
      <c r="L667" s="15" t="str" cm="1">
        <f t="array" ref="L667">IFERROR(ROUND(_FV(B667,"Change (%)",TRUE),3) &amp; "%"," ")</f>
        <v xml:space="preserve"> </v>
      </c>
    </row>
    <row r="668" spans="1:12" x14ac:dyDescent="0.25">
      <c r="A668" s="19"/>
      <c r="C668" s="10" t="str" cm="1">
        <f t="array" ref="C668">IFERROR(_FV(FundManager[[#This Row],[Name]],"Ticker symbol",TRUE)," ")</f>
        <v xml:space="preserve"> </v>
      </c>
      <c r="E668" s="13"/>
      <c r="F668" s="13"/>
      <c r="G668" s="10" t="str">
        <f t="shared" si="22"/>
        <v xml:space="preserve"> </v>
      </c>
      <c r="H668" s="13"/>
      <c r="I668" s="24"/>
      <c r="J668" s="13">
        <f>IFERROR(FundManager[[#This Row],[Current Value]]-FundManager[[#This Row],[Amount Invested]]," ")</f>
        <v>0</v>
      </c>
      <c r="K668" s="14" t="str">
        <f t="shared" si="23"/>
        <v xml:space="preserve"> </v>
      </c>
      <c r="L668" s="15" t="str" cm="1">
        <f t="array" ref="L668">IFERROR(ROUND(_FV(B668,"Change (%)",TRUE),3) &amp; "%"," ")</f>
        <v xml:space="preserve"> </v>
      </c>
    </row>
    <row r="669" spans="1:12" x14ac:dyDescent="0.25">
      <c r="A669" s="19"/>
      <c r="C669" s="10" t="str" cm="1">
        <f t="array" ref="C669">IFERROR(_FV(FundManager[[#This Row],[Name]],"Ticker symbol",TRUE)," ")</f>
        <v xml:space="preserve"> </v>
      </c>
      <c r="E669" s="13"/>
      <c r="F669" s="13"/>
      <c r="G669" s="10" t="str">
        <f t="shared" si="22"/>
        <v xml:space="preserve"> </v>
      </c>
      <c r="H669" s="13"/>
      <c r="I669" s="24"/>
      <c r="J669" s="13">
        <f>IFERROR(FundManager[[#This Row],[Current Value]]-FundManager[[#This Row],[Amount Invested]]," ")</f>
        <v>0</v>
      </c>
      <c r="K669" s="14" t="str">
        <f t="shared" si="23"/>
        <v xml:space="preserve"> </v>
      </c>
      <c r="L669" s="15" t="str" cm="1">
        <f t="array" ref="L669">IFERROR(ROUND(_FV(B669,"Change (%)",TRUE),3) &amp; "%"," ")</f>
        <v xml:space="preserve"> </v>
      </c>
    </row>
    <row r="670" spans="1:12" x14ac:dyDescent="0.25">
      <c r="A670" s="19"/>
      <c r="C670" s="10" t="str" cm="1">
        <f t="array" ref="C670">IFERROR(_FV(FundManager[[#This Row],[Name]],"Ticker symbol",TRUE)," ")</f>
        <v xml:space="preserve"> </v>
      </c>
      <c r="E670" s="13"/>
      <c r="F670" s="13"/>
      <c r="G670" s="10" t="str">
        <f t="shared" si="22"/>
        <v xml:space="preserve"> </v>
      </c>
      <c r="H670" s="13"/>
      <c r="I670" s="24"/>
      <c r="J670" s="13">
        <f>IFERROR(FundManager[[#This Row],[Current Value]]-FundManager[[#This Row],[Amount Invested]]," ")</f>
        <v>0</v>
      </c>
      <c r="K670" s="14" t="str">
        <f t="shared" si="23"/>
        <v xml:space="preserve"> </v>
      </c>
      <c r="L670" s="15" t="str" cm="1">
        <f t="array" ref="L670">IFERROR(ROUND(_FV(B670,"Change (%)",TRUE),3) &amp; "%"," ")</f>
        <v xml:space="preserve"> </v>
      </c>
    </row>
    <row r="671" spans="1:12" x14ac:dyDescent="0.25">
      <c r="A671" s="19"/>
      <c r="C671" s="10" t="str" cm="1">
        <f t="array" ref="C671">IFERROR(_FV(FundManager[[#This Row],[Name]],"Ticker symbol",TRUE)," ")</f>
        <v xml:space="preserve"> </v>
      </c>
      <c r="E671" s="13"/>
      <c r="F671" s="13"/>
      <c r="G671" s="10" t="str">
        <f t="shared" si="22"/>
        <v xml:space="preserve"> </v>
      </c>
      <c r="H671" s="13"/>
      <c r="I671" s="24"/>
      <c r="J671" s="13">
        <f>IFERROR(FundManager[[#This Row],[Current Value]]-FundManager[[#This Row],[Amount Invested]]," ")</f>
        <v>0</v>
      </c>
      <c r="K671" s="14" t="str">
        <f t="shared" si="23"/>
        <v xml:space="preserve"> </v>
      </c>
      <c r="L671" s="15" t="str" cm="1">
        <f t="array" ref="L671">IFERROR(ROUND(_FV(B671,"Change (%)",TRUE),3) &amp; "%"," ")</f>
        <v xml:space="preserve"> </v>
      </c>
    </row>
    <row r="672" spans="1:12" x14ac:dyDescent="0.25">
      <c r="A672" s="19"/>
      <c r="C672" s="10" t="str" cm="1">
        <f t="array" ref="C672">IFERROR(_FV(FundManager[[#This Row],[Name]],"Ticker symbol",TRUE)," ")</f>
        <v xml:space="preserve"> </v>
      </c>
      <c r="E672" s="13"/>
      <c r="F672" s="13"/>
      <c r="G672" s="10" t="str">
        <f t="shared" si="22"/>
        <v xml:space="preserve"> </v>
      </c>
      <c r="H672" s="13"/>
      <c r="I672" s="24"/>
      <c r="J672" s="13">
        <f>IFERROR(FundManager[[#This Row],[Current Value]]-FundManager[[#This Row],[Amount Invested]]," ")</f>
        <v>0</v>
      </c>
      <c r="K672" s="14" t="str">
        <f t="shared" si="23"/>
        <v xml:space="preserve"> </v>
      </c>
      <c r="L672" s="15" t="str" cm="1">
        <f t="array" ref="L672">IFERROR(ROUND(_FV(B672,"Change (%)",TRUE),3) &amp; "%"," ")</f>
        <v xml:space="preserve"> </v>
      </c>
    </row>
    <row r="673" spans="1:12" x14ac:dyDescent="0.25">
      <c r="A673" s="19"/>
      <c r="C673" s="10" t="str" cm="1">
        <f t="array" ref="C673">IFERROR(_FV(FundManager[[#This Row],[Name]],"Ticker symbol",TRUE)," ")</f>
        <v xml:space="preserve"> </v>
      </c>
      <c r="E673" s="13"/>
      <c r="F673" s="13"/>
      <c r="G673" s="10" t="str">
        <f t="shared" si="22"/>
        <v xml:space="preserve"> </v>
      </c>
      <c r="H673" s="13"/>
      <c r="I673" s="24"/>
      <c r="J673" s="13">
        <f>IFERROR(FundManager[[#This Row],[Current Value]]-FundManager[[#This Row],[Amount Invested]]," ")</f>
        <v>0</v>
      </c>
      <c r="K673" s="14" t="str">
        <f t="shared" si="23"/>
        <v xml:space="preserve"> </v>
      </c>
      <c r="L673" s="15" t="str" cm="1">
        <f t="array" ref="L673">IFERROR(ROUND(_FV(B673,"Change (%)",TRUE),3) &amp; "%"," ")</f>
        <v xml:space="preserve"> </v>
      </c>
    </row>
    <row r="674" spans="1:12" x14ac:dyDescent="0.25">
      <c r="A674" s="19"/>
      <c r="C674" s="10" t="str" cm="1">
        <f t="array" ref="C674">IFERROR(_FV(FundManager[[#This Row],[Name]],"Ticker symbol",TRUE)," ")</f>
        <v xml:space="preserve"> </v>
      </c>
      <c r="E674" s="13"/>
      <c r="F674" s="13"/>
      <c r="G674" s="10" t="str">
        <f t="shared" si="22"/>
        <v xml:space="preserve"> </v>
      </c>
      <c r="H674" s="13"/>
      <c r="I674" s="24"/>
      <c r="J674" s="13">
        <f>IFERROR(FundManager[[#This Row],[Current Value]]-FundManager[[#This Row],[Amount Invested]]," ")</f>
        <v>0</v>
      </c>
      <c r="K674" s="14" t="str">
        <f t="shared" si="23"/>
        <v xml:space="preserve"> </v>
      </c>
      <c r="L674" s="15" t="str" cm="1">
        <f t="array" ref="L674">IFERROR(ROUND(_FV(B674,"Change (%)",TRUE),3) &amp; "%"," ")</f>
        <v xml:space="preserve"> </v>
      </c>
    </row>
    <row r="675" spans="1:12" x14ac:dyDescent="0.25">
      <c r="A675" s="19"/>
      <c r="C675" s="10" t="str" cm="1">
        <f t="array" ref="C675">IFERROR(_FV(FundManager[[#This Row],[Name]],"Ticker symbol",TRUE)," ")</f>
        <v xml:space="preserve"> </v>
      </c>
      <c r="E675" s="13"/>
      <c r="F675" s="13"/>
      <c r="G675" s="10" t="str">
        <f t="shared" si="22"/>
        <v xml:space="preserve"> </v>
      </c>
      <c r="H675" s="13"/>
      <c r="I675" s="24"/>
      <c r="J675" s="13">
        <f>IFERROR(FundManager[[#This Row],[Current Value]]-FundManager[[#This Row],[Amount Invested]]," ")</f>
        <v>0</v>
      </c>
      <c r="K675" s="14" t="str">
        <f t="shared" si="23"/>
        <v xml:space="preserve"> </v>
      </c>
      <c r="L675" s="15" t="str" cm="1">
        <f t="array" ref="L675">IFERROR(ROUND(_FV(B675,"Change (%)",TRUE),3) &amp; "%"," ")</f>
        <v xml:space="preserve"> </v>
      </c>
    </row>
    <row r="676" spans="1:12" x14ac:dyDescent="0.25">
      <c r="A676" s="19"/>
      <c r="C676" s="10" t="str" cm="1">
        <f t="array" ref="C676">IFERROR(_FV(FundManager[[#This Row],[Name]],"Ticker symbol",TRUE)," ")</f>
        <v xml:space="preserve"> </v>
      </c>
      <c r="E676" s="13"/>
      <c r="F676" s="13"/>
      <c r="G676" s="10" t="str">
        <f t="shared" si="22"/>
        <v xml:space="preserve"> </v>
      </c>
      <c r="H676" s="13"/>
      <c r="I676" s="24"/>
      <c r="J676" s="13">
        <f>IFERROR(FundManager[[#This Row],[Current Value]]-FundManager[[#This Row],[Amount Invested]]," ")</f>
        <v>0</v>
      </c>
      <c r="K676" s="14" t="str">
        <f t="shared" si="23"/>
        <v xml:space="preserve"> </v>
      </c>
      <c r="L676" s="15" t="str" cm="1">
        <f t="array" ref="L676">IFERROR(ROUND(_FV(B676,"Change (%)",TRUE),3) &amp; "%"," ")</f>
        <v xml:space="preserve"> </v>
      </c>
    </row>
    <row r="677" spans="1:12" x14ac:dyDescent="0.25">
      <c r="A677" s="19"/>
      <c r="C677" s="10" t="str" cm="1">
        <f t="array" ref="C677">IFERROR(_FV(FundManager[[#This Row],[Name]],"Ticker symbol",TRUE)," ")</f>
        <v xml:space="preserve"> </v>
      </c>
      <c r="E677" s="13"/>
      <c r="F677" s="13"/>
      <c r="G677" s="10" t="str">
        <f t="shared" si="22"/>
        <v xml:space="preserve"> </v>
      </c>
      <c r="H677" s="13"/>
      <c r="I677" s="24"/>
      <c r="J677" s="13">
        <f>IFERROR(FundManager[[#This Row],[Current Value]]-FundManager[[#This Row],[Amount Invested]]," ")</f>
        <v>0</v>
      </c>
      <c r="K677" s="14" t="str">
        <f t="shared" si="23"/>
        <v xml:space="preserve"> </v>
      </c>
      <c r="L677" s="15" t="str" cm="1">
        <f t="array" ref="L677">IFERROR(ROUND(_FV(B677,"Change (%)",TRUE),3) &amp; "%"," ")</f>
        <v xml:space="preserve"> </v>
      </c>
    </row>
    <row r="678" spans="1:12" x14ac:dyDescent="0.25">
      <c r="A678" s="19"/>
      <c r="C678" s="10" t="str" cm="1">
        <f t="array" ref="C678">IFERROR(_FV(FundManager[[#This Row],[Name]],"Ticker symbol",TRUE)," ")</f>
        <v xml:space="preserve"> </v>
      </c>
      <c r="E678" s="13"/>
      <c r="F678" s="13"/>
      <c r="G678" s="10" t="str">
        <f t="shared" si="22"/>
        <v xml:space="preserve"> </v>
      </c>
      <c r="H678" s="13"/>
      <c r="I678" s="24"/>
      <c r="J678" s="13">
        <f>IFERROR(FundManager[[#This Row],[Current Value]]-FundManager[[#This Row],[Amount Invested]]," ")</f>
        <v>0</v>
      </c>
      <c r="K678" s="14" t="str">
        <f t="shared" si="23"/>
        <v xml:space="preserve"> </v>
      </c>
      <c r="L678" s="15" t="str" cm="1">
        <f t="array" ref="L678">IFERROR(ROUND(_FV(B678,"Change (%)",TRUE),3) &amp; "%"," ")</f>
        <v xml:space="preserve"> </v>
      </c>
    </row>
    <row r="679" spans="1:12" x14ac:dyDescent="0.25">
      <c r="A679" s="19"/>
      <c r="C679" s="10" t="str" cm="1">
        <f t="array" ref="C679">IFERROR(_FV(FundManager[[#This Row],[Name]],"Ticker symbol",TRUE)," ")</f>
        <v xml:space="preserve"> </v>
      </c>
      <c r="E679" s="13"/>
      <c r="F679" s="13"/>
      <c r="G679" s="10" t="str">
        <f t="shared" si="22"/>
        <v xml:space="preserve"> </v>
      </c>
      <c r="H679" s="13"/>
      <c r="I679" s="24"/>
      <c r="J679" s="13">
        <f>IFERROR(FundManager[[#This Row],[Current Value]]-FundManager[[#This Row],[Amount Invested]]," ")</f>
        <v>0</v>
      </c>
      <c r="K679" s="14" t="str">
        <f t="shared" si="23"/>
        <v xml:space="preserve"> </v>
      </c>
      <c r="L679" s="15" t="str" cm="1">
        <f t="array" ref="L679">IFERROR(ROUND(_FV(B679,"Change (%)",TRUE),3) &amp; "%"," ")</f>
        <v xml:space="preserve"> </v>
      </c>
    </row>
    <row r="680" spans="1:12" x14ac:dyDescent="0.25">
      <c r="A680" s="19"/>
      <c r="C680" s="10" t="str" cm="1">
        <f t="array" ref="C680">IFERROR(_FV(FundManager[[#This Row],[Name]],"Ticker symbol",TRUE)," ")</f>
        <v xml:space="preserve"> </v>
      </c>
      <c r="E680" s="13"/>
      <c r="F680" s="13"/>
      <c r="G680" s="10" t="str">
        <f t="shared" si="22"/>
        <v xml:space="preserve"> </v>
      </c>
      <c r="H680" s="13"/>
      <c r="I680" s="24"/>
      <c r="J680" s="13">
        <f>IFERROR(FundManager[[#This Row],[Current Value]]-FundManager[[#This Row],[Amount Invested]]," ")</f>
        <v>0</v>
      </c>
      <c r="K680" s="14" t="str">
        <f t="shared" si="23"/>
        <v xml:space="preserve"> </v>
      </c>
      <c r="L680" s="15" t="str" cm="1">
        <f t="array" ref="L680">IFERROR(ROUND(_FV(B680,"Change (%)",TRUE),3) &amp; "%"," ")</f>
        <v xml:space="preserve"> </v>
      </c>
    </row>
    <row r="681" spans="1:12" x14ac:dyDescent="0.25">
      <c r="A681" s="19"/>
      <c r="C681" s="10" t="str" cm="1">
        <f t="array" ref="C681">IFERROR(_FV(FundManager[[#This Row],[Name]],"Ticker symbol",TRUE)," ")</f>
        <v xml:space="preserve"> </v>
      </c>
      <c r="E681" s="13"/>
      <c r="F681" s="13"/>
      <c r="G681" s="10" t="str">
        <f t="shared" si="22"/>
        <v xml:space="preserve"> </v>
      </c>
      <c r="H681" s="13"/>
      <c r="I681" s="24"/>
      <c r="J681" s="13">
        <f>IFERROR(FundManager[[#This Row],[Current Value]]-FundManager[[#This Row],[Amount Invested]]," ")</f>
        <v>0</v>
      </c>
      <c r="K681" s="14" t="str">
        <f t="shared" si="23"/>
        <v xml:space="preserve"> </v>
      </c>
      <c r="L681" s="15" t="str" cm="1">
        <f t="array" ref="L681">IFERROR(ROUND(_FV(B681,"Change (%)",TRUE),3) &amp; "%"," ")</f>
        <v xml:space="preserve"> </v>
      </c>
    </row>
    <row r="682" spans="1:12" x14ac:dyDescent="0.25">
      <c r="A682" s="19"/>
      <c r="C682" s="10" t="str" cm="1">
        <f t="array" ref="C682">IFERROR(_FV(FundManager[[#This Row],[Name]],"Ticker symbol",TRUE)," ")</f>
        <v xml:space="preserve"> </v>
      </c>
      <c r="E682" s="13"/>
      <c r="F682" s="13"/>
      <c r="G682" s="10" t="str">
        <f t="shared" si="22"/>
        <v xml:space="preserve"> </v>
      </c>
      <c r="H682" s="13"/>
      <c r="I682" s="24"/>
      <c r="J682" s="13">
        <f>IFERROR(FundManager[[#This Row],[Current Value]]-FundManager[[#This Row],[Amount Invested]]," ")</f>
        <v>0</v>
      </c>
      <c r="K682" s="14" t="str">
        <f t="shared" si="23"/>
        <v xml:space="preserve"> </v>
      </c>
      <c r="L682" s="15" t="str" cm="1">
        <f t="array" ref="L682">IFERROR(ROUND(_FV(B682,"Change (%)",TRUE),3) &amp; "%"," ")</f>
        <v xml:space="preserve"> </v>
      </c>
    </row>
    <row r="683" spans="1:12" x14ac:dyDescent="0.25">
      <c r="A683" s="19"/>
      <c r="C683" s="10" t="str" cm="1">
        <f t="array" ref="C683">IFERROR(_FV(FundManager[[#This Row],[Name]],"Ticker symbol",TRUE)," ")</f>
        <v xml:space="preserve"> </v>
      </c>
      <c r="E683" s="13"/>
      <c r="F683" s="13"/>
      <c r="G683" s="10" t="str">
        <f t="shared" si="22"/>
        <v xml:space="preserve"> </v>
      </c>
      <c r="H683" s="13"/>
      <c r="I683" s="24"/>
      <c r="J683" s="13">
        <f>IFERROR(FundManager[[#This Row],[Current Value]]-FundManager[[#This Row],[Amount Invested]]," ")</f>
        <v>0</v>
      </c>
      <c r="K683" s="14" t="str">
        <f t="shared" si="23"/>
        <v xml:space="preserve"> </v>
      </c>
      <c r="L683" s="15" t="str" cm="1">
        <f t="array" ref="L683">IFERROR(ROUND(_FV(B683,"Change (%)",TRUE),3) &amp; "%"," ")</f>
        <v xml:space="preserve"> </v>
      </c>
    </row>
    <row r="684" spans="1:12" x14ac:dyDescent="0.25">
      <c r="A684" s="19"/>
      <c r="C684" s="10" t="str" cm="1">
        <f t="array" ref="C684">IFERROR(_FV(FundManager[[#This Row],[Name]],"Ticker symbol",TRUE)," ")</f>
        <v xml:space="preserve"> </v>
      </c>
      <c r="E684" s="13"/>
      <c r="F684" s="13"/>
      <c r="G684" s="10" t="str">
        <f t="shared" si="22"/>
        <v xml:space="preserve"> </v>
      </c>
      <c r="H684" s="13"/>
      <c r="I684" s="24"/>
      <c r="J684" s="13">
        <f>IFERROR(FundManager[[#This Row],[Current Value]]-FundManager[[#This Row],[Amount Invested]]," ")</f>
        <v>0</v>
      </c>
      <c r="K684" s="14" t="str">
        <f t="shared" si="23"/>
        <v xml:space="preserve"> </v>
      </c>
      <c r="L684" s="15" t="str" cm="1">
        <f t="array" ref="L684">IFERROR(ROUND(_FV(B684,"Change (%)",TRUE),3) &amp; "%"," ")</f>
        <v xml:space="preserve"> </v>
      </c>
    </row>
    <row r="685" spans="1:12" x14ac:dyDescent="0.25">
      <c r="A685" s="19"/>
      <c r="C685" s="10" t="str" cm="1">
        <f t="array" ref="C685">IFERROR(_FV(FundManager[[#This Row],[Name]],"Ticker symbol",TRUE)," ")</f>
        <v xml:space="preserve"> </v>
      </c>
      <c r="E685" s="13"/>
      <c r="F685" s="13"/>
      <c r="G685" s="10" t="str">
        <f t="shared" si="22"/>
        <v xml:space="preserve"> </v>
      </c>
      <c r="H685" s="13"/>
      <c r="I685" s="24"/>
      <c r="J685" s="13">
        <f>IFERROR(FundManager[[#This Row],[Current Value]]-FundManager[[#This Row],[Amount Invested]]," ")</f>
        <v>0</v>
      </c>
      <c r="K685" s="14" t="str">
        <f t="shared" si="23"/>
        <v xml:space="preserve"> </v>
      </c>
      <c r="L685" s="15" t="str" cm="1">
        <f t="array" ref="L685">IFERROR(ROUND(_FV(B685,"Change (%)",TRUE),3) &amp; "%"," ")</f>
        <v xml:space="preserve"> </v>
      </c>
    </row>
    <row r="686" spans="1:12" x14ac:dyDescent="0.25">
      <c r="A686" s="19"/>
      <c r="C686" s="10" t="str" cm="1">
        <f t="array" ref="C686">IFERROR(_FV(FundManager[[#This Row],[Name]],"Ticker symbol",TRUE)," ")</f>
        <v xml:space="preserve"> </v>
      </c>
      <c r="E686" s="13"/>
      <c r="F686" s="13"/>
      <c r="G686" s="10" t="str">
        <f t="shared" si="22"/>
        <v xml:space="preserve"> </v>
      </c>
      <c r="H686" s="13"/>
      <c r="I686" s="24"/>
      <c r="J686" s="13">
        <f>IFERROR(FundManager[[#This Row],[Current Value]]-FundManager[[#This Row],[Amount Invested]]," ")</f>
        <v>0</v>
      </c>
      <c r="K686" s="14" t="str">
        <f t="shared" si="23"/>
        <v xml:space="preserve"> </v>
      </c>
      <c r="L686" s="15" t="str" cm="1">
        <f t="array" ref="L686">IFERROR(ROUND(_FV(B686,"Change (%)",TRUE),3) &amp; "%"," ")</f>
        <v xml:space="preserve"> </v>
      </c>
    </row>
    <row r="687" spans="1:12" x14ac:dyDescent="0.25">
      <c r="A687" s="19"/>
      <c r="C687" s="10" t="str" cm="1">
        <f t="array" ref="C687">IFERROR(_FV(FundManager[[#This Row],[Name]],"Ticker symbol",TRUE)," ")</f>
        <v xml:space="preserve"> </v>
      </c>
      <c r="E687" s="13"/>
      <c r="F687" s="13"/>
      <c r="G687" s="10" t="str">
        <f t="shared" si="22"/>
        <v xml:space="preserve"> </v>
      </c>
      <c r="H687" s="13"/>
      <c r="I687" s="24"/>
      <c r="J687" s="13">
        <f>IFERROR(FundManager[[#This Row],[Current Value]]-FundManager[[#This Row],[Amount Invested]]," ")</f>
        <v>0</v>
      </c>
      <c r="K687" s="14" t="str">
        <f t="shared" si="23"/>
        <v xml:space="preserve"> </v>
      </c>
      <c r="L687" s="15" t="str" cm="1">
        <f t="array" ref="L687">IFERROR(ROUND(_FV(B687,"Change (%)",TRUE),3) &amp; "%"," ")</f>
        <v xml:space="preserve"> </v>
      </c>
    </row>
    <row r="688" spans="1:12" x14ac:dyDescent="0.25">
      <c r="A688" s="19"/>
      <c r="C688" s="10" t="str" cm="1">
        <f t="array" ref="C688">IFERROR(_FV(FundManager[[#This Row],[Name]],"Ticker symbol",TRUE)," ")</f>
        <v xml:space="preserve"> </v>
      </c>
      <c r="E688" s="13"/>
      <c r="F688" s="13"/>
      <c r="G688" s="10" t="str">
        <f t="shared" si="22"/>
        <v xml:space="preserve"> </v>
      </c>
      <c r="H688" s="13"/>
      <c r="I688" s="24"/>
      <c r="J688" s="13">
        <f>IFERROR(FundManager[[#This Row],[Current Value]]-FundManager[[#This Row],[Amount Invested]]," ")</f>
        <v>0</v>
      </c>
      <c r="K688" s="14" t="str">
        <f t="shared" si="23"/>
        <v xml:space="preserve"> </v>
      </c>
      <c r="L688" s="15" t="str" cm="1">
        <f t="array" ref="L688">IFERROR(ROUND(_FV(B688,"Change (%)",TRUE),3) &amp; "%"," ")</f>
        <v xml:space="preserve"> </v>
      </c>
    </row>
    <row r="689" spans="1:12" x14ac:dyDescent="0.25">
      <c r="A689" s="19"/>
      <c r="C689" s="10" t="str" cm="1">
        <f t="array" ref="C689">IFERROR(_FV(FundManager[[#This Row],[Name]],"Ticker symbol",TRUE)," ")</f>
        <v xml:space="preserve"> </v>
      </c>
      <c r="E689" s="13"/>
      <c r="F689" s="13"/>
      <c r="G689" s="10" t="str">
        <f t="shared" si="22"/>
        <v xml:space="preserve"> </v>
      </c>
      <c r="H689" s="13"/>
      <c r="I689" s="24"/>
      <c r="J689" s="13">
        <f>IFERROR(FundManager[[#This Row],[Current Value]]-FundManager[[#This Row],[Amount Invested]]," ")</f>
        <v>0</v>
      </c>
      <c r="K689" s="14" t="str">
        <f t="shared" si="23"/>
        <v xml:space="preserve"> </v>
      </c>
      <c r="L689" s="15" t="str" cm="1">
        <f t="array" ref="L689">IFERROR(ROUND(_FV(B689,"Change (%)",TRUE),3) &amp; "%"," ")</f>
        <v xml:space="preserve"> </v>
      </c>
    </row>
    <row r="690" spans="1:12" x14ac:dyDescent="0.25">
      <c r="A690" s="19"/>
      <c r="C690" s="10" t="str" cm="1">
        <f t="array" ref="C690">IFERROR(_FV(FundManager[[#This Row],[Name]],"Ticker symbol",TRUE)," ")</f>
        <v xml:space="preserve"> </v>
      </c>
      <c r="E690" s="13"/>
      <c r="F690" s="13"/>
      <c r="G690" s="10" t="str">
        <f t="shared" si="22"/>
        <v xml:space="preserve"> </v>
      </c>
      <c r="H690" s="13"/>
      <c r="I690" s="24"/>
      <c r="J690" s="13">
        <f>IFERROR(FundManager[[#This Row],[Current Value]]-FundManager[[#This Row],[Amount Invested]]," ")</f>
        <v>0</v>
      </c>
      <c r="K690" s="14" t="str">
        <f t="shared" si="23"/>
        <v xml:space="preserve"> </v>
      </c>
      <c r="L690" s="15" t="str" cm="1">
        <f t="array" ref="L690">IFERROR(ROUND(_FV(B690,"Change (%)",TRUE),3) &amp; "%"," ")</f>
        <v xml:space="preserve"> </v>
      </c>
    </row>
    <row r="691" spans="1:12" x14ac:dyDescent="0.25">
      <c r="A691" s="19"/>
      <c r="C691" s="10" t="str" cm="1">
        <f t="array" ref="C691">IFERROR(_FV(FundManager[[#This Row],[Name]],"Ticker symbol",TRUE)," ")</f>
        <v xml:space="preserve"> </v>
      </c>
      <c r="E691" s="13"/>
      <c r="F691" s="13"/>
      <c r="G691" s="10" t="str">
        <f t="shared" si="22"/>
        <v xml:space="preserve"> </v>
      </c>
      <c r="H691" s="13"/>
      <c r="I691" s="24"/>
      <c r="J691" s="13">
        <f>IFERROR(FundManager[[#This Row],[Current Value]]-FundManager[[#This Row],[Amount Invested]]," ")</f>
        <v>0</v>
      </c>
      <c r="K691" s="14" t="str">
        <f t="shared" si="23"/>
        <v xml:space="preserve"> </v>
      </c>
      <c r="L691" s="15" t="str" cm="1">
        <f t="array" ref="L691">IFERROR(ROUND(_FV(B691,"Change (%)",TRUE),3) &amp; "%"," ")</f>
        <v xml:space="preserve"> </v>
      </c>
    </row>
    <row r="692" spans="1:12" x14ac:dyDescent="0.25">
      <c r="A692" s="19"/>
      <c r="C692" s="10" t="str" cm="1">
        <f t="array" ref="C692">IFERROR(_FV(FundManager[[#This Row],[Name]],"Ticker symbol",TRUE)," ")</f>
        <v xml:space="preserve"> </v>
      </c>
      <c r="E692" s="13"/>
      <c r="F692" s="13"/>
      <c r="G692" s="10" t="str">
        <f t="shared" si="22"/>
        <v xml:space="preserve"> </v>
      </c>
      <c r="H692" s="13"/>
      <c r="I692" s="24"/>
      <c r="J692" s="13">
        <f>IFERROR(FundManager[[#This Row],[Current Value]]-FundManager[[#This Row],[Amount Invested]]," ")</f>
        <v>0</v>
      </c>
      <c r="K692" s="14" t="str">
        <f t="shared" si="23"/>
        <v xml:space="preserve"> </v>
      </c>
      <c r="L692" s="15" t="str" cm="1">
        <f t="array" ref="L692">IFERROR(ROUND(_FV(B692,"Change (%)",TRUE),3) &amp; "%"," ")</f>
        <v xml:space="preserve"> </v>
      </c>
    </row>
    <row r="693" spans="1:12" x14ac:dyDescent="0.25">
      <c r="A693" s="19"/>
      <c r="C693" s="10" t="str" cm="1">
        <f t="array" ref="C693">IFERROR(_FV(FundManager[[#This Row],[Name]],"Ticker symbol",TRUE)," ")</f>
        <v xml:space="preserve"> </v>
      </c>
      <c r="E693" s="13"/>
      <c r="F693" s="13"/>
      <c r="G693" s="10" t="str">
        <f t="shared" si="22"/>
        <v xml:space="preserve"> </v>
      </c>
      <c r="H693" s="13"/>
      <c r="I693" s="24"/>
      <c r="J693" s="13">
        <f>IFERROR(FundManager[[#This Row],[Current Value]]-FundManager[[#This Row],[Amount Invested]]," ")</f>
        <v>0</v>
      </c>
      <c r="K693" s="14" t="str">
        <f t="shared" si="23"/>
        <v xml:space="preserve"> </v>
      </c>
      <c r="L693" s="15" t="str" cm="1">
        <f t="array" ref="L693">IFERROR(ROUND(_FV(B693,"Change (%)",TRUE),3) &amp; "%"," ")</f>
        <v xml:space="preserve"> </v>
      </c>
    </row>
    <row r="694" spans="1:12" x14ac:dyDescent="0.25">
      <c r="A694" s="19"/>
      <c r="C694" s="10" t="str" cm="1">
        <f t="array" ref="C694">IFERROR(_FV(FundManager[[#This Row],[Name]],"Ticker symbol",TRUE)," ")</f>
        <v xml:space="preserve"> </v>
      </c>
      <c r="E694" s="13"/>
      <c r="F694" s="13"/>
      <c r="G694" s="10" t="str">
        <f t="shared" si="22"/>
        <v xml:space="preserve"> </v>
      </c>
      <c r="H694" s="13"/>
      <c r="I694" s="24"/>
      <c r="J694" s="13">
        <f>IFERROR(FundManager[[#This Row],[Current Value]]-FundManager[[#This Row],[Amount Invested]]," ")</f>
        <v>0</v>
      </c>
      <c r="K694" s="14" t="str">
        <f t="shared" si="23"/>
        <v xml:space="preserve"> </v>
      </c>
      <c r="L694" s="15" t="str" cm="1">
        <f t="array" ref="L694">IFERROR(ROUND(_FV(B694,"Change (%)",TRUE),3) &amp; "%"," ")</f>
        <v xml:space="preserve"> </v>
      </c>
    </row>
    <row r="695" spans="1:12" x14ac:dyDescent="0.25">
      <c r="A695" s="19"/>
      <c r="C695" s="10" t="str" cm="1">
        <f t="array" ref="C695">IFERROR(_FV(FundManager[[#This Row],[Name]],"Ticker symbol",TRUE)," ")</f>
        <v xml:space="preserve"> </v>
      </c>
      <c r="E695" s="13"/>
      <c r="F695" s="13"/>
      <c r="G695" s="10" t="str">
        <f t="shared" si="22"/>
        <v xml:space="preserve"> </v>
      </c>
      <c r="H695" s="13"/>
      <c r="I695" s="24"/>
      <c r="J695" s="13">
        <f>IFERROR(FundManager[[#This Row],[Current Value]]-FundManager[[#This Row],[Amount Invested]]," ")</f>
        <v>0</v>
      </c>
      <c r="K695" s="14" t="str">
        <f t="shared" si="23"/>
        <v xml:space="preserve"> </v>
      </c>
      <c r="L695" s="15" t="str" cm="1">
        <f t="array" ref="L695">IFERROR(ROUND(_FV(B695,"Change (%)",TRUE),3) &amp; "%"," ")</f>
        <v xml:space="preserve"> </v>
      </c>
    </row>
    <row r="696" spans="1:12" x14ac:dyDescent="0.25">
      <c r="A696" s="19"/>
      <c r="C696" s="10" t="str" cm="1">
        <f t="array" ref="C696">IFERROR(_FV(FundManager[[#This Row],[Name]],"Ticker symbol",TRUE)," ")</f>
        <v xml:space="preserve"> </v>
      </c>
      <c r="E696" s="13"/>
      <c r="F696" s="13"/>
      <c r="G696" s="10" t="str">
        <f t="shared" si="22"/>
        <v xml:space="preserve"> </v>
      </c>
      <c r="H696" s="13"/>
      <c r="I696" s="24"/>
      <c r="J696" s="13">
        <f>IFERROR(FundManager[[#This Row],[Current Value]]-FundManager[[#This Row],[Amount Invested]]," ")</f>
        <v>0</v>
      </c>
      <c r="K696" s="14" t="str">
        <f t="shared" si="23"/>
        <v xml:space="preserve"> </v>
      </c>
      <c r="L696" s="15" t="str" cm="1">
        <f t="array" ref="L696">IFERROR(ROUND(_FV(B696,"Change (%)",TRUE),3) &amp; "%"," ")</f>
        <v xml:space="preserve"> </v>
      </c>
    </row>
    <row r="697" spans="1:12" x14ac:dyDescent="0.25">
      <c r="A697" s="19"/>
      <c r="C697" s="10" t="str" cm="1">
        <f t="array" ref="C697">IFERROR(_FV(FundManager[[#This Row],[Name]],"Ticker symbol",TRUE)," ")</f>
        <v xml:space="preserve"> </v>
      </c>
      <c r="E697" s="13"/>
      <c r="F697" s="13"/>
      <c r="G697" s="10" t="str">
        <f t="shared" si="22"/>
        <v xml:space="preserve"> </v>
      </c>
      <c r="H697" s="13"/>
      <c r="I697" s="24"/>
      <c r="J697" s="13">
        <f>IFERROR(FundManager[[#This Row],[Current Value]]-FundManager[[#This Row],[Amount Invested]]," ")</f>
        <v>0</v>
      </c>
      <c r="K697" s="14" t="str">
        <f t="shared" si="23"/>
        <v xml:space="preserve"> </v>
      </c>
      <c r="L697" s="15" t="str" cm="1">
        <f t="array" ref="L697">IFERROR(ROUND(_FV(B697,"Change (%)",TRUE),3) &amp; "%"," ")</f>
        <v xml:space="preserve"> </v>
      </c>
    </row>
    <row r="698" spans="1:12" x14ac:dyDescent="0.25">
      <c r="A698" s="19"/>
      <c r="C698" s="10" t="str" cm="1">
        <f t="array" ref="C698">IFERROR(_FV(FundManager[[#This Row],[Name]],"Ticker symbol",TRUE)," ")</f>
        <v xml:space="preserve"> </v>
      </c>
      <c r="E698" s="13"/>
      <c r="F698" s="13"/>
      <c r="G698" s="10" t="str">
        <f t="shared" si="22"/>
        <v xml:space="preserve"> </v>
      </c>
      <c r="H698" s="13"/>
      <c r="I698" s="24"/>
      <c r="J698" s="13">
        <f>IFERROR(FundManager[[#This Row],[Current Value]]-FundManager[[#This Row],[Amount Invested]]," ")</f>
        <v>0</v>
      </c>
      <c r="K698" s="14" t="str">
        <f t="shared" si="23"/>
        <v xml:space="preserve"> </v>
      </c>
      <c r="L698" s="15" t="str" cm="1">
        <f t="array" ref="L698">IFERROR(ROUND(_FV(B698,"Change (%)",TRUE),3) &amp; "%"," ")</f>
        <v xml:space="preserve"> </v>
      </c>
    </row>
    <row r="699" spans="1:12" x14ac:dyDescent="0.25">
      <c r="A699" s="19"/>
      <c r="C699" s="10" t="str" cm="1">
        <f t="array" ref="C699">IFERROR(_FV(FundManager[[#This Row],[Name]],"Ticker symbol",TRUE)," ")</f>
        <v xml:space="preserve"> </v>
      </c>
      <c r="E699" s="13"/>
      <c r="F699" s="13"/>
      <c r="G699" s="10" t="str">
        <f t="shared" si="22"/>
        <v xml:space="preserve"> </v>
      </c>
      <c r="H699" s="13"/>
      <c r="I699" s="24"/>
      <c r="J699" s="13">
        <f>IFERROR(FundManager[[#This Row],[Current Value]]-FundManager[[#This Row],[Amount Invested]]," ")</f>
        <v>0</v>
      </c>
      <c r="K699" s="14" t="str">
        <f t="shared" si="23"/>
        <v xml:space="preserve"> </v>
      </c>
      <c r="L699" s="15" t="str" cm="1">
        <f t="array" ref="L699">IFERROR(ROUND(_FV(B699,"Change (%)",TRUE),3) &amp; "%"," ")</f>
        <v xml:space="preserve"> </v>
      </c>
    </row>
    <row r="700" spans="1:12" x14ac:dyDescent="0.25">
      <c r="A700" s="19"/>
      <c r="C700" s="10" t="str" cm="1">
        <f t="array" ref="C700">IFERROR(_FV(FundManager[[#This Row],[Name]],"Ticker symbol",TRUE)," ")</f>
        <v xml:space="preserve"> </v>
      </c>
      <c r="E700" s="13"/>
      <c r="F700" s="13"/>
      <c r="G700" s="10" t="str">
        <f t="shared" si="22"/>
        <v xml:space="preserve"> </v>
      </c>
      <c r="H700" s="13"/>
      <c r="I700" s="24"/>
      <c r="J700" s="13">
        <f>IFERROR(FundManager[[#This Row],[Current Value]]-FundManager[[#This Row],[Amount Invested]]," ")</f>
        <v>0</v>
      </c>
      <c r="K700" s="14" t="str">
        <f t="shared" si="23"/>
        <v xml:space="preserve"> </v>
      </c>
      <c r="L700" s="15" t="str" cm="1">
        <f t="array" ref="L700">IFERROR(ROUND(_FV(B700,"Change (%)",TRUE),3) &amp; "%"," ")</f>
        <v xml:space="preserve"> </v>
      </c>
    </row>
    <row r="701" spans="1:12" x14ac:dyDescent="0.25">
      <c r="A701" s="19"/>
      <c r="C701" s="10" t="str" cm="1">
        <f t="array" ref="C701">IFERROR(_FV(FundManager[[#This Row],[Name]],"Ticker symbol",TRUE)," ")</f>
        <v xml:space="preserve"> </v>
      </c>
      <c r="E701" s="13"/>
      <c r="F701" s="13"/>
      <c r="G701" s="10" t="str">
        <f t="shared" si="22"/>
        <v xml:space="preserve"> </v>
      </c>
      <c r="H701" s="13"/>
      <c r="I701" s="24"/>
      <c r="J701" s="13">
        <f>IFERROR(FundManager[[#This Row],[Current Value]]-FundManager[[#This Row],[Amount Invested]]," ")</f>
        <v>0</v>
      </c>
      <c r="K701" s="14" t="str">
        <f t="shared" si="23"/>
        <v xml:space="preserve"> </v>
      </c>
      <c r="L701" s="15" t="str" cm="1">
        <f t="array" ref="L701">IFERROR(ROUND(_FV(B701,"Change (%)",TRUE),3) &amp; "%"," ")</f>
        <v xml:space="preserve"> </v>
      </c>
    </row>
    <row r="702" spans="1:12" x14ac:dyDescent="0.25">
      <c r="A702" s="19"/>
      <c r="C702" s="10" t="str" cm="1">
        <f t="array" ref="C702">IFERROR(_FV(FundManager[[#This Row],[Name]],"Ticker symbol",TRUE)," ")</f>
        <v xml:space="preserve"> </v>
      </c>
      <c r="E702" s="13"/>
      <c r="F702" s="13"/>
      <c r="G702" s="10" t="str">
        <f t="shared" si="22"/>
        <v xml:space="preserve"> </v>
      </c>
      <c r="H702" s="13"/>
      <c r="I702" s="24"/>
      <c r="J702" s="13">
        <f>IFERROR(FundManager[[#This Row],[Current Value]]-FundManager[[#This Row],[Amount Invested]]," ")</f>
        <v>0</v>
      </c>
      <c r="K702" s="14" t="str">
        <f t="shared" si="23"/>
        <v xml:space="preserve"> </v>
      </c>
      <c r="L702" s="15" t="str" cm="1">
        <f t="array" ref="L702">IFERROR(ROUND(_FV(B702,"Change (%)",TRUE),3) &amp; "%"," ")</f>
        <v xml:space="preserve"> </v>
      </c>
    </row>
    <row r="703" spans="1:12" x14ac:dyDescent="0.25">
      <c r="A703" s="19"/>
      <c r="C703" s="10" t="str" cm="1">
        <f t="array" ref="C703">IFERROR(_FV(FundManager[[#This Row],[Name]],"Ticker symbol",TRUE)," ")</f>
        <v xml:space="preserve"> </v>
      </c>
      <c r="E703" s="13"/>
      <c r="F703" s="13"/>
      <c r="G703" s="10" t="str">
        <f t="shared" si="22"/>
        <v xml:space="preserve"> </v>
      </c>
      <c r="H703" s="13"/>
      <c r="I703" s="24"/>
      <c r="J703" s="13">
        <f>IFERROR(FundManager[[#This Row],[Current Value]]-FundManager[[#This Row],[Amount Invested]]," ")</f>
        <v>0</v>
      </c>
      <c r="K703" s="14" t="str">
        <f t="shared" si="23"/>
        <v xml:space="preserve"> </v>
      </c>
      <c r="L703" s="15" t="str" cm="1">
        <f t="array" ref="L703">IFERROR(ROUND(_FV(B703,"Change (%)",TRUE),3) &amp; "%"," ")</f>
        <v xml:space="preserve"> </v>
      </c>
    </row>
    <row r="704" spans="1:12" x14ac:dyDescent="0.25">
      <c r="A704" s="19"/>
      <c r="C704" s="10" t="str" cm="1">
        <f t="array" ref="C704">IFERROR(_FV(FundManager[[#This Row],[Name]],"Ticker symbol",TRUE)," ")</f>
        <v xml:space="preserve"> </v>
      </c>
      <c r="E704" s="13"/>
      <c r="F704" s="13"/>
      <c r="G704" s="10" t="str">
        <f t="shared" si="22"/>
        <v xml:space="preserve"> </v>
      </c>
      <c r="H704" s="13"/>
      <c r="I704" s="24"/>
      <c r="J704" s="13">
        <f>IFERROR(FundManager[[#This Row],[Current Value]]-FundManager[[#This Row],[Amount Invested]]," ")</f>
        <v>0</v>
      </c>
      <c r="K704" s="14" t="str">
        <f t="shared" si="23"/>
        <v xml:space="preserve"> </v>
      </c>
      <c r="L704" s="15" t="str" cm="1">
        <f t="array" ref="L704">IFERROR(ROUND(_FV(B704,"Change (%)",TRUE),3) &amp; "%"," ")</f>
        <v xml:space="preserve"> </v>
      </c>
    </row>
    <row r="705" spans="1:12" x14ac:dyDescent="0.25">
      <c r="A705" s="19"/>
      <c r="C705" s="10" t="str" cm="1">
        <f t="array" ref="C705">IFERROR(_FV(FundManager[[#This Row],[Name]],"Ticker symbol",TRUE)," ")</f>
        <v xml:space="preserve"> </v>
      </c>
      <c r="E705" s="13"/>
      <c r="F705" s="13"/>
      <c r="G705" s="10" t="str">
        <f t="shared" si="22"/>
        <v xml:space="preserve"> </v>
      </c>
      <c r="H705" s="13"/>
      <c r="I705" s="24"/>
      <c r="J705" s="13">
        <f>IFERROR(FundManager[[#This Row],[Current Value]]-FundManager[[#This Row],[Amount Invested]]," ")</f>
        <v>0</v>
      </c>
      <c r="K705" s="14" t="str">
        <f t="shared" si="23"/>
        <v xml:space="preserve"> </v>
      </c>
      <c r="L705" s="15" t="str" cm="1">
        <f t="array" ref="L705">IFERROR(ROUND(_FV(B705,"Change (%)",TRUE),3) &amp; "%"," ")</f>
        <v xml:space="preserve"> </v>
      </c>
    </row>
    <row r="706" spans="1:12" x14ac:dyDescent="0.25">
      <c r="A706" s="19"/>
      <c r="C706" s="10" t="str" cm="1">
        <f t="array" ref="C706">IFERROR(_FV(FundManager[[#This Row],[Name]],"Ticker symbol",TRUE)," ")</f>
        <v xml:space="preserve"> </v>
      </c>
      <c r="E706" s="13"/>
      <c r="F706" s="13"/>
      <c r="G706" s="10" t="str">
        <f t="shared" si="22"/>
        <v xml:space="preserve"> </v>
      </c>
      <c r="H706" s="13"/>
      <c r="I706" s="24"/>
      <c r="J706" s="13">
        <f>IFERROR(FundManager[[#This Row],[Current Value]]-FundManager[[#This Row],[Amount Invested]]," ")</f>
        <v>0</v>
      </c>
      <c r="K706" s="14" t="str">
        <f t="shared" si="23"/>
        <v xml:space="preserve"> </v>
      </c>
      <c r="L706" s="15" t="str" cm="1">
        <f t="array" ref="L706">IFERROR(ROUND(_FV(B706,"Change (%)",TRUE),3) &amp; "%"," ")</f>
        <v xml:space="preserve"> </v>
      </c>
    </row>
    <row r="707" spans="1:12" x14ac:dyDescent="0.25">
      <c r="A707" s="19"/>
      <c r="C707" s="10" t="str" cm="1">
        <f t="array" ref="C707">IFERROR(_FV(FundManager[[#This Row],[Name]],"Ticker symbol",TRUE)," ")</f>
        <v xml:space="preserve"> </v>
      </c>
      <c r="E707" s="13"/>
      <c r="F707" s="13"/>
      <c r="G707" s="10" t="str">
        <f t="shared" si="22"/>
        <v xml:space="preserve"> </v>
      </c>
      <c r="H707" s="13"/>
      <c r="I707" s="24"/>
      <c r="J707" s="13">
        <f>IFERROR(FundManager[[#This Row],[Current Value]]-FundManager[[#This Row],[Amount Invested]]," ")</f>
        <v>0</v>
      </c>
      <c r="K707" s="14" t="str">
        <f t="shared" si="23"/>
        <v xml:space="preserve"> </v>
      </c>
      <c r="L707" s="15" t="str" cm="1">
        <f t="array" ref="L707">IFERROR(ROUND(_FV(B707,"Change (%)",TRUE),3) &amp; "%"," ")</f>
        <v xml:space="preserve"> </v>
      </c>
    </row>
    <row r="708" spans="1:12" x14ac:dyDescent="0.25">
      <c r="A708" s="19"/>
      <c r="C708" s="10" t="str" cm="1">
        <f t="array" ref="C708">IFERROR(_FV(FundManager[[#This Row],[Name]],"Ticker symbol",TRUE)," ")</f>
        <v xml:space="preserve"> </v>
      </c>
      <c r="E708" s="13"/>
      <c r="F708" s="13"/>
      <c r="G708" s="10" t="str">
        <f t="shared" si="22"/>
        <v xml:space="preserve"> </v>
      </c>
      <c r="H708" s="13"/>
      <c r="I708" s="24"/>
      <c r="J708" s="13">
        <f>IFERROR(FundManager[[#This Row],[Current Value]]-FundManager[[#This Row],[Amount Invested]]," ")</f>
        <v>0</v>
      </c>
      <c r="K708" s="14" t="str">
        <f t="shared" si="23"/>
        <v xml:space="preserve"> </v>
      </c>
      <c r="L708" s="15" t="str" cm="1">
        <f t="array" ref="L708">IFERROR(ROUND(_FV(B708,"Change (%)",TRUE),3) &amp; "%"," ")</f>
        <v xml:space="preserve"> </v>
      </c>
    </row>
    <row r="709" spans="1:12" x14ac:dyDescent="0.25">
      <c r="A709" s="19"/>
      <c r="C709" s="10" t="str" cm="1">
        <f t="array" ref="C709">IFERROR(_FV(FundManager[[#This Row],[Name]],"Ticker symbol",TRUE)," ")</f>
        <v xml:space="preserve"> </v>
      </c>
      <c r="E709" s="13"/>
      <c r="F709" s="13"/>
      <c r="G709" s="10" t="str">
        <f t="shared" si="22"/>
        <v xml:space="preserve"> </v>
      </c>
      <c r="H709" s="13"/>
      <c r="I709" s="24"/>
      <c r="J709" s="13">
        <f>IFERROR(FundManager[[#This Row],[Current Value]]-FundManager[[#This Row],[Amount Invested]]," ")</f>
        <v>0</v>
      </c>
      <c r="K709" s="14" t="str">
        <f t="shared" si="23"/>
        <v xml:space="preserve"> </v>
      </c>
      <c r="L709" s="15" t="str" cm="1">
        <f t="array" ref="L709">IFERROR(ROUND(_FV(B709,"Change (%)",TRUE),3) &amp; "%"," ")</f>
        <v xml:space="preserve"> </v>
      </c>
    </row>
    <row r="710" spans="1:12" x14ac:dyDescent="0.25">
      <c r="A710" s="19"/>
      <c r="C710" s="10" t="str" cm="1">
        <f t="array" ref="C710">IFERROR(_FV(FundManager[[#This Row],[Name]],"Ticker symbol",TRUE)," ")</f>
        <v xml:space="preserve"> </v>
      </c>
      <c r="E710" s="13"/>
      <c r="F710" s="13"/>
      <c r="G710" s="10" t="str">
        <f t="shared" si="22"/>
        <v xml:space="preserve"> </v>
      </c>
      <c r="H710" s="13"/>
      <c r="I710" s="24"/>
      <c r="J710" s="13">
        <f>IFERROR(FundManager[[#This Row],[Current Value]]-FundManager[[#This Row],[Amount Invested]]," ")</f>
        <v>0</v>
      </c>
      <c r="K710" s="14" t="str">
        <f t="shared" si="23"/>
        <v xml:space="preserve"> </v>
      </c>
      <c r="L710" s="15" t="str" cm="1">
        <f t="array" ref="L710">IFERROR(ROUND(_FV(B710,"Change (%)",TRUE),3) &amp; "%"," ")</f>
        <v xml:space="preserve"> </v>
      </c>
    </row>
    <row r="711" spans="1:12" x14ac:dyDescent="0.25">
      <c r="A711" s="19"/>
      <c r="C711" s="10" t="str" cm="1">
        <f t="array" ref="C711">IFERROR(_FV(FundManager[[#This Row],[Name]],"Ticker symbol",TRUE)," ")</f>
        <v xml:space="preserve"> </v>
      </c>
      <c r="E711" s="13"/>
      <c r="F711" s="13"/>
      <c r="G711" s="10" t="str">
        <f t="shared" si="22"/>
        <v xml:space="preserve"> </v>
      </c>
      <c r="H711" s="13"/>
      <c r="I711" s="24"/>
      <c r="J711" s="13">
        <f>IFERROR(FundManager[[#This Row],[Current Value]]-FundManager[[#This Row],[Amount Invested]]," ")</f>
        <v>0</v>
      </c>
      <c r="K711" s="14" t="str">
        <f t="shared" si="23"/>
        <v xml:space="preserve"> </v>
      </c>
      <c r="L711" s="15" t="str" cm="1">
        <f t="array" ref="L711">IFERROR(ROUND(_FV(B711,"Change (%)",TRUE),3) &amp; "%"," ")</f>
        <v xml:space="preserve"> </v>
      </c>
    </row>
    <row r="712" spans="1:12" x14ac:dyDescent="0.25">
      <c r="A712" s="19"/>
      <c r="C712" s="10" t="str" cm="1">
        <f t="array" ref="C712">IFERROR(_FV(FundManager[[#This Row],[Name]],"Ticker symbol",TRUE)," ")</f>
        <v xml:space="preserve"> </v>
      </c>
      <c r="E712" s="13"/>
      <c r="F712" s="13"/>
      <c r="G712" s="10" t="str">
        <f t="shared" si="22"/>
        <v xml:space="preserve"> </v>
      </c>
      <c r="H712" s="13"/>
      <c r="I712" s="24"/>
      <c r="J712" s="13">
        <f>IFERROR(FundManager[[#This Row],[Current Value]]-FundManager[[#This Row],[Amount Invested]]," ")</f>
        <v>0</v>
      </c>
      <c r="K712" s="14" t="str">
        <f t="shared" si="23"/>
        <v xml:space="preserve"> </v>
      </c>
      <c r="L712" s="15" t="str" cm="1">
        <f t="array" ref="L712">IFERROR(ROUND(_FV(B712,"Change (%)",TRUE),3) &amp; "%"," ")</f>
        <v xml:space="preserve"> </v>
      </c>
    </row>
    <row r="713" spans="1:12" x14ac:dyDescent="0.25">
      <c r="A713" s="19"/>
      <c r="C713" s="10" t="str" cm="1">
        <f t="array" ref="C713">IFERROR(_FV(FundManager[[#This Row],[Name]],"Ticker symbol",TRUE)," ")</f>
        <v xml:space="preserve"> </v>
      </c>
      <c r="E713" s="13"/>
      <c r="F713" s="13"/>
      <c r="G713" s="10" t="str">
        <f t="shared" si="22"/>
        <v xml:space="preserve"> </v>
      </c>
      <c r="H713" s="13"/>
      <c r="I713" s="24"/>
      <c r="J713" s="13">
        <f>IFERROR(FundManager[[#This Row],[Current Value]]-FundManager[[#This Row],[Amount Invested]]," ")</f>
        <v>0</v>
      </c>
      <c r="K713" s="14" t="str">
        <f t="shared" si="23"/>
        <v xml:space="preserve"> </v>
      </c>
      <c r="L713" s="15" t="str" cm="1">
        <f t="array" ref="L713">IFERROR(ROUND(_FV(B713,"Change (%)",TRUE),3) &amp; "%"," ")</f>
        <v xml:space="preserve"> </v>
      </c>
    </row>
    <row r="714" spans="1:12" x14ac:dyDescent="0.25">
      <c r="A714" s="19"/>
      <c r="C714" s="10" t="str" cm="1">
        <f t="array" ref="C714">IFERROR(_FV(FundManager[[#This Row],[Name]],"Ticker symbol",TRUE)," ")</f>
        <v xml:space="preserve"> </v>
      </c>
      <c r="E714" s="13"/>
      <c r="F714" s="13"/>
      <c r="G714" s="10" t="str">
        <f t="shared" si="22"/>
        <v xml:space="preserve"> </v>
      </c>
      <c r="H714" s="13"/>
      <c r="I714" s="24"/>
      <c r="J714" s="13">
        <f>IFERROR(FundManager[[#This Row],[Current Value]]-FundManager[[#This Row],[Amount Invested]]," ")</f>
        <v>0</v>
      </c>
      <c r="K714" s="14" t="str">
        <f t="shared" si="23"/>
        <v xml:space="preserve"> </v>
      </c>
      <c r="L714" s="15" t="str" cm="1">
        <f t="array" ref="L714">IFERROR(ROUND(_FV(B714,"Change (%)",TRUE),3) &amp; "%"," ")</f>
        <v xml:space="preserve"> </v>
      </c>
    </row>
    <row r="715" spans="1:12" x14ac:dyDescent="0.25">
      <c r="A715" s="19"/>
      <c r="C715" s="10" t="str" cm="1">
        <f t="array" ref="C715">IFERROR(_FV(FundManager[[#This Row],[Name]],"Ticker symbol",TRUE)," ")</f>
        <v xml:space="preserve"> </v>
      </c>
      <c r="E715" s="13"/>
      <c r="F715" s="13"/>
      <c r="G715" s="10" t="str">
        <f t="shared" si="22"/>
        <v xml:space="preserve"> </v>
      </c>
      <c r="H715" s="13"/>
      <c r="I715" s="24"/>
      <c r="J715" s="13">
        <f>IFERROR(FundManager[[#This Row],[Current Value]]-FundManager[[#This Row],[Amount Invested]]," ")</f>
        <v>0</v>
      </c>
      <c r="K715" s="14" t="str">
        <f t="shared" si="23"/>
        <v xml:space="preserve"> </v>
      </c>
      <c r="L715" s="15" t="str" cm="1">
        <f t="array" ref="L715">IFERROR(ROUND(_FV(B715,"Change (%)",TRUE),3) &amp; "%"," ")</f>
        <v xml:space="preserve"> </v>
      </c>
    </row>
    <row r="716" spans="1:12" x14ac:dyDescent="0.25">
      <c r="A716" s="19"/>
      <c r="C716" s="10" t="str" cm="1">
        <f t="array" ref="C716">IFERROR(_FV(FundManager[[#This Row],[Name]],"Ticker symbol",TRUE)," ")</f>
        <v xml:space="preserve"> </v>
      </c>
      <c r="E716" s="13"/>
      <c r="F716" s="13"/>
      <c r="G716" s="10" t="str">
        <f t="shared" si="22"/>
        <v xml:space="preserve"> </v>
      </c>
      <c r="H716" s="13"/>
      <c r="I716" s="24"/>
      <c r="J716" s="13">
        <f>IFERROR(FundManager[[#This Row],[Current Value]]-FundManager[[#This Row],[Amount Invested]]," ")</f>
        <v>0</v>
      </c>
      <c r="K716" s="14" t="str">
        <f t="shared" si="23"/>
        <v xml:space="preserve"> </v>
      </c>
      <c r="L716" s="15" t="str" cm="1">
        <f t="array" ref="L716">IFERROR(ROUND(_FV(B716,"Change (%)",TRUE),3) &amp; "%"," ")</f>
        <v xml:space="preserve"> </v>
      </c>
    </row>
    <row r="717" spans="1:12" x14ac:dyDescent="0.25">
      <c r="A717" s="19"/>
      <c r="C717" s="10" t="str" cm="1">
        <f t="array" ref="C717">IFERROR(_FV(FundManager[[#This Row],[Name]],"Ticker symbol",TRUE)," ")</f>
        <v xml:space="preserve"> </v>
      </c>
      <c r="E717" s="13"/>
      <c r="F717" s="13"/>
      <c r="G717" s="10" t="str">
        <f t="shared" si="22"/>
        <v xml:space="preserve"> </v>
      </c>
      <c r="H717" s="13"/>
      <c r="I717" s="24"/>
      <c r="J717" s="13">
        <f>IFERROR(FundManager[[#This Row],[Current Value]]-FundManager[[#This Row],[Amount Invested]]," ")</f>
        <v>0</v>
      </c>
      <c r="K717" s="14" t="str">
        <f t="shared" si="23"/>
        <v xml:space="preserve"> </v>
      </c>
      <c r="L717" s="15" t="str" cm="1">
        <f t="array" ref="L717">IFERROR(ROUND(_FV(B717,"Change (%)",TRUE),3) &amp; "%"," ")</f>
        <v xml:space="preserve"> </v>
      </c>
    </row>
    <row r="718" spans="1:12" x14ac:dyDescent="0.25">
      <c r="A718" s="19"/>
      <c r="C718" s="10" t="str" cm="1">
        <f t="array" ref="C718">IFERROR(_FV(FundManager[[#This Row],[Name]],"Ticker symbol",TRUE)," ")</f>
        <v xml:space="preserve"> </v>
      </c>
      <c r="E718" s="13"/>
      <c r="F718" s="13"/>
      <c r="G718" s="10" t="str">
        <f t="shared" si="22"/>
        <v xml:space="preserve"> </v>
      </c>
      <c r="H718" s="13"/>
      <c r="I718" s="24"/>
      <c r="J718" s="13">
        <f>IFERROR(FundManager[[#This Row],[Current Value]]-FundManager[[#This Row],[Amount Invested]]," ")</f>
        <v>0</v>
      </c>
      <c r="K718" s="14" t="str">
        <f t="shared" si="23"/>
        <v xml:space="preserve"> </v>
      </c>
      <c r="L718" s="15" t="str" cm="1">
        <f t="array" ref="L718">IFERROR(ROUND(_FV(B718,"Change (%)",TRUE),3) &amp; "%"," ")</f>
        <v xml:space="preserve"> </v>
      </c>
    </row>
    <row r="719" spans="1:12" x14ac:dyDescent="0.25">
      <c r="A719" s="19"/>
      <c r="C719" s="10" t="str" cm="1">
        <f t="array" ref="C719">IFERROR(_FV(FundManager[[#This Row],[Name]],"Ticker symbol",TRUE)," ")</f>
        <v xml:space="preserve"> </v>
      </c>
      <c r="E719" s="13"/>
      <c r="F719" s="13"/>
      <c r="G719" s="10" t="str">
        <f t="shared" si="22"/>
        <v xml:space="preserve"> </v>
      </c>
      <c r="H719" s="13"/>
      <c r="I719" s="24"/>
      <c r="J719" s="13">
        <f>IFERROR(FundManager[[#This Row],[Current Value]]-FundManager[[#This Row],[Amount Invested]]," ")</f>
        <v>0</v>
      </c>
      <c r="K719" s="14" t="str">
        <f t="shared" si="23"/>
        <v xml:space="preserve"> </v>
      </c>
      <c r="L719" s="15" t="str" cm="1">
        <f t="array" ref="L719">IFERROR(ROUND(_FV(B719,"Change (%)",TRUE),3) &amp; "%"," ")</f>
        <v xml:space="preserve"> </v>
      </c>
    </row>
    <row r="720" spans="1:12" x14ac:dyDescent="0.25">
      <c r="A720" s="19"/>
      <c r="C720" s="10" t="str" cm="1">
        <f t="array" ref="C720">IFERROR(_FV(FundManager[[#This Row],[Name]],"Ticker symbol",TRUE)," ")</f>
        <v xml:space="preserve"> </v>
      </c>
      <c r="E720" s="13"/>
      <c r="F720" s="13"/>
      <c r="G720" s="10" t="str">
        <f t="shared" si="22"/>
        <v xml:space="preserve"> </v>
      </c>
      <c r="H720" s="13"/>
      <c r="I720" s="24"/>
      <c r="J720" s="13">
        <f>IFERROR(FundManager[[#This Row],[Current Value]]-FundManager[[#This Row],[Amount Invested]]," ")</f>
        <v>0</v>
      </c>
      <c r="K720" s="14" t="str">
        <f t="shared" si="23"/>
        <v xml:space="preserve"> </v>
      </c>
      <c r="L720" s="15" t="str" cm="1">
        <f t="array" ref="L720">IFERROR(ROUND(_FV(B720,"Change (%)",TRUE),3) &amp; "%"," ")</f>
        <v xml:space="preserve"> </v>
      </c>
    </row>
    <row r="721" spans="1:12" x14ac:dyDescent="0.25">
      <c r="A721" s="19"/>
      <c r="C721" s="10" t="str" cm="1">
        <f t="array" ref="C721">IFERROR(_FV(FundManager[[#This Row],[Name]],"Ticker symbol",TRUE)," ")</f>
        <v xml:space="preserve"> </v>
      </c>
      <c r="E721" s="13"/>
      <c r="F721" s="13"/>
      <c r="G721" s="10" t="str">
        <f t="shared" si="22"/>
        <v xml:space="preserve"> </v>
      </c>
      <c r="H721" s="13"/>
      <c r="I721" s="24"/>
      <c r="J721" s="13">
        <f>IFERROR(FundManager[[#This Row],[Current Value]]-FundManager[[#This Row],[Amount Invested]]," ")</f>
        <v>0</v>
      </c>
      <c r="K721" s="14" t="str">
        <f t="shared" si="23"/>
        <v xml:space="preserve"> </v>
      </c>
      <c r="L721" s="15" t="str" cm="1">
        <f t="array" ref="L721">IFERROR(ROUND(_FV(B721,"Change (%)",TRUE),3) &amp; "%"," ")</f>
        <v xml:space="preserve"> </v>
      </c>
    </row>
    <row r="722" spans="1:12" x14ac:dyDescent="0.25">
      <c r="A722" s="19"/>
      <c r="C722" s="10" t="str" cm="1">
        <f t="array" ref="C722">IFERROR(_FV(FundManager[[#This Row],[Name]],"Ticker symbol",TRUE)," ")</f>
        <v xml:space="preserve"> </v>
      </c>
      <c r="E722" s="13"/>
      <c r="F722" s="13"/>
      <c r="G722" s="10" t="str">
        <f t="shared" si="22"/>
        <v xml:space="preserve"> </v>
      </c>
      <c r="H722" s="13"/>
      <c r="I722" s="24"/>
      <c r="J722" s="13">
        <f>IFERROR(FundManager[[#This Row],[Current Value]]-FundManager[[#This Row],[Amount Invested]]," ")</f>
        <v>0</v>
      </c>
      <c r="K722" s="14" t="str">
        <f t="shared" si="23"/>
        <v xml:space="preserve"> </v>
      </c>
      <c r="L722" s="15" t="str" cm="1">
        <f t="array" ref="L722">IFERROR(ROUND(_FV(B722,"Change (%)",TRUE),3) &amp; "%"," ")</f>
        <v xml:space="preserve"> </v>
      </c>
    </row>
    <row r="723" spans="1:12" x14ac:dyDescent="0.25">
      <c r="A723" s="19"/>
      <c r="C723" s="10" t="str" cm="1">
        <f t="array" ref="C723">IFERROR(_FV(FundManager[[#This Row],[Name]],"Ticker symbol",TRUE)," ")</f>
        <v xml:space="preserve"> </v>
      </c>
      <c r="E723" s="13"/>
      <c r="F723" s="13"/>
      <c r="G723" s="10" t="str">
        <f t="shared" si="22"/>
        <v xml:space="preserve"> </v>
      </c>
      <c r="H723" s="13"/>
      <c r="I723" s="24"/>
      <c r="J723" s="13">
        <f>IFERROR(FundManager[[#This Row],[Current Value]]-FundManager[[#This Row],[Amount Invested]]," ")</f>
        <v>0</v>
      </c>
      <c r="K723" s="14" t="str">
        <f t="shared" si="23"/>
        <v xml:space="preserve"> </v>
      </c>
      <c r="L723" s="15" t="str" cm="1">
        <f t="array" ref="L723">IFERROR(ROUND(_FV(B723,"Change (%)",TRUE),3) &amp; "%"," ")</f>
        <v xml:space="preserve"> </v>
      </c>
    </row>
    <row r="724" spans="1:12" x14ac:dyDescent="0.25">
      <c r="A724" s="19"/>
      <c r="C724" s="10" t="str" cm="1">
        <f t="array" ref="C724">IFERROR(_FV(FundManager[[#This Row],[Name]],"Ticker symbol",TRUE)," ")</f>
        <v xml:space="preserve"> </v>
      </c>
      <c r="E724" s="13"/>
      <c r="F724" s="13"/>
      <c r="G724" s="10" t="str">
        <f t="shared" si="22"/>
        <v xml:space="preserve"> </v>
      </c>
      <c r="H724" s="13"/>
      <c r="I724" s="24"/>
      <c r="J724" s="13">
        <f>IFERROR(FundManager[[#This Row],[Current Value]]-FundManager[[#This Row],[Amount Invested]]," ")</f>
        <v>0</v>
      </c>
      <c r="K724" s="14" t="str">
        <f t="shared" si="23"/>
        <v xml:space="preserve"> </v>
      </c>
      <c r="L724" s="15" t="str" cm="1">
        <f t="array" ref="L724">IFERROR(ROUND(_FV(B724,"Change (%)",TRUE),3) &amp; "%"," ")</f>
        <v xml:space="preserve"> </v>
      </c>
    </row>
    <row r="725" spans="1:12" x14ac:dyDescent="0.25">
      <c r="A725" s="19"/>
      <c r="C725" s="10" t="str" cm="1">
        <f t="array" ref="C725">IFERROR(_FV(FundManager[[#This Row],[Name]],"Ticker symbol",TRUE)," ")</f>
        <v xml:space="preserve"> </v>
      </c>
      <c r="E725" s="13"/>
      <c r="F725" s="13"/>
      <c r="G725" s="10" t="str">
        <f t="shared" si="22"/>
        <v xml:space="preserve"> </v>
      </c>
      <c r="H725" s="13"/>
      <c r="I725" s="24"/>
      <c r="J725" s="13">
        <f>IFERROR(FundManager[[#This Row],[Current Value]]-FundManager[[#This Row],[Amount Invested]]," ")</f>
        <v>0</v>
      </c>
      <c r="K725" s="14" t="str">
        <f t="shared" si="23"/>
        <v xml:space="preserve"> </v>
      </c>
      <c r="L725" s="15" t="str" cm="1">
        <f t="array" ref="L725">IFERROR(ROUND(_FV(B725,"Change (%)",TRUE),3) &amp; "%"," ")</f>
        <v xml:space="preserve"> </v>
      </c>
    </row>
    <row r="726" spans="1:12" x14ac:dyDescent="0.25">
      <c r="A726" s="19"/>
      <c r="C726" s="10" t="str" cm="1">
        <f t="array" ref="C726">IFERROR(_FV(FundManager[[#This Row],[Name]],"Ticker symbol",TRUE)," ")</f>
        <v xml:space="preserve"> </v>
      </c>
      <c r="E726" s="13"/>
      <c r="F726" s="13"/>
      <c r="G726" s="10" t="str">
        <f t="shared" si="22"/>
        <v xml:space="preserve"> </v>
      </c>
      <c r="H726" s="13"/>
      <c r="I726" s="24"/>
      <c r="J726" s="13">
        <f>IFERROR(FundManager[[#This Row],[Current Value]]-FundManager[[#This Row],[Amount Invested]]," ")</f>
        <v>0</v>
      </c>
      <c r="K726" s="14" t="str">
        <f t="shared" si="23"/>
        <v xml:space="preserve"> </v>
      </c>
      <c r="L726" s="15" t="str" cm="1">
        <f t="array" ref="L726">IFERROR(ROUND(_FV(B726,"Change (%)",TRUE),3) &amp; "%"," ")</f>
        <v xml:space="preserve"> </v>
      </c>
    </row>
    <row r="727" spans="1:12" x14ac:dyDescent="0.25">
      <c r="A727" s="19"/>
      <c r="C727" s="10" t="str" cm="1">
        <f t="array" ref="C727">IFERROR(_FV(FundManager[[#This Row],[Name]],"Ticker symbol",TRUE)," ")</f>
        <v xml:space="preserve"> </v>
      </c>
      <c r="E727" s="13"/>
      <c r="F727" s="13"/>
      <c r="G727" s="10" t="str">
        <f t="shared" ref="G727:G790" si="24">IFERROR(H727/E727," ")</f>
        <v xml:space="preserve"> </v>
      </c>
      <c r="H727" s="13"/>
      <c r="I727" s="24"/>
      <c r="J727" s="13">
        <f>IFERROR(FundManager[[#This Row],[Current Value]]-FundManager[[#This Row],[Amount Invested]]," ")</f>
        <v>0</v>
      </c>
      <c r="K727" s="14" t="str">
        <f t="shared" ref="K727:K790" si="25">IFERROR((I727-H727)/H727," ")</f>
        <v xml:space="preserve"> </v>
      </c>
      <c r="L727" s="15" t="str" cm="1">
        <f t="array" ref="L727">IFERROR(ROUND(_FV(B727,"Change (%)",TRUE),3) &amp; "%"," ")</f>
        <v xml:space="preserve"> </v>
      </c>
    </row>
    <row r="728" spans="1:12" x14ac:dyDescent="0.25">
      <c r="A728" s="19"/>
      <c r="C728" s="10" t="str" cm="1">
        <f t="array" ref="C728">IFERROR(_FV(FundManager[[#This Row],[Name]],"Ticker symbol",TRUE)," ")</f>
        <v xml:space="preserve"> </v>
      </c>
      <c r="E728" s="13"/>
      <c r="F728" s="13"/>
      <c r="G728" s="10" t="str">
        <f t="shared" si="24"/>
        <v xml:space="preserve"> </v>
      </c>
      <c r="H728" s="13"/>
      <c r="I728" s="24"/>
      <c r="J728" s="13">
        <f>IFERROR(FundManager[[#This Row],[Current Value]]-FundManager[[#This Row],[Amount Invested]]," ")</f>
        <v>0</v>
      </c>
      <c r="K728" s="14" t="str">
        <f t="shared" si="25"/>
        <v xml:space="preserve"> </v>
      </c>
      <c r="L728" s="15" t="str" cm="1">
        <f t="array" ref="L728">IFERROR(ROUND(_FV(B728,"Change (%)",TRUE),3) &amp; "%"," ")</f>
        <v xml:space="preserve"> </v>
      </c>
    </row>
    <row r="729" spans="1:12" x14ac:dyDescent="0.25">
      <c r="A729" s="19"/>
      <c r="C729" s="10" t="str" cm="1">
        <f t="array" ref="C729">IFERROR(_FV(FundManager[[#This Row],[Name]],"Ticker symbol",TRUE)," ")</f>
        <v xml:space="preserve"> </v>
      </c>
      <c r="E729" s="13"/>
      <c r="F729" s="13"/>
      <c r="G729" s="10" t="str">
        <f t="shared" si="24"/>
        <v xml:space="preserve"> </v>
      </c>
      <c r="H729" s="13"/>
      <c r="I729" s="24"/>
      <c r="J729" s="13">
        <f>IFERROR(FundManager[[#This Row],[Current Value]]-FundManager[[#This Row],[Amount Invested]]," ")</f>
        <v>0</v>
      </c>
      <c r="K729" s="14" t="str">
        <f t="shared" si="25"/>
        <v xml:space="preserve"> </v>
      </c>
      <c r="L729" s="15" t="str" cm="1">
        <f t="array" ref="L729">IFERROR(ROUND(_FV(B729,"Change (%)",TRUE),3) &amp; "%"," ")</f>
        <v xml:space="preserve"> </v>
      </c>
    </row>
    <row r="730" spans="1:12" x14ac:dyDescent="0.25">
      <c r="A730" s="19"/>
      <c r="C730" s="10" t="str" cm="1">
        <f t="array" ref="C730">IFERROR(_FV(FundManager[[#This Row],[Name]],"Ticker symbol",TRUE)," ")</f>
        <v xml:space="preserve"> </v>
      </c>
      <c r="E730" s="13"/>
      <c r="F730" s="13"/>
      <c r="G730" s="10" t="str">
        <f t="shared" si="24"/>
        <v xml:space="preserve"> </v>
      </c>
      <c r="H730" s="13"/>
      <c r="I730" s="24"/>
      <c r="J730" s="13">
        <f>IFERROR(FundManager[[#This Row],[Current Value]]-FundManager[[#This Row],[Amount Invested]]," ")</f>
        <v>0</v>
      </c>
      <c r="K730" s="14" t="str">
        <f t="shared" si="25"/>
        <v xml:space="preserve"> </v>
      </c>
      <c r="L730" s="15" t="str" cm="1">
        <f t="array" ref="L730">IFERROR(ROUND(_FV(B730,"Change (%)",TRUE),3) &amp; "%"," ")</f>
        <v xml:space="preserve"> </v>
      </c>
    </row>
    <row r="731" spans="1:12" x14ac:dyDescent="0.25">
      <c r="A731" s="19"/>
      <c r="C731" s="10" t="str" cm="1">
        <f t="array" ref="C731">IFERROR(_FV(FundManager[[#This Row],[Name]],"Ticker symbol",TRUE)," ")</f>
        <v xml:space="preserve"> </v>
      </c>
      <c r="E731" s="13"/>
      <c r="F731" s="13"/>
      <c r="G731" s="10" t="str">
        <f t="shared" si="24"/>
        <v xml:space="preserve"> </v>
      </c>
      <c r="H731" s="13"/>
      <c r="I731" s="24"/>
      <c r="J731" s="13">
        <f>IFERROR(FundManager[[#This Row],[Current Value]]-FundManager[[#This Row],[Amount Invested]]," ")</f>
        <v>0</v>
      </c>
      <c r="K731" s="14" t="str">
        <f t="shared" si="25"/>
        <v xml:space="preserve"> </v>
      </c>
      <c r="L731" s="15" t="str" cm="1">
        <f t="array" ref="L731">IFERROR(ROUND(_FV(B731,"Change (%)",TRUE),3) &amp; "%"," ")</f>
        <v xml:space="preserve"> </v>
      </c>
    </row>
    <row r="732" spans="1:12" x14ac:dyDescent="0.25">
      <c r="A732" s="19"/>
      <c r="C732" s="10" t="str" cm="1">
        <f t="array" ref="C732">IFERROR(_FV(FundManager[[#This Row],[Name]],"Ticker symbol",TRUE)," ")</f>
        <v xml:space="preserve"> </v>
      </c>
      <c r="E732" s="13"/>
      <c r="F732" s="13"/>
      <c r="G732" s="10" t="str">
        <f t="shared" si="24"/>
        <v xml:space="preserve"> </v>
      </c>
      <c r="H732" s="13"/>
      <c r="I732" s="24"/>
      <c r="J732" s="13">
        <f>IFERROR(FundManager[[#This Row],[Current Value]]-FundManager[[#This Row],[Amount Invested]]," ")</f>
        <v>0</v>
      </c>
      <c r="K732" s="14" t="str">
        <f t="shared" si="25"/>
        <v xml:space="preserve"> </v>
      </c>
      <c r="L732" s="15" t="str" cm="1">
        <f t="array" ref="L732">IFERROR(ROUND(_FV(B732,"Change (%)",TRUE),3) &amp; "%"," ")</f>
        <v xml:space="preserve"> </v>
      </c>
    </row>
    <row r="733" spans="1:12" x14ac:dyDescent="0.25">
      <c r="A733" s="19"/>
      <c r="C733" s="10" t="str" cm="1">
        <f t="array" ref="C733">IFERROR(_FV(FundManager[[#This Row],[Name]],"Ticker symbol",TRUE)," ")</f>
        <v xml:space="preserve"> </v>
      </c>
      <c r="E733" s="13"/>
      <c r="F733" s="13"/>
      <c r="G733" s="10" t="str">
        <f t="shared" si="24"/>
        <v xml:space="preserve"> </v>
      </c>
      <c r="H733" s="13"/>
      <c r="I733" s="24"/>
      <c r="J733" s="13">
        <f>IFERROR(FundManager[[#This Row],[Current Value]]-FundManager[[#This Row],[Amount Invested]]," ")</f>
        <v>0</v>
      </c>
      <c r="K733" s="14" t="str">
        <f t="shared" si="25"/>
        <v xml:space="preserve"> </v>
      </c>
      <c r="L733" s="15" t="str" cm="1">
        <f t="array" ref="L733">IFERROR(ROUND(_FV(B733,"Change (%)",TRUE),3) &amp; "%"," ")</f>
        <v xml:space="preserve"> </v>
      </c>
    </row>
    <row r="734" spans="1:12" x14ac:dyDescent="0.25">
      <c r="A734" s="19"/>
      <c r="C734" s="10" t="str" cm="1">
        <f t="array" ref="C734">IFERROR(_FV(FundManager[[#This Row],[Name]],"Ticker symbol",TRUE)," ")</f>
        <v xml:space="preserve"> </v>
      </c>
      <c r="E734" s="13"/>
      <c r="F734" s="13"/>
      <c r="G734" s="10" t="str">
        <f t="shared" si="24"/>
        <v xml:space="preserve"> </v>
      </c>
      <c r="H734" s="13"/>
      <c r="I734" s="24"/>
      <c r="J734" s="13">
        <f>IFERROR(FundManager[[#This Row],[Current Value]]-FundManager[[#This Row],[Amount Invested]]," ")</f>
        <v>0</v>
      </c>
      <c r="K734" s="14" t="str">
        <f t="shared" si="25"/>
        <v xml:space="preserve"> </v>
      </c>
      <c r="L734" s="15" t="str" cm="1">
        <f t="array" ref="L734">IFERROR(ROUND(_FV(B734,"Change (%)",TRUE),3) &amp; "%"," ")</f>
        <v xml:space="preserve"> </v>
      </c>
    </row>
    <row r="735" spans="1:12" x14ac:dyDescent="0.25">
      <c r="A735" s="19"/>
      <c r="C735" s="10" t="str" cm="1">
        <f t="array" ref="C735">IFERROR(_FV(FundManager[[#This Row],[Name]],"Ticker symbol",TRUE)," ")</f>
        <v xml:space="preserve"> </v>
      </c>
      <c r="E735" s="13"/>
      <c r="F735" s="13"/>
      <c r="G735" s="10" t="str">
        <f t="shared" si="24"/>
        <v xml:space="preserve"> </v>
      </c>
      <c r="H735" s="13"/>
      <c r="I735" s="24"/>
      <c r="J735" s="13">
        <f>IFERROR(FundManager[[#This Row],[Current Value]]-FundManager[[#This Row],[Amount Invested]]," ")</f>
        <v>0</v>
      </c>
      <c r="K735" s="14" t="str">
        <f t="shared" si="25"/>
        <v xml:space="preserve"> </v>
      </c>
      <c r="L735" s="15" t="str" cm="1">
        <f t="array" ref="L735">IFERROR(ROUND(_FV(B735,"Change (%)",TRUE),3) &amp; "%"," ")</f>
        <v xml:space="preserve"> </v>
      </c>
    </row>
    <row r="736" spans="1:12" x14ac:dyDescent="0.25">
      <c r="A736" s="19"/>
      <c r="C736" s="10" t="str" cm="1">
        <f t="array" ref="C736">IFERROR(_FV(FundManager[[#This Row],[Name]],"Ticker symbol",TRUE)," ")</f>
        <v xml:space="preserve"> </v>
      </c>
      <c r="E736" s="13"/>
      <c r="F736" s="13"/>
      <c r="G736" s="10" t="str">
        <f t="shared" si="24"/>
        <v xml:space="preserve"> </v>
      </c>
      <c r="H736" s="13"/>
      <c r="I736" s="24"/>
      <c r="J736" s="13">
        <f>IFERROR(FundManager[[#This Row],[Current Value]]-FundManager[[#This Row],[Amount Invested]]," ")</f>
        <v>0</v>
      </c>
      <c r="K736" s="14" t="str">
        <f t="shared" si="25"/>
        <v xml:space="preserve"> </v>
      </c>
      <c r="L736" s="15" t="str" cm="1">
        <f t="array" ref="L736">IFERROR(ROUND(_FV(B736,"Change (%)",TRUE),3) &amp; "%"," ")</f>
        <v xml:space="preserve"> </v>
      </c>
    </row>
    <row r="737" spans="1:12" x14ac:dyDescent="0.25">
      <c r="A737" s="19"/>
      <c r="C737" s="10" t="str" cm="1">
        <f t="array" ref="C737">IFERROR(_FV(FundManager[[#This Row],[Name]],"Ticker symbol",TRUE)," ")</f>
        <v xml:space="preserve"> </v>
      </c>
      <c r="E737" s="13"/>
      <c r="F737" s="13"/>
      <c r="G737" s="10" t="str">
        <f t="shared" si="24"/>
        <v xml:space="preserve"> </v>
      </c>
      <c r="H737" s="13"/>
      <c r="I737" s="24"/>
      <c r="J737" s="13">
        <f>IFERROR(FundManager[[#This Row],[Current Value]]-FundManager[[#This Row],[Amount Invested]]," ")</f>
        <v>0</v>
      </c>
      <c r="K737" s="14" t="str">
        <f t="shared" si="25"/>
        <v xml:space="preserve"> </v>
      </c>
      <c r="L737" s="15" t="str" cm="1">
        <f t="array" ref="L737">IFERROR(ROUND(_FV(B737,"Change (%)",TRUE),3) &amp; "%"," ")</f>
        <v xml:space="preserve"> </v>
      </c>
    </row>
    <row r="738" spans="1:12" x14ac:dyDescent="0.25">
      <c r="A738" s="19"/>
      <c r="C738" s="10" t="str" cm="1">
        <f t="array" ref="C738">IFERROR(_FV(FundManager[[#This Row],[Name]],"Ticker symbol",TRUE)," ")</f>
        <v xml:space="preserve"> </v>
      </c>
      <c r="E738" s="13"/>
      <c r="F738" s="13"/>
      <c r="G738" s="10" t="str">
        <f t="shared" si="24"/>
        <v xml:space="preserve"> </v>
      </c>
      <c r="H738" s="13"/>
      <c r="I738" s="24"/>
      <c r="J738" s="13">
        <f>IFERROR(FundManager[[#This Row],[Current Value]]-FundManager[[#This Row],[Amount Invested]]," ")</f>
        <v>0</v>
      </c>
      <c r="K738" s="14" t="str">
        <f t="shared" si="25"/>
        <v xml:space="preserve"> </v>
      </c>
      <c r="L738" s="15" t="str" cm="1">
        <f t="array" ref="L738">IFERROR(ROUND(_FV(B738,"Change (%)",TRUE),3) &amp; "%"," ")</f>
        <v xml:space="preserve"> </v>
      </c>
    </row>
    <row r="739" spans="1:12" x14ac:dyDescent="0.25">
      <c r="A739" s="19"/>
      <c r="C739" s="10" t="str" cm="1">
        <f t="array" ref="C739">IFERROR(_FV(FundManager[[#This Row],[Name]],"Ticker symbol",TRUE)," ")</f>
        <v xml:space="preserve"> </v>
      </c>
      <c r="E739" s="13"/>
      <c r="F739" s="13"/>
      <c r="G739" s="10" t="str">
        <f t="shared" si="24"/>
        <v xml:space="preserve"> </v>
      </c>
      <c r="H739" s="13"/>
      <c r="I739" s="24"/>
      <c r="J739" s="13">
        <f>IFERROR(FundManager[[#This Row],[Current Value]]-FundManager[[#This Row],[Amount Invested]]," ")</f>
        <v>0</v>
      </c>
      <c r="K739" s="14" t="str">
        <f t="shared" si="25"/>
        <v xml:space="preserve"> </v>
      </c>
      <c r="L739" s="15" t="str" cm="1">
        <f t="array" ref="L739">IFERROR(ROUND(_FV(B739,"Change (%)",TRUE),3) &amp; "%"," ")</f>
        <v xml:space="preserve"> </v>
      </c>
    </row>
    <row r="740" spans="1:12" x14ac:dyDescent="0.25">
      <c r="A740" s="19"/>
      <c r="C740" s="10" t="str" cm="1">
        <f t="array" ref="C740">IFERROR(_FV(FundManager[[#This Row],[Name]],"Ticker symbol",TRUE)," ")</f>
        <v xml:space="preserve"> </v>
      </c>
      <c r="E740" s="13"/>
      <c r="F740" s="13"/>
      <c r="G740" s="10" t="str">
        <f t="shared" si="24"/>
        <v xml:space="preserve"> </v>
      </c>
      <c r="H740" s="13"/>
      <c r="I740" s="24"/>
      <c r="J740" s="13">
        <f>IFERROR(FundManager[[#This Row],[Current Value]]-FundManager[[#This Row],[Amount Invested]]," ")</f>
        <v>0</v>
      </c>
      <c r="K740" s="14" t="str">
        <f t="shared" si="25"/>
        <v xml:space="preserve"> </v>
      </c>
      <c r="L740" s="15" t="str" cm="1">
        <f t="array" ref="L740">IFERROR(ROUND(_FV(B740,"Change (%)",TRUE),3) &amp; "%"," ")</f>
        <v xml:space="preserve"> </v>
      </c>
    </row>
    <row r="741" spans="1:12" x14ac:dyDescent="0.25">
      <c r="A741" s="19"/>
      <c r="C741" s="10" t="str" cm="1">
        <f t="array" ref="C741">IFERROR(_FV(FundManager[[#This Row],[Name]],"Ticker symbol",TRUE)," ")</f>
        <v xml:space="preserve"> </v>
      </c>
      <c r="E741" s="13"/>
      <c r="F741" s="13"/>
      <c r="G741" s="10" t="str">
        <f t="shared" si="24"/>
        <v xml:space="preserve"> </v>
      </c>
      <c r="H741" s="13"/>
      <c r="I741" s="24"/>
      <c r="J741" s="13">
        <f>IFERROR(FundManager[[#This Row],[Current Value]]-FundManager[[#This Row],[Amount Invested]]," ")</f>
        <v>0</v>
      </c>
      <c r="K741" s="14" t="str">
        <f t="shared" si="25"/>
        <v xml:space="preserve"> </v>
      </c>
      <c r="L741" s="15" t="str" cm="1">
        <f t="array" ref="L741">IFERROR(ROUND(_FV(B741,"Change (%)",TRUE),3) &amp; "%"," ")</f>
        <v xml:space="preserve"> </v>
      </c>
    </row>
    <row r="742" spans="1:12" x14ac:dyDescent="0.25">
      <c r="A742" s="19"/>
      <c r="C742" s="10" t="str" cm="1">
        <f t="array" ref="C742">IFERROR(_FV(FundManager[[#This Row],[Name]],"Ticker symbol",TRUE)," ")</f>
        <v xml:space="preserve"> </v>
      </c>
      <c r="E742" s="13"/>
      <c r="F742" s="13"/>
      <c r="G742" s="10" t="str">
        <f t="shared" si="24"/>
        <v xml:space="preserve"> </v>
      </c>
      <c r="H742" s="13"/>
      <c r="I742" s="24"/>
      <c r="J742" s="13">
        <f>IFERROR(FundManager[[#This Row],[Current Value]]-FundManager[[#This Row],[Amount Invested]]," ")</f>
        <v>0</v>
      </c>
      <c r="K742" s="14" t="str">
        <f t="shared" si="25"/>
        <v xml:space="preserve"> </v>
      </c>
      <c r="L742" s="15" t="str" cm="1">
        <f t="array" ref="L742">IFERROR(ROUND(_FV(B742,"Change (%)",TRUE),3) &amp; "%"," ")</f>
        <v xml:space="preserve"> </v>
      </c>
    </row>
    <row r="743" spans="1:12" x14ac:dyDescent="0.25">
      <c r="A743" s="19"/>
      <c r="C743" s="10" t="str" cm="1">
        <f t="array" ref="C743">IFERROR(_FV(FundManager[[#This Row],[Name]],"Ticker symbol",TRUE)," ")</f>
        <v xml:space="preserve"> </v>
      </c>
      <c r="E743" s="13"/>
      <c r="F743" s="13"/>
      <c r="G743" s="10" t="str">
        <f t="shared" si="24"/>
        <v xml:space="preserve"> </v>
      </c>
      <c r="H743" s="13"/>
      <c r="I743" s="24"/>
      <c r="J743" s="13">
        <f>IFERROR(FundManager[[#This Row],[Current Value]]-FundManager[[#This Row],[Amount Invested]]," ")</f>
        <v>0</v>
      </c>
      <c r="K743" s="14" t="str">
        <f t="shared" si="25"/>
        <v xml:space="preserve"> </v>
      </c>
      <c r="L743" s="15" t="str" cm="1">
        <f t="array" ref="L743">IFERROR(ROUND(_FV(B743,"Change (%)",TRUE),3) &amp; "%"," ")</f>
        <v xml:space="preserve"> </v>
      </c>
    </row>
    <row r="744" spans="1:12" x14ac:dyDescent="0.25">
      <c r="A744" s="19"/>
      <c r="C744" s="10" t="str" cm="1">
        <f t="array" ref="C744">IFERROR(_FV(FundManager[[#This Row],[Name]],"Ticker symbol",TRUE)," ")</f>
        <v xml:space="preserve"> </v>
      </c>
      <c r="E744" s="13"/>
      <c r="F744" s="13"/>
      <c r="G744" s="10" t="str">
        <f t="shared" si="24"/>
        <v xml:space="preserve"> </v>
      </c>
      <c r="H744" s="13"/>
      <c r="I744" s="24"/>
      <c r="J744" s="13">
        <f>IFERROR(FundManager[[#This Row],[Current Value]]-FundManager[[#This Row],[Amount Invested]]," ")</f>
        <v>0</v>
      </c>
      <c r="K744" s="14" t="str">
        <f t="shared" si="25"/>
        <v xml:space="preserve"> </v>
      </c>
      <c r="L744" s="15" t="str" cm="1">
        <f t="array" ref="L744">IFERROR(ROUND(_FV(B744,"Change (%)",TRUE),3) &amp; "%"," ")</f>
        <v xml:space="preserve"> </v>
      </c>
    </row>
    <row r="745" spans="1:12" x14ac:dyDescent="0.25">
      <c r="A745" s="19"/>
      <c r="C745" s="10" t="str" cm="1">
        <f t="array" ref="C745">IFERROR(_FV(FundManager[[#This Row],[Name]],"Ticker symbol",TRUE)," ")</f>
        <v xml:space="preserve"> </v>
      </c>
      <c r="E745" s="13"/>
      <c r="F745" s="13"/>
      <c r="G745" s="10" t="str">
        <f t="shared" si="24"/>
        <v xml:space="preserve"> </v>
      </c>
      <c r="H745" s="13"/>
      <c r="I745" s="24"/>
      <c r="J745" s="13">
        <f>IFERROR(FundManager[[#This Row],[Current Value]]-FundManager[[#This Row],[Amount Invested]]," ")</f>
        <v>0</v>
      </c>
      <c r="K745" s="14" t="str">
        <f t="shared" si="25"/>
        <v xml:space="preserve"> </v>
      </c>
      <c r="L745" s="15" t="str" cm="1">
        <f t="array" ref="L745">IFERROR(ROUND(_FV(B745,"Change (%)",TRUE),3) &amp; "%"," ")</f>
        <v xml:space="preserve"> </v>
      </c>
    </row>
    <row r="746" spans="1:12" x14ac:dyDescent="0.25">
      <c r="A746" s="19"/>
      <c r="C746" s="10" t="str" cm="1">
        <f t="array" ref="C746">IFERROR(_FV(FundManager[[#This Row],[Name]],"Ticker symbol",TRUE)," ")</f>
        <v xml:space="preserve"> </v>
      </c>
      <c r="E746" s="13"/>
      <c r="F746" s="13"/>
      <c r="G746" s="10" t="str">
        <f t="shared" si="24"/>
        <v xml:space="preserve"> </v>
      </c>
      <c r="H746" s="13"/>
      <c r="I746" s="24"/>
      <c r="J746" s="13">
        <f>IFERROR(FundManager[[#This Row],[Current Value]]-FundManager[[#This Row],[Amount Invested]]," ")</f>
        <v>0</v>
      </c>
      <c r="K746" s="14" t="str">
        <f t="shared" si="25"/>
        <v xml:space="preserve"> </v>
      </c>
      <c r="L746" s="15" t="str" cm="1">
        <f t="array" ref="L746">IFERROR(ROUND(_FV(B746,"Change (%)",TRUE),3) &amp; "%"," ")</f>
        <v xml:space="preserve"> </v>
      </c>
    </row>
    <row r="747" spans="1:12" x14ac:dyDescent="0.25">
      <c r="A747" s="19"/>
      <c r="C747" s="10" t="str" cm="1">
        <f t="array" ref="C747">IFERROR(_FV(FundManager[[#This Row],[Name]],"Ticker symbol",TRUE)," ")</f>
        <v xml:space="preserve"> </v>
      </c>
      <c r="E747" s="13"/>
      <c r="F747" s="13"/>
      <c r="G747" s="10" t="str">
        <f t="shared" si="24"/>
        <v xml:space="preserve"> </v>
      </c>
      <c r="H747" s="13"/>
      <c r="I747" s="24"/>
      <c r="J747" s="13">
        <f>IFERROR(FundManager[[#This Row],[Current Value]]-FundManager[[#This Row],[Amount Invested]]," ")</f>
        <v>0</v>
      </c>
      <c r="K747" s="14" t="str">
        <f t="shared" si="25"/>
        <v xml:space="preserve"> </v>
      </c>
      <c r="L747" s="15" t="str" cm="1">
        <f t="array" ref="L747">IFERROR(ROUND(_FV(B747,"Change (%)",TRUE),3) &amp; "%"," ")</f>
        <v xml:space="preserve"> </v>
      </c>
    </row>
    <row r="748" spans="1:12" x14ac:dyDescent="0.25">
      <c r="A748" s="19"/>
      <c r="C748" s="10" t="str" cm="1">
        <f t="array" ref="C748">IFERROR(_FV(FundManager[[#This Row],[Name]],"Ticker symbol",TRUE)," ")</f>
        <v xml:space="preserve"> </v>
      </c>
      <c r="E748" s="13"/>
      <c r="F748" s="13"/>
      <c r="G748" s="10" t="str">
        <f t="shared" si="24"/>
        <v xml:space="preserve"> </v>
      </c>
      <c r="H748" s="13"/>
      <c r="I748" s="24"/>
      <c r="J748" s="13">
        <f>IFERROR(FundManager[[#This Row],[Current Value]]-FundManager[[#This Row],[Amount Invested]]," ")</f>
        <v>0</v>
      </c>
      <c r="K748" s="14" t="str">
        <f t="shared" si="25"/>
        <v xml:space="preserve"> </v>
      </c>
      <c r="L748" s="15" t="str" cm="1">
        <f t="array" ref="L748">IFERROR(ROUND(_FV(B748,"Change (%)",TRUE),3) &amp; "%"," ")</f>
        <v xml:space="preserve"> </v>
      </c>
    </row>
    <row r="749" spans="1:12" x14ac:dyDescent="0.25">
      <c r="A749" s="19"/>
      <c r="C749" s="10" t="str" cm="1">
        <f t="array" ref="C749">IFERROR(_FV(FundManager[[#This Row],[Name]],"Ticker symbol",TRUE)," ")</f>
        <v xml:space="preserve"> </v>
      </c>
      <c r="E749" s="13"/>
      <c r="F749" s="13"/>
      <c r="G749" s="10" t="str">
        <f t="shared" si="24"/>
        <v xml:space="preserve"> </v>
      </c>
      <c r="H749" s="13"/>
      <c r="I749" s="24"/>
      <c r="J749" s="13">
        <f>IFERROR(FundManager[[#This Row],[Current Value]]-FundManager[[#This Row],[Amount Invested]]," ")</f>
        <v>0</v>
      </c>
      <c r="K749" s="14" t="str">
        <f t="shared" si="25"/>
        <v xml:space="preserve"> </v>
      </c>
      <c r="L749" s="15" t="str" cm="1">
        <f t="array" ref="L749">IFERROR(ROUND(_FV(B749,"Change (%)",TRUE),3) &amp; "%"," ")</f>
        <v xml:space="preserve"> </v>
      </c>
    </row>
    <row r="750" spans="1:12" x14ac:dyDescent="0.25">
      <c r="A750" s="19"/>
      <c r="C750" s="10" t="str" cm="1">
        <f t="array" ref="C750">IFERROR(_FV(FundManager[[#This Row],[Name]],"Ticker symbol",TRUE)," ")</f>
        <v xml:space="preserve"> </v>
      </c>
      <c r="E750" s="13"/>
      <c r="F750" s="13"/>
      <c r="G750" s="10" t="str">
        <f t="shared" si="24"/>
        <v xml:space="preserve"> </v>
      </c>
      <c r="H750" s="13"/>
      <c r="I750" s="24"/>
      <c r="J750" s="13">
        <f>IFERROR(FundManager[[#This Row],[Current Value]]-FundManager[[#This Row],[Amount Invested]]," ")</f>
        <v>0</v>
      </c>
      <c r="K750" s="14" t="str">
        <f t="shared" si="25"/>
        <v xml:space="preserve"> </v>
      </c>
      <c r="L750" s="15" t="str" cm="1">
        <f t="array" ref="L750">IFERROR(ROUND(_FV(B750,"Change (%)",TRUE),3) &amp; "%"," ")</f>
        <v xml:space="preserve"> </v>
      </c>
    </row>
    <row r="751" spans="1:12" x14ac:dyDescent="0.25">
      <c r="A751" s="19"/>
      <c r="C751" s="10" t="str" cm="1">
        <f t="array" ref="C751">IFERROR(_FV(FundManager[[#This Row],[Name]],"Ticker symbol",TRUE)," ")</f>
        <v xml:space="preserve"> </v>
      </c>
      <c r="E751" s="13"/>
      <c r="F751" s="13"/>
      <c r="G751" s="10" t="str">
        <f t="shared" si="24"/>
        <v xml:space="preserve"> </v>
      </c>
      <c r="H751" s="13"/>
      <c r="I751" s="24"/>
      <c r="J751" s="13">
        <f>IFERROR(FundManager[[#This Row],[Current Value]]-FundManager[[#This Row],[Amount Invested]]," ")</f>
        <v>0</v>
      </c>
      <c r="K751" s="14" t="str">
        <f t="shared" si="25"/>
        <v xml:space="preserve"> </v>
      </c>
      <c r="L751" s="15" t="str" cm="1">
        <f t="array" ref="L751">IFERROR(ROUND(_FV(B751,"Change (%)",TRUE),3) &amp; "%"," ")</f>
        <v xml:space="preserve"> </v>
      </c>
    </row>
    <row r="752" spans="1:12" x14ac:dyDescent="0.25">
      <c r="A752" s="19"/>
      <c r="C752" s="10" t="str" cm="1">
        <f t="array" ref="C752">IFERROR(_FV(FundManager[[#This Row],[Name]],"Ticker symbol",TRUE)," ")</f>
        <v xml:space="preserve"> </v>
      </c>
      <c r="E752" s="13"/>
      <c r="F752" s="13"/>
      <c r="G752" s="10" t="str">
        <f t="shared" si="24"/>
        <v xml:space="preserve"> </v>
      </c>
      <c r="H752" s="13"/>
      <c r="I752" s="24"/>
      <c r="J752" s="13">
        <f>IFERROR(FundManager[[#This Row],[Current Value]]-FundManager[[#This Row],[Amount Invested]]," ")</f>
        <v>0</v>
      </c>
      <c r="K752" s="14" t="str">
        <f t="shared" si="25"/>
        <v xml:space="preserve"> </v>
      </c>
      <c r="L752" s="15" t="str" cm="1">
        <f t="array" ref="L752">IFERROR(ROUND(_FV(B752,"Change (%)",TRUE),3) &amp; "%"," ")</f>
        <v xml:space="preserve"> </v>
      </c>
    </row>
    <row r="753" spans="1:12" x14ac:dyDescent="0.25">
      <c r="A753" s="19"/>
      <c r="C753" s="10" t="str" cm="1">
        <f t="array" ref="C753">IFERROR(_FV(FundManager[[#This Row],[Name]],"Ticker symbol",TRUE)," ")</f>
        <v xml:space="preserve"> </v>
      </c>
      <c r="E753" s="13"/>
      <c r="F753" s="13"/>
      <c r="G753" s="10" t="str">
        <f t="shared" si="24"/>
        <v xml:space="preserve"> </v>
      </c>
      <c r="H753" s="13"/>
      <c r="I753" s="24"/>
      <c r="J753" s="13">
        <f>IFERROR(FundManager[[#This Row],[Current Value]]-FundManager[[#This Row],[Amount Invested]]," ")</f>
        <v>0</v>
      </c>
      <c r="K753" s="14" t="str">
        <f t="shared" si="25"/>
        <v xml:space="preserve"> </v>
      </c>
      <c r="L753" s="15" t="str" cm="1">
        <f t="array" ref="L753">IFERROR(ROUND(_FV(B753,"Change (%)",TRUE),3) &amp; "%"," ")</f>
        <v xml:space="preserve"> </v>
      </c>
    </row>
    <row r="754" spans="1:12" x14ac:dyDescent="0.25">
      <c r="A754" s="19"/>
      <c r="C754" s="10" t="str" cm="1">
        <f t="array" ref="C754">IFERROR(_FV(FundManager[[#This Row],[Name]],"Ticker symbol",TRUE)," ")</f>
        <v xml:space="preserve"> </v>
      </c>
      <c r="E754" s="13"/>
      <c r="F754" s="13"/>
      <c r="G754" s="10" t="str">
        <f t="shared" si="24"/>
        <v xml:space="preserve"> </v>
      </c>
      <c r="H754" s="13"/>
      <c r="I754" s="24"/>
      <c r="J754" s="13">
        <f>IFERROR(FundManager[[#This Row],[Current Value]]-FundManager[[#This Row],[Amount Invested]]," ")</f>
        <v>0</v>
      </c>
      <c r="K754" s="14" t="str">
        <f t="shared" si="25"/>
        <v xml:space="preserve"> </v>
      </c>
      <c r="L754" s="15" t="str" cm="1">
        <f t="array" ref="L754">IFERROR(ROUND(_FV(B754,"Change (%)",TRUE),3) &amp; "%"," ")</f>
        <v xml:space="preserve"> </v>
      </c>
    </row>
    <row r="755" spans="1:12" x14ac:dyDescent="0.25">
      <c r="A755" s="19"/>
      <c r="C755" s="10" t="str" cm="1">
        <f t="array" ref="C755">IFERROR(_FV(FundManager[[#This Row],[Name]],"Ticker symbol",TRUE)," ")</f>
        <v xml:space="preserve"> </v>
      </c>
      <c r="E755" s="13"/>
      <c r="F755" s="13"/>
      <c r="G755" s="10" t="str">
        <f t="shared" si="24"/>
        <v xml:space="preserve"> </v>
      </c>
      <c r="H755" s="13"/>
      <c r="I755" s="24"/>
      <c r="J755" s="13">
        <f>IFERROR(FundManager[[#This Row],[Current Value]]-FundManager[[#This Row],[Amount Invested]]," ")</f>
        <v>0</v>
      </c>
      <c r="K755" s="14" t="str">
        <f t="shared" si="25"/>
        <v xml:space="preserve"> </v>
      </c>
      <c r="L755" s="15" t="str" cm="1">
        <f t="array" ref="L755">IFERROR(ROUND(_FV(B755,"Change (%)",TRUE),3) &amp; "%"," ")</f>
        <v xml:space="preserve"> </v>
      </c>
    </row>
    <row r="756" spans="1:12" x14ac:dyDescent="0.25">
      <c r="A756" s="19"/>
      <c r="C756" s="10" t="str" cm="1">
        <f t="array" ref="C756">IFERROR(_FV(FundManager[[#This Row],[Name]],"Ticker symbol",TRUE)," ")</f>
        <v xml:space="preserve"> </v>
      </c>
      <c r="E756" s="13"/>
      <c r="F756" s="13"/>
      <c r="G756" s="10" t="str">
        <f t="shared" si="24"/>
        <v xml:space="preserve"> </v>
      </c>
      <c r="H756" s="13"/>
      <c r="I756" s="24"/>
      <c r="J756" s="13">
        <f>IFERROR(FundManager[[#This Row],[Current Value]]-FundManager[[#This Row],[Amount Invested]]," ")</f>
        <v>0</v>
      </c>
      <c r="K756" s="14" t="str">
        <f t="shared" si="25"/>
        <v xml:space="preserve"> </v>
      </c>
      <c r="L756" s="15" t="str" cm="1">
        <f t="array" ref="L756">IFERROR(ROUND(_FV(B756,"Change (%)",TRUE),3) &amp; "%"," ")</f>
        <v xml:space="preserve"> </v>
      </c>
    </row>
    <row r="757" spans="1:12" x14ac:dyDescent="0.25">
      <c r="A757" s="19"/>
      <c r="C757" s="10" t="str" cm="1">
        <f t="array" ref="C757">IFERROR(_FV(FundManager[[#This Row],[Name]],"Ticker symbol",TRUE)," ")</f>
        <v xml:space="preserve"> </v>
      </c>
      <c r="E757" s="13"/>
      <c r="F757" s="13"/>
      <c r="G757" s="10" t="str">
        <f t="shared" si="24"/>
        <v xml:space="preserve"> </v>
      </c>
      <c r="H757" s="13"/>
      <c r="I757" s="24"/>
      <c r="J757" s="13">
        <f>IFERROR(FundManager[[#This Row],[Current Value]]-FundManager[[#This Row],[Amount Invested]]," ")</f>
        <v>0</v>
      </c>
      <c r="K757" s="14" t="str">
        <f t="shared" si="25"/>
        <v xml:space="preserve"> </v>
      </c>
      <c r="L757" s="15" t="str" cm="1">
        <f t="array" ref="L757">IFERROR(ROUND(_FV(B757,"Change (%)",TRUE),3) &amp; "%"," ")</f>
        <v xml:space="preserve"> </v>
      </c>
    </row>
    <row r="758" spans="1:12" x14ac:dyDescent="0.25">
      <c r="A758" s="19"/>
      <c r="C758" s="10" t="str" cm="1">
        <f t="array" ref="C758">IFERROR(_FV(FundManager[[#This Row],[Name]],"Ticker symbol",TRUE)," ")</f>
        <v xml:space="preserve"> </v>
      </c>
      <c r="E758" s="13"/>
      <c r="F758" s="13"/>
      <c r="G758" s="10" t="str">
        <f t="shared" si="24"/>
        <v xml:space="preserve"> </v>
      </c>
      <c r="H758" s="13"/>
      <c r="I758" s="24"/>
      <c r="J758" s="13">
        <f>IFERROR(FundManager[[#This Row],[Current Value]]-FundManager[[#This Row],[Amount Invested]]," ")</f>
        <v>0</v>
      </c>
      <c r="K758" s="14" t="str">
        <f t="shared" si="25"/>
        <v xml:space="preserve"> </v>
      </c>
      <c r="L758" s="15" t="str" cm="1">
        <f t="array" ref="L758">IFERROR(ROUND(_FV(B758,"Change (%)",TRUE),3) &amp; "%"," ")</f>
        <v xml:space="preserve"> </v>
      </c>
    </row>
    <row r="759" spans="1:12" x14ac:dyDescent="0.25">
      <c r="A759" s="19"/>
      <c r="C759" s="10" t="str" cm="1">
        <f t="array" ref="C759">IFERROR(_FV(FundManager[[#This Row],[Name]],"Ticker symbol",TRUE)," ")</f>
        <v xml:space="preserve"> </v>
      </c>
      <c r="E759" s="13"/>
      <c r="F759" s="13"/>
      <c r="G759" s="10" t="str">
        <f t="shared" si="24"/>
        <v xml:space="preserve"> </v>
      </c>
      <c r="H759" s="13"/>
      <c r="I759" s="24"/>
      <c r="J759" s="13">
        <f>IFERROR(FundManager[[#This Row],[Current Value]]-FundManager[[#This Row],[Amount Invested]]," ")</f>
        <v>0</v>
      </c>
      <c r="K759" s="14" t="str">
        <f t="shared" si="25"/>
        <v xml:space="preserve"> </v>
      </c>
      <c r="L759" s="15" t="str" cm="1">
        <f t="array" ref="L759">IFERROR(ROUND(_FV(B759,"Change (%)",TRUE),3) &amp; "%"," ")</f>
        <v xml:space="preserve"> </v>
      </c>
    </row>
    <row r="760" spans="1:12" x14ac:dyDescent="0.25">
      <c r="A760" s="19"/>
      <c r="C760" s="10" t="str" cm="1">
        <f t="array" ref="C760">IFERROR(_FV(FundManager[[#This Row],[Name]],"Ticker symbol",TRUE)," ")</f>
        <v xml:space="preserve"> </v>
      </c>
      <c r="E760" s="13"/>
      <c r="F760" s="13"/>
      <c r="G760" s="10" t="str">
        <f t="shared" si="24"/>
        <v xml:space="preserve"> </v>
      </c>
      <c r="H760" s="13"/>
      <c r="I760" s="24"/>
      <c r="J760" s="13">
        <f>IFERROR(FundManager[[#This Row],[Current Value]]-FundManager[[#This Row],[Amount Invested]]," ")</f>
        <v>0</v>
      </c>
      <c r="K760" s="14" t="str">
        <f t="shared" si="25"/>
        <v xml:space="preserve"> </v>
      </c>
      <c r="L760" s="15" t="str" cm="1">
        <f t="array" ref="L760">IFERROR(ROUND(_FV(B760,"Change (%)",TRUE),3) &amp; "%"," ")</f>
        <v xml:space="preserve"> </v>
      </c>
    </row>
    <row r="761" spans="1:12" x14ac:dyDescent="0.25">
      <c r="A761" s="19"/>
      <c r="C761" s="10" t="str" cm="1">
        <f t="array" ref="C761">IFERROR(_FV(FundManager[[#This Row],[Name]],"Ticker symbol",TRUE)," ")</f>
        <v xml:space="preserve"> </v>
      </c>
      <c r="E761" s="13"/>
      <c r="F761" s="13"/>
      <c r="G761" s="10" t="str">
        <f t="shared" si="24"/>
        <v xml:space="preserve"> </v>
      </c>
      <c r="H761" s="13"/>
      <c r="I761" s="24"/>
      <c r="J761" s="13">
        <f>IFERROR(FundManager[[#This Row],[Current Value]]-FundManager[[#This Row],[Amount Invested]]," ")</f>
        <v>0</v>
      </c>
      <c r="K761" s="14" t="str">
        <f t="shared" si="25"/>
        <v xml:space="preserve"> </v>
      </c>
      <c r="L761" s="15" t="str" cm="1">
        <f t="array" ref="L761">IFERROR(ROUND(_FV(B761,"Change (%)",TRUE),3) &amp; "%"," ")</f>
        <v xml:space="preserve"> </v>
      </c>
    </row>
    <row r="762" spans="1:12" x14ac:dyDescent="0.25">
      <c r="A762" s="19"/>
      <c r="C762" s="10" t="str" cm="1">
        <f t="array" ref="C762">IFERROR(_FV(FundManager[[#This Row],[Name]],"Ticker symbol",TRUE)," ")</f>
        <v xml:space="preserve"> </v>
      </c>
      <c r="E762" s="13"/>
      <c r="F762" s="13"/>
      <c r="G762" s="10" t="str">
        <f t="shared" si="24"/>
        <v xml:space="preserve"> </v>
      </c>
      <c r="H762" s="13"/>
      <c r="I762" s="24"/>
      <c r="J762" s="13">
        <f>IFERROR(FundManager[[#This Row],[Current Value]]-FundManager[[#This Row],[Amount Invested]]," ")</f>
        <v>0</v>
      </c>
      <c r="K762" s="14" t="str">
        <f t="shared" si="25"/>
        <v xml:space="preserve"> </v>
      </c>
      <c r="L762" s="15" t="str" cm="1">
        <f t="array" ref="L762">IFERROR(ROUND(_FV(B762,"Change (%)",TRUE),3) &amp; "%"," ")</f>
        <v xml:space="preserve"> </v>
      </c>
    </row>
    <row r="763" spans="1:12" x14ac:dyDescent="0.25">
      <c r="A763" s="19"/>
      <c r="C763" s="10" t="str" cm="1">
        <f t="array" ref="C763">IFERROR(_FV(FundManager[[#This Row],[Name]],"Ticker symbol",TRUE)," ")</f>
        <v xml:space="preserve"> </v>
      </c>
      <c r="E763" s="13"/>
      <c r="F763" s="13"/>
      <c r="G763" s="10" t="str">
        <f t="shared" si="24"/>
        <v xml:space="preserve"> </v>
      </c>
      <c r="H763" s="13"/>
      <c r="I763" s="24"/>
      <c r="J763" s="13">
        <f>IFERROR(FundManager[[#This Row],[Current Value]]-FundManager[[#This Row],[Amount Invested]]," ")</f>
        <v>0</v>
      </c>
      <c r="K763" s="14" t="str">
        <f t="shared" si="25"/>
        <v xml:space="preserve"> </v>
      </c>
      <c r="L763" s="15" t="str" cm="1">
        <f t="array" ref="L763">IFERROR(ROUND(_FV(B763,"Change (%)",TRUE),3) &amp; "%"," ")</f>
        <v xml:space="preserve"> </v>
      </c>
    </row>
    <row r="764" spans="1:12" x14ac:dyDescent="0.25">
      <c r="A764" s="19"/>
      <c r="C764" s="10" t="str" cm="1">
        <f t="array" ref="C764">IFERROR(_FV(FundManager[[#This Row],[Name]],"Ticker symbol",TRUE)," ")</f>
        <v xml:space="preserve"> </v>
      </c>
      <c r="E764" s="13"/>
      <c r="F764" s="13"/>
      <c r="G764" s="10" t="str">
        <f t="shared" si="24"/>
        <v xml:space="preserve"> </v>
      </c>
      <c r="H764" s="13"/>
      <c r="I764" s="24"/>
      <c r="J764" s="13">
        <f>IFERROR(FundManager[[#This Row],[Current Value]]-FundManager[[#This Row],[Amount Invested]]," ")</f>
        <v>0</v>
      </c>
      <c r="K764" s="14" t="str">
        <f t="shared" si="25"/>
        <v xml:space="preserve"> </v>
      </c>
      <c r="L764" s="15" t="str" cm="1">
        <f t="array" ref="L764">IFERROR(ROUND(_FV(B764,"Change (%)",TRUE),3) &amp; "%"," ")</f>
        <v xml:space="preserve"> </v>
      </c>
    </row>
    <row r="765" spans="1:12" x14ac:dyDescent="0.25">
      <c r="A765" s="19"/>
      <c r="C765" s="10" t="str" cm="1">
        <f t="array" ref="C765">IFERROR(_FV(FundManager[[#This Row],[Name]],"Ticker symbol",TRUE)," ")</f>
        <v xml:space="preserve"> </v>
      </c>
      <c r="E765" s="13"/>
      <c r="F765" s="13"/>
      <c r="G765" s="10" t="str">
        <f t="shared" si="24"/>
        <v xml:space="preserve"> </v>
      </c>
      <c r="H765" s="13"/>
      <c r="I765" s="24"/>
      <c r="J765" s="13">
        <f>IFERROR(FundManager[[#This Row],[Current Value]]-FundManager[[#This Row],[Amount Invested]]," ")</f>
        <v>0</v>
      </c>
      <c r="K765" s="14" t="str">
        <f t="shared" si="25"/>
        <v xml:space="preserve"> </v>
      </c>
      <c r="L765" s="15" t="str" cm="1">
        <f t="array" ref="L765">IFERROR(ROUND(_FV(B765,"Change (%)",TRUE),3) &amp; "%"," ")</f>
        <v xml:space="preserve"> </v>
      </c>
    </row>
    <row r="766" spans="1:12" x14ac:dyDescent="0.25">
      <c r="A766" s="19"/>
      <c r="C766" s="10" t="str" cm="1">
        <f t="array" ref="C766">IFERROR(_FV(FundManager[[#This Row],[Name]],"Ticker symbol",TRUE)," ")</f>
        <v xml:space="preserve"> </v>
      </c>
      <c r="E766" s="13"/>
      <c r="F766" s="13"/>
      <c r="G766" s="10" t="str">
        <f t="shared" si="24"/>
        <v xml:space="preserve"> </v>
      </c>
      <c r="H766" s="13"/>
      <c r="I766" s="24"/>
      <c r="J766" s="13">
        <f>IFERROR(FundManager[[#This Row],[Current Value]]-FundManager[[#This Row],[Amount Invested]]," ")</f>
        <v>0</v>
      </c>
      <c r="K766" s="14" t="str">
        <f t="shared" si="25"/>
        <v xml:space="preserve"> </v>
      </c>
      <c r="L766" s="15" t="str" cm="1">
        <f t="array" ref="L766">IFERROR(ROUND(_FV(B766,"Change (%)",TRUE),3) &amp; "%"," ")</f>
        <v xml:space="preserve"> </v>
      </c>
    </row>
    <row r="767" spans="1:12" x14ac:dyDescent="0.25">
      <c r="A767" s="19"/>
      <c r="C767" s="10" t="str" cm="1">
        <f t="array" ref="C767">IFERROR(_FV(FundManager[[#This Row],[Name]],"Ticker symbol",TRUE)," ")</f>
        <v xml:space="preserve"> </v>
      </c>
      <c r="E767" s="13"/>
      <c r="F767" s="13"/>
      <c r="G767" s="10" t="str">
        <f t="shared" si="24"/>
        <v xml:space="preserve"> </v>
      </c>
      <c r="H767" s="13"/>
      <c r="I767" s="24"/>
      <c r="J767" s="13">
        <f>IFERROR(FundManager[[#This Row],[Current Value]]-FundManager[[#This Row],[Amount Invested]]," ")</f>
        <v>0</v>
      </c>
      <c r="K767" s="14" t="str">
        <f t="shared" si="25"/>
        <v xml:space="preserve"> </v>
      </c>
      <c r="L767" s="15" t="str" cm="1">
        <f t="array" ref="L767">IFERROR(ROUND(_FV(B767,"Change (%)",TRUE),3) &amp; "%"," ")</f>
        <v xml:space="preserve"> </v>
      </c>
    </row>
    <row r="768" spans="1:12" x14ac:dyDescent="0.25">
      <c r="A768" s="19"/>
      <c r="C768" s="10" t="str" cm="1">
        <f t="array" ref="C768">IFERROR(_FV(FundManager[[#This Row],[Name]],"Ticker symbol",TRUE)," ")</f>
        <v xml:space="preserve"> </v>
      </c>
      <c r="E768" s="13"/>
      <c r="F768" s="13"/>
      <c r="G768" s="10" t="str">
        <f t="shared" si="24"/>
        <v xml:space="preserve"> </v>
      </c>
      <c r="H768" s="13"/>
      <c r="I768" s="24"/>
      <c r="J768" s="13">
        <f>IFERROR(FundManager[[#This Row],[Current Value]]-FundManager[[#This Row],[Amount Invested]]," ")</f>
        <v>0</v>
      </c>
      <c r="K768" s="14" t="str">
        <f t="shared" si="25"/>
        <v xml:space="preserve"> </v>
      </c>
      <c r="L768" s="15" t="str" cm="1">
        <f t="array" ref="L768">IFERROR(ROUND(_FV(B768,"Change (%)",TRUE),3) &amp; "%"," ")</f>
        <v xml:space="preserve"> </v>
      </c>
    </row>
    <row r="769" spans="1:12" x14ac:dyDescent="0.25">
      <c r="A769" s="19"/>
      <c r="C769" s="10" t="str" cm="1">
        <f t="array" ref="C769">IFERROR(_FV(FundManager[[#This Row],[Name]],"Ticker symbol",TRUE)," ")</f>
        <v xml:space="preserve"> </v>
      </c>
      <c r="E769" s="13"/>
      <c r="F769" s="13"/>
      <c r="G769" s="10" t="str">
        <f t="shared" si="24"/>
        <v xml:space="preserve"> </v>
      </c>
      <c r="H769" s="13"/>
      <c r="I769" s="24"/>
      <c r="J769" s="13">
        <f>IFERROR(FundManager[[#This Row],[Current Value]]-FundManager[[#This Row],[Amount Invested]]," ")</f>
        <v>0</v>
      </c>
      <c r="K769" s="14" t="str">
        <f t="shared" si="25"/>
        <v xml:space="preserve"> </v>
      </c>
      <c r="L769" s="15" t="str" cm="1">
        <f t="array" ref="L769">IFERROR(ROUND(_FV(B769,"Change (%)",TRUE),3) &amp; "%"," ")</f>
        <v xml:space="preserve"> </v>
      </c>
    </row>
    <row r="770" spans="1:12" x14ac:dyDescent="0.25">
      <c r="A770" s="19"/>
      <c r="C770" s="10" t="str" cm="1">
        <f t="array" ref="C770">IFERROR(_FV(FundManager[[#This Row],[Name]],"Ticker symbol",TRUE)," ")</f>
        <v xml:space="preserve"> </v>
      </c>
      <c r="E770" s="13"/>
      <c r="F770" s="13"/>
      <c r="G770" s="10" t="str">
        <f t="shared" si="24"/>
        <v xml:space="preserve"> </v>
      </c>
      <c r="H770" s="13"/>
      <c r="I770" s="24"/>
      <c r="J770" s="13">
        <f>IFERROR(FundManager[[#This Row],[Current Value]]-FundManager[[#This Row],[Amount Invested]]," ")</f>
        <v>0</v>
      </c>
      <c r="K770" s="14" t="str">
        <f t="shared" si="25"/>
        <v xml:space="preserve"> </v>
      </c>
      <c r="L770" s="15" t="str" cm="1">
        <f t="array" ref="L770">IFERROR(ROUND(_FV(B770,"Change (%)",TRUE),3) &amp; "%"," ")</f>
        <v xml:space="preserve"> </v>
      </c>
    </row>
    <row r="771" spans="1:12" x14ac:dyDescent="0.25">
      <c r="A771" s="19"/>
      <c r="C771" s="10" t="str" cm="1">
        <f t="array" ref="C771">IFERROR(_FV(FundManager[[#This Row],[Name]],"Ticker symbol",TRUE)," ")</f>
        <v xml:space="preserve"> </v>
      </c>
      <c r="E771" s="13"/>
      <c r="F771" s="13"/>
      <c r="G771" s="10" t="str">
        <f t="shared" si="24"/>
        <v xml:space="preserve"> </v>
      </c>
      <c r="H771" s="13"/>
      <c r="I771" s="24"/>
      <c r="J771" s="13">
        <f>IFERROR(FundManager[[#This Row],[Current Value]]-FundManager[[#This Row],[Amount Invested]]," ")</f>
        <v>0</v>
      </c>
      <c r="K771" s="14" t="str">
        <f t="shared" si="25"/>
        <v xml:space="preserve"> </v>
      </c>
      <c r="L771" s="15" t="str" cm="1">
        <f t="array" ref="L771">IFERROR(ROUND(_FV(B771,"Change (%)",TRUE),3) &amp; "%"," ")</f>
        <v xml:space="preserve"> </v>
      </c>
    </row>
    <row r="772" spans="1:12" x14ac:dyDescent="0.25">
      <c r="A772" s="19"/>
      <c r="C772" s="10" t="str" cm="1">
        <f t="array" ref="C772">IFERROR(_FV(FundManager[[#This Row],[Name]],"Ticker symbol",TRUE)," ")</f>
        <v xml:space="preserve"> </v>
      </c>
      <c r="E772" s="13"/>
      <c r="F772" s="13"/>
      <c r="G772" s="10" t="str">
        <f t="shared" si="24"/>
        <v xml:space="preserve"> </v>
      </c>
      <c r="H772" s="13"/>
      <c r="I772" s="24"/>
      <c r="J772" s="13">
        <f>IFERROR(FundManager[[#This Row],[Current Value]]-FundManager[[#This Row],[Amount Invested]]," ")</f>
        <v>0</v>
      </c>
      <c r="K772" s="14" t="str">
        <f t="shared" si="25"/>
        <v xml:space="preserve"> </v>
      </c>
      <c r="L772" s="15" t="str" cm="1">
        <f t="array" ref="L772">IFERROR(ROUND(_FV(B772,"Change (%)",TRUE),3) &amp; "%"," ")</f>
        <v xml:space="preserve"> </v>
      </c>
    </row>
    <row r="773" spans="1:12" x14ac:dyDescent="0.25">
      <c r="A773" s="19"/>
      <c r="C773" s="10" t="str" cm="1">
        <f t="array" ref="C773">IFERROR(_FV(FundManager[[#This Row],[Name]],"Ticker symbol",TRUE)," ")</f>
        <v xml:space="preserve"> </v>
      </c>
      <c r="E773" s="13"/>
      <c r="F773" s="13"/>
      <c r="G773" s="10" t="str">
        <f t="shared" si="24"/>
        <v xml:space="preserve"> </v>
      </c>
      <c r="H773" s="13"/>
      <c r="I773" s="24"/>
      <c r="J773" s="13">
        <f>IFERROR(FundManager[[#This Row],[Current Value]]-FundManager[[#This Row],[Amount Invested]]," ")</f>
        <v>0</v>
      </c>
      <c r="K773" s="14" t="str">
        <f t="shared" si="25"/>
        <v xml:space="preserve"> </v>
      </c>
      <c r="L773" s="15" t="str" cm="1">
        <f t="array" ref="L773">IFERROR(ROUND(_FV(B773,"Change (%)",TRUE),3) &amp; "%"," ")</f>
        <v xml:space="preserve"> </v>
      </c>
    </row>
    <row r="774" spans="1:12" x14ac:dyDescent="0.25">
      <c r="A774" s="19"/>
      <c r="C774" s="10" t="str" cm="1">
        <f t="array" ref="C774">IFERROR(_FV(FundManager[[#This Row],[Name]],"Ticker symbol",TRUE)," ")</f>
        <v xml:space="preserve"> </v>
      </c>
      <c r="E774" s="13"/>
      <c r="F774" s="13"/>
      <c r="G774" s="10" t="str">
        <f t="shared" si="24"/>
        <v xml:space="preserve"> </v>
      </c>
      <c r="H774" s="13"/>
      <c r="I774" s="24"/>
      <c r="J774" s="13">
        <f>IFERROR(FundManager[[#This Row],[Current Value]]-FundManager[[#This Row],[Amount Invested]]," ")</f>
        <v>0</v>
      </c>
      <c r="K774" s="14" t="str">
        <f t="shared" si="25"/>
        <v xml:space="preserve"> </v>
      </c>
      <c r="L774" s="15" t="str" cm="1">
        <f t="array" ref="L774">IFERROR(ROUND(_FV(B774,"Change (%)",TRUE),3) &amp; "%"," ")</f>
        <v xml:space="preserve"> </v>
      </c>
    </row>
    <row r="775" spans="1:12" x14ac:dyDescent="0.25">
      <c r="A775" s="19"/>
      <c r="C775" s="10" t="str" cm="1">
        <f t="array" ref="C775">IFERROR(_FV(FundManager[[#This Row],[Name]],"Ticker symbol",TRUE)," ")</f>
        <v xml:space="preserve"> </v>
      </c>
      <c r="E775" s="13"/>
      <c r="F775" s="13"/>
      <c r="G775" s="10" t="str">
        <f t="shared" si="24"/>
        <v xml:space="preserve"> </v>
      </c>
      <c r="H775" s="13"/>
      <c r="I775" s="24"/>
      <c r="J775" s="13">
        <f>IFERROR(FundManager[[#This Row],[Current Value]]-FundManager[[#This Row],[Amount Invested]]," ")</f>
        <v>0</v>
      </c>
      <c r="K775" s="14" t="str">
        <f t="shared" si="25"/>
        <v xml:space="preserve"> </v>
      </c>
      <c r="L775" s="15" t="str" cm="1">
        <f t="array" ref="L775">IFERROR(ROUND(_FV(B775,"Change (%)",TRUE),3) &amp; "%"," ")</f>
        <v xml:space="preserve"> </v>
      </c>
    </row>
    <row r="776" spans="1:12" x14ac:dyDescent="0.25">
      <c r="A776" s="19"/>
      <c r="C776" s="10" t="str" cm="1">
        <f t="array" ref="C776">IFERROR(_FV(FundManager[[#This Row],[Name]],"Ticker symbol",TRUE)," ")</f>
        <v xml:space="preserve"> </v>
      </c>
      <c r="E776" s="13"/>
      <c r="F776" s="13"/>
      <c r="G776" s="10" t="str">
        <f t="shared" si="24"/>
        <v xml:space="preserve"> </v>
      </c>
      <c r="H776" s="13"/>
      <c r="I776" s="24"/>
      <c r="J776" s="13">
        <f>IFERROR(FundManager[[#This Row],[Current Value]]-FundManager[[#This Row],[Amount Invested]]," ")</f>
        <v>0</v>
      </c>
      <c r="K776" s="14" t="str">
        <f t="shared" si="25"/>
        <v xml:space="preserve"> </v>
      </c>
      <c r="L776" s="15" t="str" cm="1">
        <f t="array" ref="L776">IFERROR(ROUND(_FV(B776,"Change (%)",TRUE),3) &amp; "%"," ")</f>
        <v xml:space="preserve"> </v>
      </c>
    </row>
    <row r="777" spans="1:12" x14ac:dyDescent="0.25">
      <c r="A777" s="19"/>
      <c r="C777" s="10" t="str" cm="1">
        <f t="array" ref="C777">IFERROR(_FV(FundManager[[#This Row],[Name]],"Ticker symbol",TRUE)," ")</f>
        <v xml:space="preserve"> </v>
      </c>
      <c r="E777" s="13"/>
      <c r="F777" s="13"/>
      <c r="G777" s="10" t="str">
        <f t="shared" si="24"/>
        <v xml:space="preserve"> </v>
      </c>
      <c r="H777" s="13"/>
      <c r="I777" s="24"/>
      <c r="J777" s="13">
        <f>IFERROR(FundManager[[#This Row],[Current Value]]-FundManager[[#This Row],[Amount Invested]]," ")</f>
        <v>0</v>
      </c>
      <c r="K777" s="14" t="str">
        <f t="shared" si="25"/>
        <v xml:space="preserve"> </v>
      </c>
      <c r="L777" s="15" t="str" cm="1">
        <f t="array" ref="L777">IFERROR(ROUND(_FV(B777,"Change (%)",TRUE),3) &amp; "%"," ")</f>
        <v xml:space="preserve"> </v>
      </c>
    </row>
    <row r="778" spans="1:12" x14ac:dyDescent="0.25">
      <c r="A778" s="19"/>
      <c r="C778" s="10" t="str" cm="1">
        <f t="array" ref="C778">IFERROR(_FV(FundManager[[#This Row],[Name]],"Ticker symbol",TRUE)," ")</f>
        <v xml:space="preserve"> </v>
      </c>
      <c r="E778" s="13"/>
      <c r="F778" s="13"/>
      <c r="G778" s="10" t="str">
        <f t="shared" si="24"/>
        <v xml:space="preserve"> </v>
      </c>
      <c r="H778" s="13"/>
      <c r="I778" s="24"/>
      <c r="J778" s="13">
        <f>IFERROR(FundManager[[#This Row],[Current Value]]-FundManager[[#This Row],[Amount Invested]]," ")</f>
        <v>0</v>
      </c>
      <c r="K778" s="14" t="str">
        <f t="shared" si="25"/>
        <v xml:space="preserve"> </v>
      </c>
      <c r="L778" s="15" t="str" cm="1">
        <f t="array" ref="L778">IFERROR(ROUND(_FV(B778,"Change (%)",TRUE),3) &amp; "%"," ")</f>
        <v xml:space="preserve"> </v>
      </c>
    </row>
    <row r="779" spans="1:12" x14ac:dyDescent="0.25">
      <c r="A779" s="19"/>
      <c r="C779" s="10" t="str" cm="1">
        <f t="array" ref="C779">IFERROR(_FV(FundManager[[#This Row],[Name]],"Ticker symbol",TRUE)," ")</f>
        <v xml:space="preserve"> </v>
      </c>
      <c r="E779" s="13"/>
      <c r="F779" s="13"/>
      <c r="G779" s="10" t="str">
        <f t="shared" si="24"/>
        <v xml:space="preserve"> </v>
      </c>
      <c r="H779" s="13"/>
      <c r="I779" s="24"/>
      <c r="J779" s="13">
        <f>IFERROR(FundManager[[#This Row],[Current Value]]-FundManager[[#This Row],[Amount Invested]]," ")</f>
        <v>0</v>
      </c>
      <c r="K779" s="14" t="str">
        <f t="shared" si="25"/>
        <v xml:space="preserve"> </v>
      </c>
      <c r="L779" s="15" t="str" cm="1">
        <f t="array" ref="L779">IFERROR(ROUND(_FV(B779,"Change (%)",TRUE),3) &amp; "%"," ")</f>
        <v xml:space="preserve"> </v>
      </c>
    </row>
    <row r="780" spans="1:12" x14ac:dyDescent="0.25">
      <c r="A780" s="19"/>
      <c r="C780" s="10" t="str" cm="1">
        <f t="array" ref="C780">IFERROR(_FV(FundManager[[#This Row],[Name]],"Ticker symbol",TRUE)," ")</f>
        <v xml:space="preserve"> </v>
      </c>
      <c r="E780" s="13"/>
      <c r="F780" s="13"/>
      <c r="G780" s="10" t="str">
        <f t="shared" si="24"/>
        <v xml:space="preserve"> </v>
      </c>
      <c r="H780" s="13"/>
      <c r="I780" s="24"/>
      <c r="J780" s="13">
        <f>IFERROR(FundManager[[#This Row],[Current Value]]-FundManager[[#This Row],[Amount Invested]]," ")</f>
        <v>0</v>
      </c>
      <c r="K780" s="14" t="str">
        <f t="shared" si="25"/>
        <v xml:space="preserve"> </v>
      </c>
      <c r="L780" s="15" t="str" cm="1">
        <f t="array" ref="L780">IFERROR(ROUND(_FV(B780,"Change (%)",TRUE),3) &amp; "%"," ")</f>
        <v xml:space="preserve"> </v>
      </c>
    </row>
    <row r="781" spans="1:12" x14ac:dyDescent="0.25">
      <c r="A781" s="19"/>
      <c r="C781" s="10" t="str" cm="1">
        <f t="array" ref="C781">IFERROR(_FV(FundManager[[#This Row],[Name]],"Ticker symbol",TRUE)," ")</f>
        <v xml:space="preserve"> </v>
      </c>
      <c r="E781" s="13"/>
      <c r="F781" s="13"/>
      <c r="G781" s="10" t="str">
        <f t="shared" si="24"/>
        <v xml:space="preserve"> </v>
      </c>
      <c r="H781" s="13"/>
      <c r="I781" s="24"/>
      <c r="J781" s="13">
        <f>IFERROR(FundManager[[#This Row],[Current Value]]-FundManager[[#This Row],[Amount Invested]]," ")</f>
        <v>0</v>
      </c>
      <c r="K781" s="14" t="str">
        <f t="shared" si="25"/>
        <v xml:space="preserve"> </v>
      </c>
      <c r="L781" s="15" t="str" cm="1">
        <f t="array" ref="L781">IFERROR(ROUND(_FV(B781,"Change (%)",TRUE),3) &amp; "%"," ")</f>
        <v xml:space="preserve"> </v>
      </c>
    </row>
    <row r="782" spans="1:12" x14ac:dyDescent="0.25">
      <c r="A782" s="19"/>
      <c r="C782" s="10" t="str" cm="1">
        <f t="array" ref="C782">IFERROR(_FV(FundManager[[#This Row],[Name]],"Ticker symbol",TRUE)," ")</f>
        <v xml:space="preserve"> </v>
      </c>
      <c r="E782" s="13"/>
      <c r="F782" s="13"/>
      <c r="G782" s="10" t="str">
        <f t="shared" si="24"/>
        <v xml:space="preserve"> </v>
      </c>
      <c r="H782" s="13"/>
      <c r="I782" s="24"/>
      <c r="J782" s="13">
        <f>IFERROR(FundManager[[#This Row],[Current Value]]-FundManager[[#This Row],[Amount Invested]]," ")</f>
        <v>0</v>
      </c>
      <c r="K782" s="14" t="str">
        <f t="shared" si="25"/>
        <v xml:space="preserve"> </v>
      </c>
      <c r="L782" s="15" t="str" cm="1">
        <f t="array" ref="L782">IFERROR(ROUND(_FV(B782,"Change (%)",TRUE),3) &amp; "%"," ")</f>
        <v xml:space="preserve"> </v>
      </c>
    </row>
    <row r="783" spans="1:12" x14ac:dyDescent="0.25">
      <c r="A783" s="19"/>
      <c r="C783" s="10" t="str" cm="1">
        <f t="array" ref="C783">IFERROR(_FV(FundManager[[#This Row],[Name]],"Ticker symbol",TRUE)," ")</f>
        <v xml:space="preserve"> </v>
      </c>
      <c r="E783" s="13"/>
      <c r="F783" s="13"/>
      <c r="G783" s="10" t="str">
        <f t="shared" si="24"/>
        <v xml:space="preserve"> </v>
      </c>
      <c r="H783" s="13"/>
      <c r="I783" s="24"/>
      <c r="J783" s="13">
        <f>IFERROR(FundManager[[#This Row],[Current Value]]-FundManager[[#This Row],[Amount Invested]]," ")</f>
        <v>0</v>
      </c>
      <c r="K783" s="14" t="str">
        <f t="shared" si="25"/>
        <v xml:space="preserve"> </v>
      </c>
      <c r="L783" s="15" t="str" cm="1">
        <f t="array" ref="L783">IFERROR(ROUND(_FV(B783,"Change (%)",TRUE),3) &amp; "%"," ")</f>
        <v xml:space="preserve"> </v>
      </c>
    </row>
    <row r="784" spans="1:12" x14ac:dyDescent="0.25">
      <c r="A784" s="19"/>
      <c r="C784" s="10" t="str" cm="1">
        <f t="array" ref="C784">IFERROR(_FV(FundManager[[#This Row],[Name]],"Ticker symbol",TRUE)," ")</f>
        <v xml:space="preserve"> </v>
      </c>
      <c r="E784" s="13"/>
      <c r="F784" s="13"/>
      <c r="G784" s="10" t="str">
        <f t="shared" si="24"/>
        <v xml:space="preserve"> </v>
      </c>
      <c r="H784" s="13"/>
      <c r="I784" s="24"/>
      <c r="J784" s="13">
        <f>IFERROR(FundManager[[#This Row],[Current Value]]-FundManager[[#This Row],[Amount Invested]]," ")</f>
        <v>0</v>
      </c>
      <c r="K784" s="14" t="str">
        <f t="shared" si="25"/>
        <v xml:space="preserve"> </v>
      </c>
      <c r="L784" s="15" t="str" cm="1">
        <f t="array" ref="L784">IFERROR(ROUND(_FV(B784,"Change (%)",TRUE),3) &amp; "%"," ")</f>
        <v xml:space="preserve"> </v>
      </c>
    </row>
    <row r="785" spans="1:12" x14ac:dyDescent="0.25">
      <c r="A785" s="19"/>
      <c r="C785" s="10" t="str" cm="1">
        <f t="array" ref="C785">IFERROR(_FV(FundManager[[#This Row],[Name]],"Ticker symbol",TRUE)," ")</f>
        <v xml:space="preserve"> </v>
      </c>
      <c r="E785" s="13"/>
      <c r="F785" s="13"/>
      <c r="G785" s="10" t="str">
        <f t="shared" si="24"/>
        <v xml:space="preserve"> </v>
      </c>
      <c r="H785" s="13"/>
      <c r="I785" s="24"/>
      <c r="J785" s="13">
        <f>IFERROR(FundManager[[#This Row],[Current Value]]-FundManager[[#This Row],[Amount Invested]]," ")</f>
        <v>0</v>
      </c>
      <c r="K785" s="14" t="str">
        <f t="shared" si="25"/>
        <v xml:space="preserve"> </v>
      </c>
      <c r="L785" s="15" t="str" cm="1">
        <f t="array" ref="L785">IFERROR(ROUND(_FV(B785,"Change (%)",TRUE),3) &amp; "%"," ")</f>
        <v xml:space="preserve"> </v>
      </c>
    </row>
    <row r="786" spans="1:12" x14ac:dyDescent="0.25">
      <c r="A786" s="19"/>
      <c r="C786" s="10" t="str" cm="1">
        <f t="array" ref="C786">IFERROR(_FV(FundManager[[#This Row],[Name]],"Ticker symbol",TRUE)," ")</f>
        <v xml:space="preserve"> </v>
      </c>
      <c r="E786" s="13"/>
      <c r="F786" s="13"/>
      <c r="G786" s="10" t="str">
        <f t="shared" si="24"/>
        <v xml:space="preserve"> </v>
      </c>
      <c r="H786" s="13"/>
      <c r="I786" s="24"/>
      <c r="J786" s="13">
        <f>IFERROR(FundManager[[#This Row],[Current Value]]-FundManager[[#This Row],[Amount Invested]]," ")</f>
        <v>0</v>
      </c>
      <c r="K786" s="14" t="str">
        <f t="shared" si="25"/>
        <v xml:space="preserve"> </v>
      </c>
      <c r="L786" s="15" t="str" cm="1">
        <f t="array" ref="L786">IFERROR(ROUND(_FV(B786,"Change (%)",TRUE),3) &amp; "%"," ")</f>
        <v xml:space="preserve"> </v>
      </c>
    </row>
    <row r="787" spans="1:12" x14ac:dyDescent="0.25">
      <c r="A787" s="19"/>
      <c r="C787" s="10" t="str" cm="1">
        <f t="array" ref="C787">IFERROR(_FV(FundManager[[#This Row],[Name]],"Ticker symbol",TRUE)," ")</f>
        <v xml:space="preserve"> </v>
      </c>
      <c r="E787" s="13"/>
      <c r="F787" s="13"/>
      <c r="G787" s="10" t="str">
        <f t="shared" si="24"/>
        <v xml:space="preserve"> </v>
      </c>
      <c r="H787" s="13"/>
      <c r="I787" s="24"/>
      <c r="J787" s="13">
        <f>IFERROR(FundManager[[#This Row],[Current Value]]-FundManager[[#This Row],[Amount Invested]]," ")</f>
        <v>0</v>
      </c>
      <c r="K787" s="14" t="str">
        <f t="shared" si="25"/>
        <v xml:space="preserve"> </v>
      </c>
      <c r="L787" s="15" t="str" cm="1">
        <f t="array" ref="L787">IFERROR(ROUND(_FV(B787,"Change (%)",TRUE),3) &amp; "%"," ")</f>
        <v xml:space="preserve"> </v>
      </c>
    </row>
    <row r="788" spans="1:12" x14ac:dyDescent="0.25">
      <c r="A788" s="19"/>
      <c r="C788" s="10" t="str" cm="1">
        <f t="array" ref="C788">IFERROR(_FV(FundManager[[#This Row],[Name]],"Ticker symbol",TRUE)," ")</f>
        <v xml:space="preserve"> </v>
      </c>
      <c r="E788" s="13"/>
      <c r="F788" s="13"/>
      <c r="G788" s="10" t="str">
        <f t="shared" si="24"/>
        <v xml:space="preserve"> </v>
      </c>
      <c r="H788" s="13"/>
      <c r="I788" s="24"/>
      <c r="J788" s="13">
        <f>IFERROR(FundManager[[#This Row],[Current Value]]-FundManager[[#This Row],[Amount Invested]]," ")</f>
        <v>0</v>
      </c>
      <c r="K788" s="14" t="str">
        <f t="shared" si="25"/>
        <v xml:space="preserve"> </v>
      </c>
      <c r="L788" s="15" t="str" cm="1">
        <f t="array" ref="L788">IFERROR(ROUND(_FV(B788,"Change (%)",TRUE),3) &amp; "%"," ")</f>
        <v xml:space="preserve"> </v>
      </c>
    </row>
    <row r="789" spans="1:12" x14ac:dyDescent="0.25">
      <c r="A789" s="19"/>
      <c r="C789" s="10" t="str" cm="1">
        <f t="array" ref="C789">IFERROR(_FV(FundManager[[#This Row],[Name]],"Ticker symbol",TRUE)," ")</f>
        <v xml:space="preserve"> </v>
      </c>
      <c r="E789" s="13"/>
      <c r="F789" s="13"/>
      <c r="G789" s="10" t="str">
        <f t="shared" si="24"/>
        <v xml:space="preserve"> </v>
      </c>
      <c r="H789" s="13"/>
      <c r="I789" s="24"/>
      <c r="J789" s="13">
        <f>IFERROR(FundManager[[#This Row],[Current Value]]-FundManager[[#This Row],[Amount Invested]]," ")</f>
        <v>0</v>
      </c>
      <c r="K789" s="14" t="str">
        <f t="shared" si="25"/>
        <v xml:space="preserve"> </v>
      </c>
      <c r="L789" s="15" t="str" cm="1">
        <f t="array" ref="L789">IFERROR(ROUND(_FV(B789,"Change (%)",TRUE),3) &amp; "%"," ")</f>
        <v xml:space="preserve"> </v>
      </c>
    </row>
    <row r="790" spans="1:12" x14ac:dyDescent="0.25">
      <c r="A790" s="19"/>
      <c r="C790" s="10" t="str" cm="1">
        <f t="array" ref="C790">IFERROR(_FV(FundManager[[#This Row],[Name]],"Ticker symbol",TRUE)," ")</f>
        <v xml:space="preserve"> </v>
      </c>
      <c r="E790" s="13"/>
      <c r="F790" s="13"/>
      <c r="G790" s="10" t="str">
        <f t="shared" si="24"/>
        <v xml:space="preserve"> </v>
      </c>
      <c r="H790" s="13"/>
      <c r="I790" s="24"/>
      <c r="J790" s="13">
        <f>IFERROR(FundManager[[#This Row],[Current Value]]-FundManager[[#This Row],[Amount Invested]]," ")</f>
        <v>0</v>
      </c>
      <c r="K790" s="14" t="str">
        <f t="shared" si="25"/>
        <v xml:space="preserve"> </v>
      </c>
      <c r="L790" s="15" t="str" cm="1">
        <f t="array" ref="L790">IFERROR(ROUND(_FV(B790,"Change (%)",TRUE),3) &amp; "%"," ")</f>
        <v xml:space="preserve"> </v>
      </c>
    </row>
    <row r="791" spans="1:12" x14ac:dyDescent="0.25">
      <c r="A791" s="19"/>
      <c r="C791" s="10" t="str" cm="1">
        <f t="array" ref="C791">IFERROR(_FV(FundManager[[#This Row],[Name]],"Ticker symbol",TRUE)," ")</f>
        <v xml:space="preserve"> </v>
      </c>
      <c r="E791" s="13"/>
      <c r="F791" s="13"/>
      <c r="G791" s="10" t="str">
        <f t="shared" ref="G791:G854" si="26">IFERROR(H791/E791," ")</f>
        <v xml:space="preserve"> </v>
      </c>
      <c r="H791" s="13"/>
      <c r="I791" s="24"/>
      <c r="J791" s="13">
        <f>IFERROR(FundManager[[#This Row],[Current Value]]-FundManager[[#This Row],[Amount Invested]]," ")</f>
        <v>0</v>
      </c>
      <c r="K791" s="14" t="str">
        <f t="shared" ref="K791:K854" si="27">IFERROR((I791-H791)/H791," ")</f>
        <v xml:space="preserve"> </v>
      </c>
      <c r="L791" s="15" t="str" cm="1">
        <f t="array" ref="L791">IFERROR(ROUND(_FV(B791,"Change (%)",TRUE),3) &amp; "%"," ")</f>
        <v xml:space="preserve"> </v>
      </c>
    </row>
    <row r="792" spans="1:12" x14ac:dyDescent="0.25">
      <c r="A792" s="19"/>
      <c r="C792" s="10" t="str" cm="1">
        <f t="array" ref="C792">IFERROR(_FV(FundManager[[#This Row],[Name]],"Ticker symbol",TRUE)," ")</f>
        <v xml:space="preserve"> </v>
      </c>
      <c r="E792" s="13"/>
      <c r="F792" s="13"/>
      <c r="G792" s="10" t="str">
        <f t="shared" si="26"/>
        <v xml:space="preserve"> </v>
      </c>
      <c r="H792" s="13"/>
      <c r="I792" s="24"/>
      <c r="J792" s="13">
        <f>IFERROR(FundManager[[#This Row],[Current Value]]-FundManager[[#This Row],[Amount Invested]]," ")</f>
        <v>0</v>
      </c>
      <c r="K792" s="14" t="str">
        <f t="shared" si="27"/>
        <v xml:space="preserve"> </v>
      </c>
      <c r="L792" s="15" t="str" cm="1">
        <f t="array" ref="L792">IFERROR(ROUND(_FV(B792,"Change (%)",TRUE),3) &amp; "%"," ")</f>
        <v xml:space="preserve"> </v>
      </c>
    </row>
    <row r="793" spans="1:12" x14ac:dyDescent="0.25">
      <c r="A793" s="19"/>
      <c r="C793" s="10" t="str" cm="1">
        <f t="array" ref="C793">IFERROR(_FV(FundManager[[#This Row],[Name]],"Ticker symbol",TRUE)," ")</f>
        <v xml:space="preserve"> </v>
      </c>
      <c r="E793" s="13"/>
      <c r="F793" s="13"/>
      <c r="G793" s="10" t="str">
        <f t="shared" si="26"/>
        <v xml:space="preserve"> </v>
      </c>
      <c r="H793" s="13"/>
      <c r="I793" s="24"/>
      <c r="J793" s="13">
        <f>IFERROR(FundManager[[#This Row],[Current Value]]-FundManager[[#This Row],[Amount Invested]]," ")</f>
        <v>0</v>
      </c>
      <c r="K793" s="14" t="str">
        <f t="shared" si="27"/>
        <v xml:space="preserve"> </v>
      </c>
      <c r="L793" s="15" t="str" cm="1">
        <f t="array" ref="L793">IFERROR(ROUND(_FV(B793,"Change (%)",TRUE),3) &amp; "%"," ")</f>
        <v xml:space="preserve"> </v>
      </c>
    </row>
    <row r="794" spans="1:12" x14ac:dyDescent="0.25">
      <c r="A794" s="19"/>
      <c r="C794" s="10" t="str" cm="1">
        <f t="array" ref="C794">IFERROR(_FV(FundManager[[#This Row],[Name]],"Ticker symbol",TRUE)," ")</f>
        <v xml:space="preserve"> </v>
      </c>
      <c r="E794" s="13"/>
      <c r="F794" s="13"/>
      <c r="G794" s="10" t="str">
        <f t="shared" si="26"/>
        <v xml:space="preserve"> </v>
      </c>
      <c r="H794" s="13"/>
      <c r="I794" s="24"/>
      <c r="J794" s="13">
        <f>IFERROR(FundManager[[#This Row],[Current Value]]-FundManager[[#This Row],[Amount Invested]]," ")</f>
        <v>0</v>
      </c>
      <c r="K794" s="14" t="str">
        <f t="shared" si="27"/>
        <v xml:space="preserve"> </v>
      </c>
      <c r="L794" s="15" t="str" cm="1">
        <f t="array" ref="L794">IFERROR(ROUND(_FV(B794,"Change (%)",TRUE),3) &amp; "%"," ")</f>
        <v xml:space="preserve"> </v>
      </c>
    </row>
    <row r="795" spans="1:12" x14ac:dyDescent="0.25">
      <c r="A795" s="19"/>
      <c r="C795" s="10" t="str" cm="1">
        <f t="array" ref="C795">IFERROR(_FV(FundManager[[#This Row],[Name]],"Ticker symbol",TRUE)," ")</f>
        <v xml:space="preserve"> </v>
      </c>
      <c r="E795" s="13"/>
      <c r="F795" s="13"/>
      <c r="G795" s="10" t="str">
        <f t="shared" si="26"/>
        <v xml:space="preserve"> </v>
      </c>
      <c r="H795" s="13"/>
      <c r="I795" s="24"/>
      <c r="J795" s="13">
        <f>IFERROR(FundManager[[#This Row],[Current Value]]-FundManager[[#This Row],[Amount Invested]]," ")</f>
        <v>0</v>
      </c>
      <c r="K795" s="14" t="str">
        <f t="shared" si="27"/>
        <v xml:space="preserve"> </v>
      </c>
      <c r="L795" s="15" t="str" cm="1">
        <f t="array" ref="L795">IFERROR(ROUND(_FV(B795,"Change (%)",TRUE),3) &amp; "%"," ")</f>
        <v xml:space="preserve"> </v>
      </c>
    </row>
    <row r="796" spans="1:12" x14ac:dyDescent="0.25">
      <c r="A796" s="19"/>
      <c r="C796" s="10" t="str" cm="1">
        <f t="array" ref="C796">IFERROR(_FV(FundManager[[#This Row],[Name]],"Ticker symbol",TRUE)," ")</f>
        <v xml:space="preserve"> </v>
      </c>
      <c r="E796" s="13"/>
      <c r="F796" s="13"/>
      <c r="G796" s="10" t="str">
        <f t="shared" si="26"/>
        <v xml:space="preserve"> </v>
      </c>
      <c r="H796" s="13"/>
      <c r="I796" s="24"/>
      <c r="J796" s="13">
        <f>IFERROR(FundManager[[#This Row],[Current Value]]-FundManager[[#This Row],[Amount Invested]]," ")</f>
        <v>0</v>
      </c>
      <c r="K796" s="14" t="str">
        <f t="shared" si="27"/>
        <v xml:space="preserve"> </v>
      </c>
      <c r="L796" s="15" t="str" cm="1">
        <f t="array" ref="L796">IFERROR(ROUND(_FV(B796,"Change (%)",TRUE),3) &amp; "%"," ")</f>
        <v xml:space="preserve"> </v>
      </c>
    </row>
    <row r="797" spans="1:12" x14ac:dyDescent="0.25">
      <c r="A797" s="19"/>
      <c r="C797" s="10" t="str" cm="1">
        <f t="array" ref="C797">IFERROR(_FV(FundManager[[#This Row],[Name]],"Ticker symbol",TRUE)," ")</f>
        <v xml:space="preserve"> </v>
      </c>
      <c r="E797" s="13"/>
      <c r="F797" s="13"/>
      <c r="G797" s="10" t="str">
        <f t="shared" si="26"/>
        <v xml:space="preserve"> </v>
      </c>
      <c r="H797" s="13"/>
      <c r="I797" s="24"/>
      <c r="J797" s="13">
        <f>IFERROR(FundManager[[#This Row],[Current Value]]-FundManager[[#This Row],[Amount Invested]]," ")</f>
        <v>0</v>
      </c>
      <c r="K797" s="14" t="str">
        <f t="shared" si="27"/>
        <v xml:space="preserve"> </v>
      </c>
      <c r="L797" s="15" t="str" cm="1">
        <f t="array" ref="L797">IFERROR(ROUND(_FV(B797,"Change (%)",TRUE),3) &amp; "%"," ")</f>
        <v xml:space="preserve"> </v>
      </c>
    </row>
    <row r="798" spans="1:12" x14ac:dyDescent="0.25">
      <c r="A798" s="19"/>
      <c r="C798" s="10" t="str" cm="1">
        <f t="array" ref="C798">IFERROR(_FV(FundManager[[#This Row],[Name]],"Ticker symbol",TRUE)," ")</f>
        <v xml:space="preserve"> </v>
      </c>
      <c r="E798" s="13"/>
      <c r="F798" s="13"/>
      <c r="G798" s="10" t="str">
        <f t="shared" si="26"/>
        <v xml:space="preserve"> </v>
      </c>
      <c r="H798" s="13"/>
      <c r="I798" s="24"/>
      <c r="J798" s="13">
        <f>IFERROR(FundManager[[#This Row],[Current Value]]-FundManager[[#This Row],[Amount Invested]]," ")</f>
        <v>0</v>
      </c>
      <c r="K798" s="14" t="str">
        <f t="shared" si="27"/>
        <v xml:space="preserve"> </v>
      </c>
      <c r="L798" s="15" t="str" cm="1">
        <f t="array" ref="L798">IFERROR(ROUND(_FV(B798,"Change (%)",TRUE),3) &amp; "%"," ")</f>
        <v xml:space="preserve"> </v>
      </c>
    </row>
    <row r="799" spans="1:12" x14ac:dyDescent="0.25">
      <c r="A799" s="19"/>
      <c r="C799" s="10" t="str" cm="1">
        <f t="array" ref="C799">IFERROR(_FV(FundManager[[#This Row],[Name]],"Ticker symbol",TRUE)," ")</f>
        <v xml:space="preserve"> </v>
      </c>
      <c r="E799" s="13"/>
      <c r="F799" s="13"/>
      <c r="G799" s="10" t="str">
        <f t="shared" si="26"/>
        <v xml:space="preserve"> </v>
      </c>
      <c r="H799" s="13"/>
      <c r="I799" s="24"/>
      <c r="J799" s="13">
        <f>IFERROR(FundManager[[#This Row],[Current Value]]-FundManager[[#This Row],[Amount Invested]]," ")</f>
        <v>0</v>
      </c>
      <c r="K799" s="14" t="str">
        <f t="shared" si="27"/>
        <v xml:space="preserve"> </v>
      </c>
      <c r="L799" s="15" t="str" cm="1">
        <f t="array" ref="L799">IFERROR(ROUND(_FV(B799,"Change (%)",TRUE),3) &amp; "%"," ")</f>
        <v xml:space="preserve"> </v>
      </c>
    </row>
    <row r="800" spans="1:12" x14ac:dyDescent="0.25">
      <c r="A800" s="19"/>
      <c r="C800" s="10" t="str" cm="1">
        <f t="array" ref="C800">IFERROR(_FV(FundManager[[#This Row],[Name]],"Ticker symbol",TRUE)," ")</f>
        <v xml:space="preserve"> </v>
      </c>
      <c r="E800" s="13"/>
      <c r="F800" s="13"/>
      <c r="G800" s="10" t="str">
        <f t="shared" si="26"/>
        <v xml:space="preserve"> </v>
      </c>
      <c r="H800" s="13"/>
      <c r="I800" s="24"/>
      <c r="J800" s="13">
        <f>IFERROR(FundManager[[#This Row],[Current Value]]-FundManager[[#This Row],[Amount Invested]]," ")</f>
        <v>0</v>
      </c>
      <c r="K800" s="14" t="str">
        <f t="shared" si="27"/>
        <v xml:space="preserve"> </v>
      </c>
      <c r="L800" s="15" t="str" cm="1">
        <f t="array" ref="L800">IFERROR(ROUND(_FV(B800,"Change (%)",TRUE),3) &amp; "%"," ")</f>
        <v xml:space="preserve"> </v>
      </c>
    </row>
    <row r="801" spans="1:12" x14ac:dyDescent="0.25">
      <c r="A801" s="19"/>
      <c r="C801" s="10" t="str" cm="1">
        <f t="array" ref="C801">IFERROR(_FV(FundManager[[#This Row],[Name]],"Ticker symbol",TRUE)," ")</f>
        <v xml:space="preserve"> </v>
      </c>
      <c r="E801" s="13"/>
      <c r="F801" s="13"/>
      <c r="G801" s="10" t="str">
        <f t="shared" si="26"/>
        <v xml:space="preserve"> </v>
      </c>
      <c r="H801" s="13"/>
      <c r="I801" s="24"/>
      <c r="J801" s="13">
        <f>IFERROR(FundManager[[#This Row],[Current Value]]-FundManager[[#This Row],[Amount Invested]]," ")</f>
        <v>0</v>
      </c>
      <c r="K801" s="14" t="str">
        <f t="shared" si="27"/>
        <v xml:space="preserve"> </v>
      </c>
      <c r="L801" s="15" t="str" cm="1">
        <f t="array" ref="L801">IFERROR(ROUND(_FV(B801,"Change (%)",TRUE),3) &amp; "%"," ")</f>
        <v xml:space="preserve"> </v>
      </c>
    </row>
    <row r="802" spans="1:12" x14ac:dyDescent="0.25">
      <c r="A802" s="19"/>
      <c r="C802" s="10" t="str" cm="1">
        <f t="array" ref="C802">IFERROR(_FV(FundManager[[#This Row],[Name]],"Ticker symbol",TRUE)," ")</f>
        <v xml:space="preserve"> </v>
      </c>
      <c r="E802" s="13"/>
      <c r="F802" s="13"/>
      <c r="G802" s="10" t="str">
        <f t="shared" si="26"/>
        <v xml:space="preserve"> </v>
      </c>
      <c r="H802" s="13"/>
      <c r="I802" s="24"/>
      <c r="J802" s="13">
        <f>IFERROR(FundManager[[#This Row],[Current Value]]-FundManager[[#This Row],[Amount Invested]]," ")</f>
        <v>0</v>
      </c>
      <c r="K802" s="14" t="str">
        <f t="shared" si="27"/>
        <v xml:space="preserve"> </v>
      </c>
      <c r="L802" s="15" t="str" cm="1">
        <f t="array" ref="L802">IFERROR(ROUND(_FV(B802,"Change (%)",TRUE),3) &amp; "%"," ")</f>
        <v xml:space="preserve"> </v>
      </c>
    </row>
    <row r="803" spans="1:12" x14ac:dyDescent="0.25">
      <c r="A803" s="19"/>
      <c r="C803" s="10" t="str" cm="1">
        <f t="array" ref="C803">IFERROR(_FV(FundManager[[#This Row],[Name]],"Ticker symbol",TRUE)," ")</f>
        <v xml:space="preserve"> </v>
      </c>
      <c r="E803" s="13"/>
      <c r="F803" s="13"/>
      <c r="G803" s="10" t="str">
        <f t="shared" si="26"/>
        <v xml:space="preserve"> </v>
      </c>
      <c r="H803" s="13"/>
      <c r="I803" s="24"/>
      <c r="J803" s="13">
        <f>IFERROR(FundManager[[#This Row],[Current Value]]-FundManager[[#This Row],[Amount Invested]]," ")</f>
        <v>0</v>
      </c>
      <c r="K803" s="14" t="str">
        <f t="shared" si="27"/>
        <v xml:space="preserve"> </v>
      </c>
      <c r="L803" s="15" t="str" cm="1">
        <f t="array" ref="L803">IFERROR(ROUND(_FV(B803,"Change (%)",TRUE),3) &amp; "%"," ")</f>
        <v xml:space="preserve"> </v>
      </c>
    </row>
    <row r="804" spans="1:12" x14ac:dyDescent="0.25">
      <c r="A804" s="19"/>
      <c r="C804" s="10" t="str" cm="1">
        <f t="array" ref="C804">IFERROR(_FV(FundManager[[#This Row],[Name]],"Ticker symbol",TRUE)," ")</f>
        <v xml:space="preserve"> </v>
      </c>
      <c r="E804" s="13"/>
      <c r="F804" s="13"/>
      <c r="G804" s="10" t="str">
        <f t="shared" si="26"/>
        <v xml:space="preserve"> </v>
      </c>
      <c r="H804" s="13"/>
      <c r="I804" s="24"/>
      <c r="J804" s="13">
        <f>IFERROR(FundManager[[#This Row],[Current Value]]-FundManager[[#This Row],[Amount Invested]]," ")</f>
        <v>0</v>
      </c>
      <c r="K804" s="14" t="str">
        <f t="shared" si="27"/>
        <v xml:space="preserve"> </v>
      </c>
      <c r="L804" s="15" t="str" cm="1">
        <f t="array" ref="L804">IFERROR(ROUND(_FV(B804,"Change (%)",TRUE),3) &amp; "%"," ")</f>
        <v xml:space="preserve"> </v>
      </c>
    </row>
    <row r="805" spans="1:12" x14ac:dyDescent="0.25">
      <c r="A805" s="19"/>
      <c r="C805" s="10" t="str" cm="1">
        <f t="array" ref="C805">IFERROR(_FV(FundManager[[#This Row],[Name]],"Ticker symbol",TRUE)," ")</f>
        <v xml:space="preserve"> </v>
      </c>
      <c r="E805" s="13"/>
      <c r="F805" s="13"/>
      <c r="G805" s="10" t="str">
        <f t="shared" si="26"/>
        <v xml:space="preserve"> </v>
      </c>
      <c r="H805" s="13"/>
      <c r="I805" s="24"/>
      <c r="J805" s="13">
        <f>IFERROR(FundManager[[#This Row],[Current Value]]-FundManager[[#This Row],[Amount Invested]]," ")</f>
        <v>0</v>
      </c>
      <c r="K805" s="14" t="str">
        <f t="shared" si="27"/>
        <v xml:space="preserve"> </v>
      </c>
      <c r="L805" s="15" t="str" cm="1">
        <f t="array" ref="L805">IFERROR(ROUND(_FV(B805,"Change (%)",TRUE),3) &amp; "%"," ")</f>
        <v xml:space="preserve"> </v>
      </c>
    </row>
    <row r="806" spans="1:12" x14ac:dyDescent="0.25">
      <c r="A806" s="19"/>
      <c r="C806" s="10" t="str" cm="1">
        <f t="array" ref="C806">IFERROR(_FV(FundManager[[#This Row],[Name]],"Ticker symbol",TRUE)," ")</f>
        <v xml:space="preserve"> </v>
      </c>
      <c r="E806" s="13"/>
      <c r="F806" s="13"/>
      <c r="G806" s="10" t="str">
        <f t="shared" si="26"/>
        <v xml:space="preserve"> </v>
      </c>
      <c r="H806" s="13"/>
      <c r="I806" s="24"/>
      <c r="J806" s="13">
        <f>IFERROR(FundManager[[#This Row],[Current Value]]-FundManager[[#This Row],[Amount Invested]]," ")</f>
        <v>0</v>
      </c>
      <c r="K806" s="14" t="str">
        <f t="shared" si="27"/>
        <v xml:space="preserve"> </v>
      </c>
      <c r="L806" s="15" t="str" cm="1">
        <f t="array" ref="L806">IFERROR(ROUND(_FV(B806,"Change (%)",TRUE),3) &amp; "%"," ")</f>
        <v xml:space="preserve"> </v>
      </c>
    </row>
    <row r="807" spans="1:12" x14ac:dyDescent="0.25">
      <c r="A807" s="19"/>
      <c r="C807" s="10" t="str" cm="1">
        <f t="array" ref="C807">IFERROR(_FV(FundManager[[#This Row],[Name]],"Ticker symbol",TRUE)," ")</f>
        <v xml:space="preserve"> </v>
      </c>
      <c r="E807" s="13"/>
      <c r="F807" s="13"/>
      <c r="G807" s="10" t="str">
        <f t="shared" si="26"/>
        <v xml:space="preserve"> </v>
      </c>
      <c r="H807" s="13"/>
      <c r="I807" s="24"/>
      <c r="J807" s="13">
        <f>IFERROR(FundManager[[#This Row],[Current Value]]-FundManager[[#This Row],[Amount Invested]]," ")</f>
        <v>0</v>
      </c>
      <c r="K807" s="14" t="str">
        <f t="shared" si="27"/>
        <v xml:space="preserve"> </v>
      </c>
      <c r="L807" s="15" t="str" cm="1">
        <f t="array" ref="L807">IFERROR(ROUND(_FV(B807,"Change (%)",TRUE),3) &amp; "%"," ")</f>
        <v xml:space="preserve"> </v>
      </c>
    </row>
    <row r="808" spans="1:12" x14ac:dyDescent="0.25">
      <c r="A808" s="19"/>
      <c r="C808" s="10" t="str" cm="1">
        <f t="array" ref="C808">IFERROR(_FV(FundManager[[#This Row],[Name]],"Ticker symbol",TRUE)," ")</f>
        <v xml:space="preserve"> </v>
      </c>
      <c r="E808" s="13"/>
      <c r="F808" s="13"/>
      <c r="G808" s="10" t="str">
        <f t="shared" si="26"/>
        <v xml:space="preserve"> </v>
      </c>
      <c r="H808" s="13"/>
      <c r="I808" s="24"/>
      <c r="J808" s="13">
        <f>IFERROR(FundManager[[#This Row],[Current Value]]-FundManager[[#This Row],[Amount Invested]]," ")</f>
        <v>0</v>
      </c>
      <c r="K808" s="14" t="str">
        <f t="shared" si="27"/>
        <v xml:space="preserve"> </v>
      </c>
      <c r="L808" s="15" t="str" cm="1">
        <f t="array" ref="L808">IFERROR(ROUND(_FV(B808,"Change (%)",TRUE),3) &amp; "%"," ")</f>
        <v xml:space="preserve"> </v>
      </c>
    </row>
    <row r="809" spans="1:12" x14ac:dyDescent="0.25">
      <c r="A809" s="19"/>
      <c r="C809" s="10" t="str" cm="1">
        <f t="array" ref="C809">IFERROR(_FV(FundManager[[#This Row],[Name]],"Ticker symbol",TRUE)," ")</f>
        <v xml:space="preserve"> </v>
      </c>
      <c r="E809" s="13"/>
      <c r="F809" s="13"/>
      <c r="G809" s="10" t="str">
        <f t="shared" si="26"/>
        <v xml:space="preserve"> </v>
      </c>
      <c r="H809" s="13"/>
      <c r="I809" s="24"/>
      <c r="J809" s="13">
        <f>IFERROR(FundManager[[#This Row],[Current Value]]-FundManager[[#This Row],[Amount Invested]]," ")</f>
        <v>0</v>
      </c>
      <c r="K809" s="14" t="str">
        <f t="shared" si="27"/>
        <v xml:space="preserve"> </v>
      </c>
      <c r="L809" s="15" t="str" cm="1">
        <f t="array" ref="L809">IFERROR(ROUND(_FV(B809,"Change (%)",TRUE),3) &amp; "%"," ")</f>
        <v xml:space="preserve"> </v>
      </c>
    </row>
    <row r="810" spans="1:12" x14ac:dyDescent="0.25">
      <c r="A810" s="19"/>
      <c r="C810" s="10" t="str" cm="1">
        <f t="array" ref="C810">IFERROR(_FV(FundManager[[#This Row],[Name]],"Ticker symbol",TRUE)," ")</f>
        <v xml:space="preserve"> </v>
      </c>
      <c r="E810" s="13"/>
      <c r="F810" s="13"/>
      <c r="G810" s="10" t="str">
        <f t="shared" si="26"/>
        <v xml:space="preserve"> </v>
      </c>
      <c r="H810" s="13"/>
      <c r="I810" s="24"/>
      <c r="J810" s="13">
        <f>IFERROR(FundManager[[#This Row],[Current Value]]-FundManager[[#This Row],[Amount Invested]]," ")</f>
        <v>0</v>
      </c>
      <c r="K810" s="14" t="str">
        <f t="shared" si="27"/>
        <v xml:space="preserve"> </v>
      </c>
      <c r="L810" s="15" t="str" cm="1">
        <f t="array" ref="L810">IFERROR(ROUND(_FV(B810,"Change (%)",TRUE),3) &amp; "%"," ")</f>
        <v xml:space="preserve"> </v>
      </c>
    </row>
    <row r="811" spans="1:12" x14ac:dyDescent="0.25">
      <c r="A811" s="19"/>
      <c r="C811" s="10" t="str" cm="1">
        <f t="array" ref="C811">IFERROR(_FV(FundManager[[#This Row],[Name]],"Ticker symbol",TRUE)," ")</f>
        <v xml:space="preserve"> </v>
      </c>
      <c r="E811" s="13"/>
      <c r="F811" s="13"/>
      <c r="G811" s="10" t="str">
        <f t="shared" si="26"/>
        <v xml:space="preserve"> </v>
      </c>
      <c r="H811" s="13"/>
      <c r="I811" s="24"/>
      <c r="J811" s="13">
        <f>IFERROR(FundManager[[#This Row],[Current Value]]-FundManager[[#This Row],[Amount Invested]]," ")</f>
        <v>0</v>
      </c>
      <c r="K811" s="14" t="str">
        <f t="shared" si="27"/>
        <v xml:space="preserve"> </v>
      </c>
      <c r="L811" s="15" t="str" cm="1">
        <f t="array" ref="L811">IFERROR(ROUND(_FV(B811,"Change (%)",TRUE),3) &amp; "%"," ")</f>
        <v xml:space="preserve"> </v>
      </c>
    </row>
    <row r="812" spans="1:12" x14ac:dyDescent="0.25">
      <c r="A812" s="19"/>
      <c r="C812" s="10" t="str" cm="1">
        <f t="array" ref="C812">IFERROR(_FV(FundManager[[#This Row],[Name]],"Ticker symbol",TRUE)," ")</f>
        <v xml:space="preserve"> </v>
      </c>
      <c r="E812" s="13"/>
      <c r="F812" s="13"/>
      <c r="G812" s="10" t="str">
        <f t="shared" si="26"/>
        <v xml:space="preserve"> </v>
      </c>
      <c r="H812" s="13"/>
      <c r="I812" s="24"/>
      <c r="J812" s="13">
        <f>IFERROR(FundManager[[#This Row],[Current Value]]-FundManager[[#This Row],[Amount Invested]]," ")</f>
        <v>0</v>
      </c>
      <c r="K812" s="14" t="str">
        <f t="shared" si="27"/>
        <v xml:space="preserve"> </v>
      </c>
      <c r="L812" s="15" t="str" cm="1">
        <f t="array" ref="L812">IFERROR(ROUND(_FV(B812,"Change (%)",TRUE),3) &amp; "%"," ")</f>
        <v xml:space="preserve"> </v>
      </c>
    </row>
    <row r="813" spans="1:12" x14ac:dyDescent="0.25">
      <c r="A813" s="19"/>
      <c r="C813" s="10" t="str" cm="1">
        <f t="array" ref="C813">IFERROR(_FV(FundManager[[#This Row],[Name]],"Ticker symbol",TRUE)," ")</f>
        <v xml:space="preserve"> </v>
      </c>
      <c r="E813" s="13"/>
      <c r="F813" s="13"/>
      <c r="G813" s="10" t="str">
        <f t="shared" si="26"/>
        <v xml:space="preserve"> </v>
      </c>
      <c r="H813" s="13"/>
      <c r="I813" s="24"/>
      <c r="J813" s="13">
        <f>IFERROR(FundManager[[#This Row],[Current Value]]-FundManager[[#This Row],[Amount Invested]]," ")</f>
        <v>0</v>
      </c>
      <c r="K813" s="14" t="str">
        <f t="shared" si="27"/>
        <v xml:space="preserve"> </v>
      </c>
      <c r="L813" s="15" t="str" cm="1">
        <f t="array" ref="L813">IFERROR(ROUND(_FV(B813,"Change (%)",TRUE),3) &amp; "%"," ")</f>
        <v xml:space="preserve"> </v>
      </c>
    </row>
    <row r="814" spans="1:12" x14ac:dyDescent="0.25">
      <c r="A814" s="19"/>
      <c r="C814" s="10" t="str" cm="1">
        <f t="array" ref="C814">IFERROR(_FV(FundManager[[#This Row],[Name]],"Ticker symbol",TRUE)," ")</f>
        <v xml:space="preserve"> </v>
      </c>
      <c r="E814" s="13"/>
      <c r="F814" s="13"/>
      <c r="G814" s="10" t="str">
        <f t="shared" si="26"/>
        <v xml:space="preserve"> </v>
      </c>
      <c r="H814" s="13"/>
      <c r="I814" s="24"/>
      <c r="J814" s="13">
        <f>IFERROR(FundManager[[#This Row],[Current Value]]-FundManager[[#This Row],[Amount Invested]]," ")</f>
        <v>0</v>
      </c>
      <c r="K814" s="14" t="str">
        <f t="shared" si="27"/>
        <v xml:space="preserve"> </v>
      </c>
      <c r="L814" s="15" t="str" cm="1">
        <f t="array" ref="L814">IFERROR(ROUND(_FV(B814,"Change (%)",TRUE),3) &amp; "%"," ")</f>
        <v xml:space="preserve"> </v>
      </c>
    </row>
    <row r="815" spans="1:12" x14ac:dyDescent="0.25">
      <c r="A815" s="19"/>
      <c r="C815" s="10" t="str" cm="1">
        <f t="array" ref="C815">IFERROR(_FV(FundManager[[#This Row],[Name]],"Ticker symbol",TRUE)," ")</f>
        <v xml:space="preserve"> </v>
      </c>
      <c r="E815" s="13"/>
      <c r="F815" s="13"/>
      <c r="G815" s="10" t="str">
        <f t="shared" si="26"/>
        <v xml:space="preserve"> </v>
      </c>
      <c r="H815" s="13"/>
      <c r="I815" s="24"/>
      <c r="J815" s="13">
        <f>IFERROR(FundManager[[#This Row],[Current Value]]-FundManager[[#This Row],[Amount Invested]]," ")</f>
        <v>0</v>
      </c>
      <c r="K815" s="14" t="str">
        <f t="shared" si="27"/>
        <v xml:space="preserve"> </v>
      </c>
      <c r="L815" s="15" t="str" cm="1">
        <f t="array" ref="L815">IFERROR(ROUND(_FV(B815,"Change (%)",TRUE),3) &amp; "%"," ")</f>
        <v xml:space="preserve"> </v>
      </c>
    </row>
    <row r="816" spans="1:12" x14ac:dyDescent="0.25">
      <c r="A816" s="19"/>
      <c r="C816" s="10" t="str" cm="1">
        <f t="array" ref="C816">IFERROR(_FV(FundManager[[#This Row],[Name]],"Ticker symbol",TRUE)," ")</f>
        <v xml:space="preserve"> </v>
      </c>
      <c r="E816" s="13"/>
      <c r="F816" s="13"/>
      <c r="G816" s="10" t="str">
        <f t="shared" si="26"/>
        <v xml:space="preserve"> </v>
      </c>
      <c r="H816" s="13"/>
      <c r="I816" s="24"/>
      <c r="J816" s="13">
        <f>IFERROR(FundManager[[#This Row],[Current Value]]-FundManager[[#This Row],[Amount Invested]]," ")</f>
        <v>0</v>
      </c>
      <c r="K816" s="14" t="str">
        <f t="shared" si="27"/>
        <v xml:space="preserve"> </v>
      </c>
      <c r="L816" s="15" t="str" cm="1">
        <f t="array" ref="L816">IFERROR(ROUND(_FV(B816,"Change (%)",TRUE),3) &amp; "%"," ")</f>
        <v xml:space="preserve"> </v>
      </c>
    </row>
    <row r="817" spans="1:12" x14ac:dyDescent="0.25">
      <c r="A817" s="19"/>
      <c r="C817" s="10" t="str" cm="1">
        <f t="array" ref="C817">IFERROR(_FV(FundManager[[#This Row],[Name]],"Ticker symbol",TRUE)," ")</f>
        <v xml:space="preserve"> </v>
      </c>
      <c r="E817" s="13"/>
      <c r="F817" s="13"/>
      <c r="G817" s="10" t="str">
        <f t="shared" si="26"/>
        <v xml:space="preserve"> </v>
      </c>
      <c r="H817" s="13"/>
      <c r="I817" s="24"/>
      <c r="J817" s="13">
        <f>IFERROR(FundManager[[#This Row],[Current Value]]-FundManager[[#This Row],[Amount Invested]]," ")</f>
        <v>0</v>
      </c>
      <c r="K817" s="14" t="str">
        <f t="shared" si="27"/>
        <v xml:space="preserve"> </v>
      </c>
      <c r="L817" s="15" t="str" cm="1">
        <f t="array" ref="L817">IFERROR(ROUND(_FV(B817,"Change (%)",TRUE),3) &amp; "%"," ")</f>
        <v xml:space="preserve"> </v>
      </c>
    </row>
    <row r="818" spans="1:12" x14ac:dyDescent="0.25">
      <c r="A818" s="19"/>
      <c r="C818" s="10" t="str" cm="1">
        <f t="array" ref="C818">IFERROR(_FV(FundManager[[#This Row],[Name]],"Ticker symbol",TRUE)," ")</f>
        <v xml:space="preserve"> </v>
      </c>
      <c r="E818" s="13"/>
      <c r="F818" s="13"/>
      <c r="G818" s="10" t="str">
        <f t="shared" si="26"/>
        <v xml:space="preserve"> </v>
      </c>
      <c r="H818" s="13"/>
      <c r="I818" s="24"/>
      <c r="J818" s="13">
        <f>IFERROR(FundManager[[#This Row],[Current Value]]-FundManager[[#This Row],[Amount Invested]]," ")</f>
        <v>0</v>
      </c>
      <c r="K818" s="14" t="str">
        <f t="shared" si="27"/>
        <v xml:space="preserve"> </v>
      </c>
      <c r="L818" s="15" t="str" cm="1">
        <f t="array" ref="L818">IFERROR(ROUND(_FV(B818,"Change (%)",TRUE),3) &amp; "%"," ")</f>
        <v xml:space="preserve"> </v>
      </c>
    </row>
    <row r="819" spans="1:12" x14ac:dyDescent="0.25">
      <c r="A819" s="19"/>
      <c r="C819" s="10" t="str" cm="1">
        <f t="array" ref="C819">IFERROR(_FV(FundManager[[#This Row],[Name]],"Ticker symbol",TRUE)," ")</f>
        <v xml:space="preserve"> </v>
      </c>
      <c r="E819" s="13"/>
      <c r="F819" s="13"/>
      <c r="G819" s="10" t="str">
        <f t="shared" si="26"/>
        <v xml:space="preserve"> </v>
      </c>
      <c r="H819" s="13"/>
      <c r="I819" s="24"/>
      <c r="J819" s="13">
        <f>IFERROR(FundManager[[#This Row],[Current Value]]-FundManager[[#This Row],[Amount Invested]]," ")</f>
        <v>0</v>
      </c>
      <c r="K819" s="14" t="str">
        <f t="shared" si="27"/>
        <v xml:space="preserve"> </v>
      </c>
      <c r="L819" s="15" t="str" cm="1">
        <f t="array" ref="L819">IFERROR(ROUND(_FV(B819,"Change (%)",TRUE),3) &amp; "%"," ")</f>
        <v xml:space="preserve"> </v>
      </c>
    </row>
    <row r="820" spans="1:12" x14ac:dyDescent="0.25">
      <c r="A820" s="19"/>
      <c r="C820" s="10" t="str" cm="1">
        <f t="array" ref="C820">IFERROR(_FV(FundManager[[#This Row],[Name]],"Ticker symbol",TRUE)," ")</f>
        <v xml:space="preserve"> </v>
      </c>
      <c r="E820" s="13"/>
      <c r="F820" s="13"/>
      <c r="G820" s="10" t="str">
        <f t="shared" si="26"/>
        <v xml:space="preserve"> </v>
      </c>
      <c r="H820" s="13"/>
      <c r="I820" s="24"/>
      <c r="J820" s="13">
        <f>IFERROR(FundManager[[#This Row],[Current Value]]-FundManager[[#This Row],[Amount Invested]]," ")</f>
        <v>0</v>
      </c>
      <c r="K820" s="14" t="str">
        <f t="shared" si="27"/>
        <v xml:space="preserve"> </v>
      </c>
      <c r="L820" s="15" t="str" cm="1">
        <f t="array" ref="L820">IFERROR(ROUND(_FV(B820,"Change (%)",TRUE),3) &amp; "%"," ")</f>
        <v xml:space="preserve"> </v>
      </c>
    </row>
    <row r="821" spans="1:12" x14ac:dyDescent="0.25">
      <c r="A821" s="19"/>
      <c r="C821" s="10" t="str" cm="1">
        <f t="array" ref="C821">IFERROR(_FV(FundManager[[#This Row],[Name]],"Ticker symbol",TRUE)," ")</f>
        <v xml:space="preserve"> </v>
      </c>
      <c r="E821" s="13"/>
      <c r="F821" s="13"/>
      <c r="G821" s="10" t="str">
        <f t="shared" si="26"/>
        <v xml:space="preserve"> </v>
      </c>
      <c r="H821" s="13"/>
      <c r="I821" s="24"/>
      <c r="J821" s="13">
        <f>IFERROR(FundManager[[#This Row],[Current Value]]-FundManager[[#This Row],[Amount Invested]]," ")</f>
        <v>0</v>
      </c>
      <c r="K821" s="14" t="str">
        <f t="shared" si="27"/>
        <v xml:space="preserve"> </v>
      </c>
      <c r="L821" s="15" t="str" cm="1">
        <f t="array" ref="L821">IFERROR(ROUND(_FV(B821,"Change (%)",TRUE),3) &amp; "%"," ")</f>
        <v xml:space="preserve"> </v>
      </c>
    </row>
    <row r="822" spans="1:12" x14ac:dyDescent="0.25">
      <c r="A822" s="19"/>
      <c r="C822" s="10" t="str" cm="1">
        <f t="array" ref="C822">IFERROR(_FV(FundManager[[#This Row],[Name]],"Ticker symbol",TRUE)," ")</f>
        <v xml:space="preserve"> </v>
      </c>
      <c r="E822" s="13"/>
      <c r="F822" s="13"/>
      <c r="G822" s="10" t="str">
        <f t="shared" si="26"/>
        <v xml:space="preserve"> </v>
      </c>
      <c r="H822" s="13"/>
      <c r="I822" s="24"/>
      <c r="J822" s="13">
        <f>IFERROR(FundManager[[#This Row],[Current Value]]-FundManager[[#This Row],[Amount Invested]]," ")</f>
        <v>0</v>
      </c>
      <c r="K822" s="14" t="str">
        <f t="shared" si="27"/>
        <v xml:space="preserve"> </v>
      </c>
      <c r="L822" s="15" t="str" cm="1">
        <f t="array" ref="L822">IFERROR(ROUND(_FV(B822,"Change (%)",TRUE),3) &amp; "%"," ")</f>
        <v xml:space="preserve"> </v>
      </c>
    </row>
    <row r="823" spans="1:12" x14ac:dyDescent="0.25">
      <c r="A823" s="19"/>
      <c r="C823" s="10" t="str" cm="1">
        <f t="array" ref="C823">IFERROR(_FV(FundManager[[#This Row],[Name]],"Ticker symbol",TRUE)," ")</f>
        <v xml:space="preserve"> </v>
      </c>
      <c r="E823" s="13"/>
      <c r="F823" s="13"/>
      <c r="G823" s="10" t="str">
        <f t="shared" si="26"/>
        <v xml:space="preserve"> </v>
      </c>
      <c r="H823" s="13"/>
      <c r="I823" s="24"/>
      <c r="J823" s="13">
        <f>IFERROR(FundManager[[#This Row],[Current Value]]-FundManager[[#This Row],[Amount Invested]]," ")</f>
        <v>0</v>
      </c>
      <c r="K823" s="14" t="str">
        <f t="shared" si="27"/>
        <v xml:space="preserve"> </v>
      </c>
      <c r="L823" s="15" t="str" cm="1">
        <f t="array" ref="L823">IFERROR(ROUND(_FV(B823,"Change (%)",TRUE),3) &amp; "%"," ")</f>
        <v xml:space="preserve"> </v>
      </c>
    </row>
    <row r="824" spans="1:12" x14ac:dyDescent="0.25">
      <c r="A824" s="19"/>
      <c r="C824" s="10" t="str" cm="1">
        <f t="array" ref="C824">IFERROR(_FV(FundManager[[#This Row],[Name]],"Ticker symbol",TRUE)," ")</f>
        <v xml:space="preserve"> </v>
      </c>
      <c r="E824" s="13"/>
      <c r="F824" s="13"/>
      <c r="G824" s="10" t="str">
        <f t="shared" si="26"/>
        <v xml:space="preserve"> </v>
      </c>
      <c r="H824" s="13"/>
      <c r="I824" s="24"/>
      <c r="J824" s="13">
        <f>IFERROR(FundManager[[#This Row],[Current Value]]-FundManager[[#This Row],[Amount Invested]]," ")</f>
        <v>0</v>
      </c>
      <c r="K824" s="14" t="str">
        <f t="shared" si="27"/>
        <v xml:space="preserve"> </v>
      </c>
      <c r="L824" s="15" t="str" cm="1">
        <f t="array" ref="L824">IFERROR(ROUND(_FV(B824,"Change (%)",TRUE),3) &amp; "%"," ")</f>
        <v xml:space="preserve"> </v>
      </c>
    </row>
    <row r="825" spans="1:12" x14ac:dyDescent="0.25">
      <c r="A825" s="19"/>
      <c r="C825" s="10" t="str" cm="1">
        <f t="array" ref="C825">IFERROR(_FV(FundManager[[#This Row],[Name]],"Ticker symbol",TRUE)," ")</f>
        <v xml:space="preserve"> </v>
      </c>
      <c r="E825" s="13"/>
      <c r="F825" s="13"/>
      <c r="G825" s="10" t="str">
        <f t="shared" si="26"/>
        <v xml:space="preserve"> </v>
      </c>
      <c r="H825" s="13"/>
      <c r="I825" s="24"/>
      <c r="J825" s="13">
        <f>IFERROR(FundManager[[#This Row],[Current Value]]-FundManager[[#This Row],[Amount Invested]]," ")</f>
        <v>0</v>
      </c>
      <c r="K825" s="14" t="str">
        <f t="shared" si="27"/>
        <v xml:space="preserve"> </v>
      </c>
      <c r="L825" s="15" t="str" cm="1">
        <f t="array" ref="L825">IFERROR(ROUND(_FV(B825,"Change (%)",TRUE),3) &amp; "%"," ")</f>
        <v xml:space="preserve"> </v>
      </c>
    </row>
    <row r="826" spans="1:12" x14ac:dyDescent="0.25">
      <c r="A826" s="19"/>
      <c r="C826" s="10" t="str" cm="1">
        <f t="array" ref="C826">IFERROR(_FV(FundManager[[#This Row],[Name]],"Ticker symbol",TRUE)," ")</f>
        <v xml:space="preserve"> </v>
      </c>
      <c r="E826" s="13"/>
      <c r="F826" s="13"/>
      <c r="G826" s="10" t="str">
        <f t="shared" si="26"/>
        <v xml:space="preserve"> </v>
      </c>
      <c r="H826" s="13"/>
      <c r="I826" s="24"/>
      <c r="J826" s="13">
        <f>IFERROR(FundManager[[#This Row],[Current Value]]-FundManager[[#This Row],[Amount Invested]]," ")</f>
        <v>0</v>
      </c>
      <c r="K826" s="14" t="str">
        <f t="shared" si="27"/>
        <v xml:space="preserve"> </v>
      </c>
      <c r="L826" s="15" t="str" cm="1">
        <f t="array" ref="L826">IFERROR(ROUND(_FV(B826,"Change (%)",TRUE),3) &amp; "%"," ")</f>
        <v xml:space="preserve"> </v>
      </c>
    </row>
    <row r="827" spans="1:12" x14ac:dyDescent="0.25">
      <c r="A827" s="19"/>
      <c r="C827" s="10" t="str" cm="1">
        <f t="array" ref="C827">IFERROR(_FV(FundManager[[#This Row],[Name]],"Ticker symbol",TRUE)," ")</f>
        <v xml:space="preserve"> </v>
      </c>
      <c r="E827" s="13"/>
      <c r="F827" s="13"/>
      <c r="G827" s="10" t="str">
        <f t="shared" si="26"/>
        <v xml:space="preserve"> </v>
      </c>
      <c r="H827" s="13"/>
      <c r="I827" s="24"/>
      <c r="J827" s="13">
        <f>IFERROR(FundManager[[#This Row],[Current Value]]-FundManager[[#This Row],[Amount Invested]]," ")</f>
        <v>0</v>
      </c>
      <c r="K827" s="14" t="str">
        <f t="shared" si="27"/>
        <v xml:space="preserve"> </v>
      </c>
      <c r="L827" s="15" t="str" cm="1">
        <f t="array" ref="L827">IFERROR(ROUND(_FV(B827,"Change (%)",TRUE),3) &amp; "%"," ")</f>
        <v xml:space="preserve"> </v>
      </c>
    </row>
    <row r="828" spans="1:12" x14ac:dyDescent="0.25">
      <c r="A828" s="19"/>
      <c r="C828" s="10" t="str" cm="1">
        <f t="array" ref="C828">IFERROR(_FV(FundManager[[#This Row],[Name]],"Ticker symbol",TRUE)," ")</f>
        <v xml:space="preserve"> </v>
      </c>
      <c r="E828" s="13"/>
      <c r="F828" s="13"/>
      <c r="G828" s="10" t="str">
        <f t="shared" si="26"/>
        <v xml:space="preserve"> </v>
      </c>
      <c r="H828" s="13"/>
      <c r="I828" s="24"/>
      <c r="J828" s="13">
        <f>IFERROR(FundManager[[#This Row],[Current Value]]-FundManager[[#This Row],[Amount Invested]]," ")</f>
        <v>0</v>
      </c>
      <c r="K828" s="14" t="str">
        <f t="shared" si="27"/>
        <v xml:space="preserve"> </v>
      </c>
      <c r="L828" s="15" t="str" cm="1">
        <f t="array" ref="L828">IFERROR(ROUND(_FV(B828,"Change (%)",TRUE),3) &amp; "%"," ")</f>
        <v xml:space="preserve"> </v>
      </c>
    </row>
    <row r="829" spans="1:12" x14ac:dyDescent="0.25">
      <c r="A829" s="19"/>
      <c r="C829" s="10" t="str" cm="1">
        <f t="array" ref="C829">IFERROR(_FV(FundManager[[#This Row],[Name]],"Ticker symbol",TRUE)," ")</f>
        <v xml:space="preserve"> </v>
      </c>
      <c r="E829" s="13"/>
      <c r="F829" s="13"/>
      <c r="G829" s="10" t="str">
        <f t="shared" si="26"/>
        <v xml:space="preserve"> </v>
      </c>
      <c r="H829" s="13"/>
      <c r="I829" s="24"/>
      <c r="J829" s="13">
        <f>IFERROR(FundManager[[#This Row],[Current Value]]-FundManager[[#This Row],[Amount Invested]]," ")</f>
        <v>0</v>
      </c>
      <c r="K829" s="14" t="str">
        <f t="shared" si="27"/>
        <v xml:space="preserve"> </v>
      </c>
      <c r="L829" s="15" t="str" cm="1">
        <f t="array" ref="L829">IFERROR(ROUND(_FV(B829,"Change (%)",TRUE),3) &amp; "%"," ")</f>
        <v xml:space="preserve"> </v>
      </c>
    </row>
    <row r="830" spans="1:12" x14ac:dyDescent="0.25">
      <c r="A830" s="19"/>
      <c r="C830" s="10" t="str" cm="1">
        <f t="array" ref="C830">IFERROR(_FV(FundManager[[#This Row],[Name]],"Ticker symbol",TRUE)," ")</f>
        <v xml:space="preserve"> </v>
      </c>
      <c r="E830" s="13"/>
      <c r="F830" s="13"/>
      <c r="G830" s="10" t="str">
        <f t="shared" si="26"/>
        <v xml:space="preserve"> </v>
      </c>
      <c r="H830" s="13"/>
      <c r="I830" s="24"/>
      <c r="J830" s="13">
        <f>IFERROR(FundManager[[#This Row],[Current Value]]-FundManager[[#This Row],[Amount Invested]]," ")</f>
        <v>0</v>
      </c>
      <c r="K830" s="14" t="str">
        <f t="shared" si="27"/>
        <v xml:space="preserve"> </v>
      </c>
      <c r="L830" s="15" t="str" cm="1">
        <f t="array" ref="L830">IFERROR(ROUND(_FV(B830,"Change (%)",TRUE),3) &amp; "%"," ")</f>
        <v xml:space="preserve"> </v>
      </c>
    </row>
    <row r="831" spans="1:12" x14ac:dyDescent="0.25">
      <c r="A831" s="19"/>
      <c r="C831" s="10" t="str" cm="1">
        <f t="array" ref="C831">IFERROR(_FV(FundManager[[#This Row],[Name]],"Ticker symbol",TRUE)," ")</f>
        <v xml:space="preserve"> </v>
      </c>
      <c r="E831" s="13"/>
      <c r="F831" s="13"/>
      <c r="G831" s="10" t="str">
        <f t="shared" si="26"/>
        <v xml:space="preserve"> </v>
      </c>
      <c r="H831" s="13"/>
      <c r="I831" s="24"/>
      <c r="J831" s="13">
        <f>IFERROR(FundManager[[#This Row],[Current Value]]-FundManager[[#This Row],[Amount Invested]]," ")</f>
        <v>0</v>
      </c>
      <c r="K831" s="14" t="str">
        <f t="shared" si="27"/>
        <v xml:space="preserve"> </v>
      </c>
      <c r="L831" s="15" t="str" cm="1">
        <f t="array" ref="L831">IFERROR(ROUND(_FV(B831,"Change (%)",TRUE),3) &amp; "%"," ")</f>
        <v xml:space="preserve"> </v>
      </c>
    </row>
    <row r="832" spans="1:12" x14ac:dyDescent="0.25">
      <c r="A832" s="19"/>
      <c r="C832" s="10" t="str" cm="1">
        <f t="array" ref="C832">IFERROR(_FV(FundManager[[#This Row],[Name]],"Ticker symbol",TRUE)," ")</f>
        <v xml:space="preserve"> </v>
      </c>
      <c r="E832" s="13"/>
      <c r="F832" s="13"/>
      <c r="G832" s="10" t="str">
        <f t="shared" si="26"/>
        <v xml:space="preserve"> </v>
      </c>
      <c r="H832" s="13"/>
      <c r="I832" s="24"/>
      <c r="J832" s="13">
        <f>IFERROR(FundManager[[#This Row],[Current Value]]-FundManager[[#This Row],[Amount Invested]]," ")</f>
        <v>0</v>
      </c>
      <c r="K832" s="14" t="str">
        <f t="shared" si="27"/>
        <v xml:space="preserve"> </v>
      </c>
      <c r="L832" s="15" t="str" cm="1">
        <f t="array" ref="L832">IFERROR(ROUND(_FV(B832,"Change (%)",TRUE),3) &amp; "%"," ")</f>
        <v xml:space="preserve"> </v>
      </c>
    </row>
    <row r="833" spans="1:12" x14ac:dyDescent="0.25">
      <c r="A833" s="19"/>
      <c r="C833" s="10" t="str" cm="1">
        <f t="array" ref="C833">IFERROR(_FV(FundManager[[#This Row],[Name]],"Ticker symbol",TRUE)," ")</f>
        <v xml:space="preserve"> </v>
      </c>
      <c r="E833" s="13"/>
      <c r="F833" s="13"/>
      <c r="G833" s="10" t="str">
        <f t="shared" si="26"/>
        <v xml:space="preserve"> </v>
      </c>
      <c r="H833" s="13"/>
      <c r="I833" s="24"/>
      <c r="J833" s="13">
        <f>IFERROR(FundManager[[#This Row],[Current Value]]-FundManager[[#This Row],[Amount Invested]]," ")</f>
        <v>0</v>
      </c>
      <c r="K833" s="14" t="str">
        <f t="shared" si="27"/>
        <v xml:space="preserve"> </v>
      </c>
      <c r="L833" s="15" t="str" cm="1">
        <f t="array" ref="L833">IFERROR(ROUND(_FV(B833,"Change (%)",TRUE),3) &amp; "%"," ")</f>
        <v xml:space="preserve"> </v>
      </c>
    </row>
    <row r="834" spans="1:12" x14ac:dyDescent="0.25">
      <c r="A834" s="19"/>
      <c r="C834" s="10" t="str" cm="1">
        <f t="array" ref="C834">IFERROR(_FV(FundManager[[#This Row],[Name]],"Ticker symbol",TRUE)," ")</f>
        <v xml:space="preserve"> </v>
      </c>
      <c r="E834" s="13"/>
      <c r="F834" s="13"/>
      <c r="G834" s="10" t="str">
        <f t="shared" si="26"/>
        <v xml:space="preserve"> </v>
      </c>
      <c r="H834" s="13"/>
      <c r="I834" s="24"/>
      <c r="J834" s="13">
        <f>IFERROR(FundManager[[#This Row],[Current Value]]-FundManager[[#This Row],[Amount Invested]]," ")</f>
        <v>0</v>
      </c>
      <c r="K834" s="14" t="str">
        <f t="shared" si="27"/>
        <v xml:space="preserve"> </v>
      </c>
      <c r="L834" s="15" t="str" cm="1">
        <f t="array" ref="L834">IFERROR(ROUND(_FV(B834,"Change (%)",TRUE),3) &amp; "%"," ")</f>
        <v xml:space="preserve"> </v>
      </c>
    </row>
    <row r="835" spans="1:12" x14ac:dyDescent="0.25">
      <c r="A835" s="19"/>
      <c r="C835" s="10" t="str" cm="1">
        <f t="array" ref="C835">IFERROR(_FV(FundManager[[#This Row],[Name]],"Ticker symbol",TRUE)," ")</f>
        <v xml:space="preserve"> </v>
      </c>
      <c r="E835" s="13"/>
      <c r="F835" s="13"/>
      <c r="G835" s="10" t="str">
        <f t="shared" si="26"/>
        <v xml:space="preserve"> </v>
      </c>
      <c r="H835" s="13"/>
      <c r="I835" s="24"/>
      <c r="J835" s="13">
        <f>IFERROR(FundManager[[#This Row],[Current Value]]-FundManager[[#This Row],[Amount Invested]]," ")</f>
        <v>0</v>
      </c>
      <c r="K835" s="14" t="str">
        <f t="shared" si="27"/>
        <v xml:space="preserve"> </v>
      </c>
      <c r="L835" s="15" t="str" cm="1">
        <f t="array" ref="L835">IFERROR(ROUND(_FV(B835,"Change (%)",TRUE),3) &amp; "%"," ")</f>
        <v xml:space="preserve"> </v>
      </c>
    </row>
    <row r="836" spans="1:12" x14ac:dyDescent="0.25">
      <c r="A836" s="19"/>
      <c r="C836" s="10" t="str" cm="1">
        <f t="array" ref="C836">IFERROR(_FV(FundManager[[#This Row],[Name]],"Ticker symbol",TRUE)," ")</f>
        <v xml:space="preserve"> </v>
      </c>
      <c r="E836" s="13"/>
      <c r="F836" s="13"/>
      <c r="G836" s="10" t="str">
        <f t="shared" si="26"/>
        <v xml:space="preserve"> </v>
      </c>
      <c r="H836" s="13"/>
      <c r="I836" s="24"/>
      <c r="J836" s="13">
        <f>IFERROR(FundManager[[#This Row],[Current Value]]-FundManager[[#This Row],[Amount Invested]]," ")</f>
        <v>0</v>
      </c>
      <c r="K836" s="14" t="str">
        <f t="shared" si="27"/>
        <v xml:space="preserve"> </v>
      </c>
      <c r="L836" s="15" t="str" cm="1">
        <f t="array" ref="L836">IFERROR(ROUND(_FV(B836,"Change (%)",TRUE),3) &amp; "%"," ")</f>
        <v xml:space="preserve"> </v>
      </c>
    </row>
    <row r="837" spans="1:12" x14ac:dyDescent="0.25">
      <c r="A837" s="19"/>
      <c r="C837" s="10" t="str" cm="1">
        <f t="array" ref="C837">IFERROR(_FV(FundManager[[#This Row],[Name]],"Ticker symbol",TRUE)," ")</f>
        <v xml:space="preserve"> </v>
      </c>
      <c r="E837" s="13"/>
      <c r="F837" s="13"/>
      <c r="G837" s="10" t="str">
        <f t="shared" si="26"/>
        <v xml:space="preserve"> </v>
      </c>
      <c r="H837" s="13"/>
      <c r="I837" s="24"/>
      <c r="J837" s="13">
        <f>IFERROR(FundManager[[#This Row],[Current Value]]-FundManager[[#This Row],[Amount Invested]]," ")</f>
        <v>0</v>
      </c>
      <c r="K837" s="14" t="str">
        <f t="shared" si="27"/>
        <v xml:space="preserve"> </v>
      </c>
      <c r="L837" s="15" t="str" cm="1">
        <f t="array" ref="L837">IFERROR(ROUND(_FV(B837,"Change (%)",TRUE),3) &amp; "%"," ")</f>
        <v xml:space="preserve"> </v>
      </c>
    </row>
    <row r="838" spans="1:12" x14ac:dyDescent="0.25">
      <c r="A838" s="19"/>
      <c r="C838" s="10" t="str" cm="1">
        <f t="array" ref="C838">IFERROR(_FV(FundManager[[#This Row],[Name]],"Ticker symbol",TRUE)," ")</f>
        <v xml:space="preserve"> </v>
      </c>
      <c r="E838" s="13"/>
      <c r="F838" s="13"/>
      <c r="G838" s="10" t="str">
        <f t="shared" si="26"/>
        <v xml:space="preserve"> </v>
      </c>
      <c r="H838" s="13"/>
      <c r="I838" s="24"/>
      <c r="J838" s="13">
        <f>IFERROR(FundManager[[#This Row],[Current Value]]-FundManager[[#This Row],[Amount Invested]]," ")</f>
        <v>0</v>
      </c>
      <c r="K838" s="14" t="str">
        <f t="shared" si="27"/>
        <v xml:space="preserve"> </v>
      </c>
      <c r="L838" s="15" t="str" cm="1">
        <f t="array" ref="L838">IFERROR(ROUND(_FV(B838,"Change (%)",TRUE),3) &amp; "%"," ")</f>
        <v xml:space="preserve"> </v>
      </c>
    </row>
    <row r="839" spans="1:12" x14ac:dyDescent="0.25">
      <c r="A839" s="19"/>
      <c r="C839" s="10" t="str" cm="1">
        <f t="array" ref="C839">IFERROR(_FV(FundManager[[#This Row],[Name]],"Ticker symbol",TRUE)," ")</f>
        <v xml:space="preserve"> </v>
      </c>
      <c r="E839" s="13"/>
      <c r="F839" s="13"/>
      <c r="G839" s="10" t="str">
        <f t="shared" si="26"/>
        <v xml:space="preserve"> </v>
      </c>
      <c r="H839" s="13"/>
      <c r="I839" s="24"/>
      <c r="J839" s="13">
        <f>IFERROR(FundManager[[#This Row],[Current Value]]-FundManager[[#This Row],[Amount Invested]]," ")</f>
        <v>0</v>
      </c>
      <c r="K839" s="14" t="str">
        <f t="shared" si="27"/>
        <v xml:space="preserve"> </v>
      </c>
      <c r="L839" s="15" t="str" cm="1">
        <f t="array" ref="L839">IFERROR(ROUND(_FV(B839,"Change (%)",TRUE),3) &amp; "%"," ")</f>
        <v xml:space="preserve"> </v>
      </c>
    </row>
    <row r="840" spans="1:12" x14ac:dyDescent="0.25">
      <c r="A840" s="19"/>
      <c r="C840" s="10" t="str" cm="1">
        <f t="array" ref="C840">IFERROR(_FV(FundManager[[#This Row],[Name]],"Ticker symbol",TRUE)," ")</f>
        <v xml:space="preserve"> </v>
      </c>
      <c r="E840" s="13"/>
      <c r="F840" s="13"/>
      <c r="G840" s="10" t="str">
        <f t="shared" si="26"/>
        <v xml:space="preserve"> </v>
      </c>
      <c r="H840" s="13"/>
      <c r="I840" s="24"/>
      <c r="J840" s="13">
        <f>IFERROR(FundManager[[#This Row],[Current Value]]-FundManager[[#This Row],[Amount Invested]]," ")</f>
        <v>0</v>
      </c>
      <c r="K840" s="14" t="str">
        <f t="shared" si="27"/>
        <v xml:space="preserve"> </v>
      </c>
      <c r="L840" s="15" t="str" cm="1">
        <f t="array" ref="L840">IFERROR(ROUND(_FV(B840,"Change (%)",TRUE),3) &amp; "%"," ")</f>
        <v xml:space="preserve"> </v>
      </c>
    </row>
    <row r="841" spans="1:12" x14ac:dyDescent="0.25">
      <c r="A841" s="19"/>
      <c r="C841" s="10" t="str" cm="1">
        <f t="array" ref="C841">IFERROR(_FV(FundManager[[#This Row],[Name]],"Ticker symbol",TRUE)," ")</f>
        <v xml:space="preserve"> </v>
      </c>
      <c r="E841" s="13"/>
      <c r="F841" s="13"/>
      <c r="G841" s="10" t="str">
        <f t="shared" si="26"/>
        <v xml:space="preserve"> </v>
      </c>
      <c r="H841" s="13"/>
      <c r="I841" s="24"/>
      <c r="J841" s="13">
        <f>IFERROR(FundManager[[#This Row],[Current Value]]-FundManager[[#This Row],[Amount Invested]]," ")</f>
        <v>0</v>
      </c>
      <c r="K841" s="14" t="str">
        <f t="shared" si="27"/>
        <v xml:space="preserve"> </v>
      </c>
      <c r="L841" s="15" t="str" cm="1">
        <f t="array" ref="L841">IFERROR(ROUND(_FV(B841,"Change (%)",TRUE),3) &amp; "%"," ")</f>
        <v xml:space="preserve"> </v>
      </c>
    </row>
    <row r="842" spans="1:12" x14ac:dyDescent="0.25">
      <c r="A842" s="19"/>
      <c r="C842" s="10" t="str" cm="1">
        <f t="array" ref="C842">IFERROR(_FV(FundManager[[#This Row],[Name]],"Ticker symbol",TRUE)," ")</f>
        <v xml:space="preserve"> </v>
      </c>
      <c r="E842" s="13"/>
      <c r="F842" s="13"/>
      <c r="G842" s="10" t="str">
        <f t="shared" si="26"/>
        <v xml:space="preserve"> </v>
      </c>
      <c r="H842" s="13"/>
      <c r="I842" s="24"/>
      <c r="J842" s="13">
        <f>IFERROR(FundManager[[#This Row],[Current Value]]-FundManager[[#This Row],[Amount Invested]]," ")</f>
        <v>0</v>
      </c>
      <c r="K842" s="14" t="str">
        <f t="shared" si="27"/>
        <v xml:space="preserve"> </v>
      </c>
      <c r="L842" s="15" t="str" cm="1">
        <f t="array" ref="L842">IFERROR(ROUND(_FV(B842,"Change (%)",TRUE),3) &amp; "%"," ")</f>
        <v xml:space="preserve"> </v>
      </c>
    </row>
    <row r="843" spans="1:12" x14ac:dyDescent="0.25">
      <c r="A843" s="19"/>
      <c r="C843" s="10" t="str" cm="1">
        <f t="array" ref="C843">IFERROR(_FV(FundManager[[#This Row],[Name]],"Ticker symbol",TRUE)," ")</f>
        <v xml:space="preserve"> </v>
      </c>
      <c r="E843" s="13"/>
      <c r="F843" s="13"/>
      <c r="G843" s="10" t="str">
        <f t="shared" si="26"/>
        <v xml:space="preserve"> </v>
      </c>
      <c r="H843" s="13"/>
      <c r="I843" s="24"/>
      <c r="J843" s="13">
        <f>IFERROR(FundManager[[#This Row],[Current Value]]-FundManager[[#This Row],[Amount Invested]]," ")</f>
        <v>0</v>
      </c>
      <c r="K843" s="14" t="str">
        <f t="shared" si="27"/>
        <v xml:space="preserve"> </v>
      </c>
      <c r="L843" s="15" t="str" cm="1">
        <f t="array" ref="L843">IFERROR(ROUND(_FV(B843,"Change (%)",TRUE),3) &amp; "%"," ")</f>
        <v xml:space="preserve"> </v>
      </c>
    </row>
    <row r="844" spans="1:12" x14ac:dyDescent="0.25">
      <c r="A844" s="19"/>
      <c r="C844" s="10" t="str" cm="1">
        <f t="array" ref="C844">IFERROR(_FV(FundManager[[#This Row],[Name]],"Ticker symbol",TRUE)," ")</f>
        <v xml:space="preserve"> </v>
      </c>
      <c r="E844" s="13"/>
      <c r="F844" s="13"/>
      <c r="G844" s="10" t="str">
        <f t="shared" si="26"/>
        <v xml:space="preserve"> </v>
      </c>
      <c r="H844" s="13"/>
      <c r="I844" s="24"/>
      <c r="J844" s="13">
        <f>IFERROR(FundManager[[#This Row],[Current Value]]-FundManager[[#This Row],[Amount Invested]]," ")</f>
        <v>0</v>
      </c>
      <c r="K844" s="14" t="str">
        <f t="shared" si="27"/>
        <v xml:space="preserve"> </v>
      </c>
      <c r="L844" s="15" t="str" cm="1">
        <f t="array" ref="L844">IFERROR(ROUND(_FV(B844,"Change (%)",TRUE),3) &amp; "%"," ")</f>
        <v xml:space="preserve"> </v>
      </c>
    </row>
    <row r="845" spans="1:12" x14ac:dyDescent="0.25">
      <c r="A845" s="19"/>
      <c r="C845" s="10" t="str" cm="1">
        <f t="array" ref="C845">IFERROR(_FV(FundManager[[#This Row],[Name]],"Ticker symbol",TRUE)," ")</f>
        <v xml:space="preserve"> </v>
      </c>
      <c r="E845" s="13"/>
      <c r="F845" s="13"/>
      <c r="G845" s="10" t="str">
        <f t="shared" si="26"/>
        <v xml:space="preserve"> </v>
      </c>
      <c r="H845" s="13"/>
      <c r="I845" s="24"/>
      <c r="J845" s="13">
        <f>IFERROR(FundManager[[#This Row],[Current Value]]-FundManager[[#This Row],[Amount Invested]]," ")</f>
        <v>0</v>
      </c>
      <c r="K845" s="14" t="str">
        <f t="shared" si="27"/>
        <v xml:space="preserve"> </v>
      </c>
      <c r="L845" s="15" t="str" cm="1">
        <f t="array" ref="L845">IFERROR(ROUND(_FV(B845,"Change (%)",TRUE),3) &amp; "%"," ")</f>
        <v xml:space="preserve"> </v>
      </c>
    </row>
    <row r="846" spans="1:12" x14ac:dyDescent="0.25">
      <c r="A846" s="19"/>
      <c r="C846" s="10" t="str" cm="1">
        <f t="array" ref="C846">IFERROR(_FV(FundManager[[#This Row],[Name]],"Ticker symbol",TRUE)," ")</f>
        <v xml:space="preserve"> </v>
      </c>
      <c r="E846" s="13"/>
      <c r="F846" s="13"/>
      <c r="G846" s="10" t="str">
        <f t="shared" si="26"/>
        <v xml:space="preserve"> </v>
      </c>
      <c r="H846" s="13"/>
      <c r="I846" s="24"/>
      <c r="J846" s="13">
        <f>IFERROR(FundManager[[#This Row],[Current Value]]-FundManager[[#This Row],[Amount Invested]]," ")</f>
        <v>0</v>
      </c>
      <c r="K846" s="14" t="str">
        <f t="shared" si="27"/>
        <v xml:space="preserve"> </v>
      </c>
      <c r="L846" s="15" t="str" cm="1">
        <f t="array" ref="L846">IFERROR(ROUND(_FV(B846,"Change (%)",TRUE),3) &amp; "%"," ")</f>
        <v xml:space="preserve"> </v>
      </c>
    </row>
    <row r="847" spans="1:12" x14ac:dyDescent="0.25">
      <c r="A847" s="19"/>
      <c r="C847" s="10" t="str" cm="1">
        <f t="array" ref="C847">IFERROR(_FV(FundManager[[#This Row],[Name]],"Ticker symbol",TRUE)," ")</f>
        <v xml:space="preserve"> </v>
      </c>
      <c r="E847" s="13"/>
      <c r="F847" s="13"/>
      <c r="G847" s="10" t="str">
        <f t="shared" si="26"/>
        <v xml:space="preserve"> </v>
      </c>
      <c r="H847" s="13"/>
      <c r="I847" s="24"/>
      <c r="J847" s="13">
        <f>IFERROR(FundManager[[#This Row],[Current Value]]-FundManager[[#This Row],[Amount Invested]]," ")</f>
        <v>0</v>
      </c>
      <c r="K847" s="14" t="str">
        <f t="shared" si="27"/>
        <v xml:space="preserve"> </v>
      </c>
      <c r="L847" s="15" t="str" cm="1">
        <f t="array" ref="L847">IFERROR(ROUND(_FV(B847,"Change (%)",TRUE),3) &amp; "%"," ")</f>
        <v xml:space="preserve"> </v>
      </c>
    </row>
    <row r="848" spans="1:12" x14ac:dyDescent="0.25">
      <c r="A848" s="19"/>
      <c r="C848" s="10" t="str" cm="1">
        <f t="array" ref="C848">IFERROR(_FV(FundManager[[#This Row],[Name]],"Ticker symbol",TRUE)," ")</f>
        <v xml:space="preserve"> </v>
      </c>
      <c r="E848" s="13"/>
      <c r="F848" s="13"/>
      <c r="G848" s="10" t="str">
        <f t="shared" si="26"/>
        <v xml:space="preserve"> </v>
      </c>
      <c r="H848" s="13"/>
      <c r="I848" s="24"/>
      <c r="J848" s="13">
        <f>IFERROR(FundManager[[#This Row],[Current Value]]-FundManager[[#This Row],[Amount Invested]]," ")</f>
        <v>0</v>
      </c>
      <c r="K848" s="14" t="str">
        <f t="shared" si="27"/>
        <v xml:space="preserve"> </v>
      </c>
      <c r="L848" s="15" t="str" cm="1">
        <f t="array" ref="L848">IFERROR(ROUND(_FV(B848,"Change (%)",TRUE),3) &amp; "%"," ")</f>
        <v xml:space="preserve"> </v>
      </c>
    </row>
    <row r="849" spans="1:12" x14ac:dyDescent="0.25">
      <c r="A849" s="19"/>
      <c r="C849" s="10" t="str" cm="1">
        <f t="array" ref="C849">IFERROR(_FV(FundManager[[#This Row],[Name]],"Ticker symbol",TRUE)," ")</f>
        <v xml:space="preserve"> </v>
      </c>
      <c r="E849" s="13"/>
      <c r="F849" s="13"/>
      <c r="G849" s="10" t="str">
        <f t="shared" si="26"/>
        <v xml:space="preserve"> </v>
      </c>
      <c r="H849" s="13"/>
      <c r="I849" s="24"/>
      <c r="J849" s="13">
        <f>IFERROR(FundManager[[#This Row],[Current Value]]-FundManager[[#This Row],[Amount Invested]]," ")</f>
        <v>0</v>
      </c>
      <c r="K849" s="14" t="str">
        <f t="shared" si="27"/>
        <v xml:space="preserve"> </v>
      </c>
      <c r="L849" s="15" t="str" cm="1">
        <f t="array" ref="L849">IFERROR(ROUND(_FV(B849,"Change (%)",TRUE),3) &amp; "%"," ")</f>
        <v xml:space="preserve"> </v>
      </c>
    </row>
    <row r="850" spans="1:12" x14ac:dyDescent="0.25">
      <c r="A850" s="19"/>
      <c r="C850" s="10" t="str" cm="1">
        <f t="array" ref="C850">IFERROR(_FV(FundManager[[#This Row],[Name]],"Ticker symbol",TRUE)," ")</f>
        <v xml:space="preserve"> </v>
      </c>
      <c r="E850" s="13"/>
      <c r="F850" s="13"/>
      <c r="G850" s="10" t="str">
        <f t="shared" si="26"/>
        <v xml:space="preserve"> </v>
      </c>
      <c r="H850" s="13"/>
      <c r="I850" s="24"/>
      <c r="J850" s="13">
        <f>IFERROR(FundManager[[#This Row],[Current Value]]-FundManager[[#This Row],[Amount Invested]]," ")</f>
        <v>0</v>
      </c>
      <c r="K850" s="14" t="str">
        <f t="shared" si="27"/>
        <v xml:space="preserve"> </v>
      </c>
      <c r="L850" s="15" t="str" cm="1">
        <f t="array" ref="L850">IFERROR(ROUND(_FV(B850,"Change (%)",TRUE),3) &amp; "%"," ")</f>
        <v xml:space="preserve"> </v>
      </c>
    </row>
    <row r="851" spans="1:12" x14ac:dyDescent="0.25">
      <c r="A851" s="19"/>
      <c r="C851" s="10" t="str" cm="1">
        <f t="array" ref="C851">IFERROR(_FV(FundManager[[#This Row],[Name]],"Ticker symbol",TRUE)," ")</f>
        <v xml:space="preserve"> </v>
      </c>
      <c r="E851" s="13"/>
      <c r="F851" s="13"/>
      <c r="G851" s="10" t="str">
        <f t="shared" si="26"/>
        <v xml:space="preserve"> </v>
      </c>
      <c r="H851" s="13"/>
      <c r="I851" s="24"/>
      <c r="J851" s="13">
        <f>IFERROR(FundManager[[#This Row],[Current Value]]-FundManager[[#This Row],[Amount Invested]]," ")</f>
        <v>0</v>
      </c>
      <c r="K851" s="14" t="str">
        <f t="shared" si="27"/>
        <v xml:space="preserve"> </v>
      </c>
      <c r="L851" s="15" t="str" cm="1">
        <f t="array" ref="L851">IFERROR(ROUND(_FV(B851,"Change (%)",TRUE),3) &amp; "%"," ")</f>
        <v xml:space="preserve"> </v>
      </c>
    </row>
    <row r="852" spans="1:12" x14ac:dyDescent="0.25">
      <c r="A852" s="19"/>
      <c r="C852" s="10" t="str" cm="1">
        <f t="array" ref="C852">IFERROR(_FV(FundManager[[#This Row],[Name]],"Ticker symbol",TRUE)," ")</f>
        <v xml:space="preserve"> </v>
      </c>
      <c r="E852" s="13"/>
      <c r="F852" s="13"/>
      <c r="G852" s="10" t="str">
        <f t="shared" si="26"/>
        <v xml:space="preserve"> </v>
      </c>
      <c r="H852" s="13"/>
      <c r="I852" s="24"/>
      <c r="J852" s="13">
        <f>IFERROR(FundManager[[#This Row],[Current Value]]-FundManager[[#This Row],[Amount Invested]]," ")</f>
        <v>0</v>
      </c>
      <c r="K852" s="14" t="str">
        <f t="shared" si="27"/>
        <v xml:space="preserve"> </v>
      </c>
      <c r="L852" s="15" t="str" cm="1">
        <f t="array" ref="L852">IFERROR(ROUND(_FV(B852,"Change (%)",TRUE),3) &amp; "%"," ")</f>
        <v xml:space="preserve"> </v>
      </c>
    </row>
    <row r="853" spans="1:12" x14ac:dyDescent="0.25">
      <c r="A853" s="19"/>
      <c r="C853" s="10" t="str" cm="1">
        <f t="array" ref="C853">IFERROR(_FV(FundManager[[#This Row],[Name]],"Ticker symbol",TRUE)," ")</f>
        <v xml:space="preserve"> </v>
      </c>
      <c r="E853" s="13"/>
      <c r="F853" s="13"/>
      <c r="G853" s="10" t="str">
        <f t="shared" si="26"/>
        <v xml:space="preserve"> </v>
      </c>
      <c r="H853" s="13"/>
      <c r="I853" s="24"/>
      <c r="J853" s="13">
        <f>IFERROR(FundManager[[#This Row],[Current Value]]-FundManager[[#This Row],[Amount Invested]]," ")</f>
        <v>0</v>
      </c>
      <c r="K853" s="14" t="str">
        <f t="shared" si="27"/>
        <v xml:space="preserve"> </v>
      </c>
      <c r="L853" s="15" t="str" cm="1">
        <f t="array" ref="L853">IFERROR(ROUND(_FV(B853,"Change (%)",TRUE),3) &amp; "%"," ")</f>
        <v xml:space="preserve"> </v>
      </c>
    </row>
    <row r="854" spans="1:12" x14ac:dyDescent="0.25">
      <c r="A854" s="19"/>
      <c r="C854" s="10" t="str" cm="1">
        <f t="array" ref="C854">IFERROR(_FV(FundManager[[#This Row],[Name]],"Ticker symbol",TRUE)," ")</f>
        <v xml:space="preserve"> </v>
      </c>
      <c r="E854" s="13"/>
      <c r="F854" s="13"/>
      <c r="G854" s="10" t="str">
        <f t="shared" si="26"/>
        <v xml:space="preserve"> </v>
      </c>
      <c r="H854" s="13"/>
      <c r="I854" s="24"/>
      <c r="J854" s="13">
        <f>IFERROR(FundManager[[#This Row],[Current Value]]-FundManager[[#This Row],[Amount Invested]]," ")</f>
        <v>0</v>
      </c>
      <c r="K854" s="14" t="str">
        <f t="shared" si="27"/>
        <v xml:space="preserve"> </v>
      </c>
      <c r="L854" s="15" t="str" cm="1">
        <f t="array" ref="L854">IFERROR(ROUND(_FV(B854,"Change (%)",TRUE),3) &amp; "%"," ")</f>
        <v xml:space="preserve"> </v>
      </c>
    </row>
    <row r="855" spans="1:12" x14ac:dyDescent="0.25">
      <c r="A855" s="19"/>
      <c r="C855" s="10" t="str" cm="1">
        <f t="array" ref="C855">IFERROR(_FV(FundManager[[#This Row],[Name]],"Ticker symbol",TRUE)," ")</f>
        <v xml:space="preserve"> </v>
      </c>
      <c r="E855" s="13"/>
      <c r="F855" s="13"/>
      <c r="G855" s="10" t="str">
        <f t="shared" ref="G855:G918" si="28">IFERROR(H855/E855," ")</f>
        <v xml:space="preserve"> </v>
      </c>
      <c r="H855" s="13"/>
      <c r="I855" s="24"/>
      <c r="J855" s="13">
        <f>IFERROR(FundManager[[#This Row],[Current Value]]-FundManager[[#This Row],[Amount Invested]]," ")</f>
        <v>0</v>
      </c>
      <c r="K855" s="14" t="str">
        <f t="shared" ref="K855:K918" si="29">IFERROR((I855-H855)/H855," ")</f>
        <v xml:space="preserve"> </v>
      </c>
      <c r="L855" s="15" t="str" cm="1">
        <f t="array" ref="L855">IFERROR(ROUND(_FV(B855,"Change (%)",TRUE),3) &amp; "%"," ")</f>
        <v xml:space="preserve"> </v>
      </c>
    </row>
    <row r="856" spans="1:12" x14ac:dyDescent="0.25">
      <c r="A856" s="19"/>
      <c r="C856" s="10" t="str" cm="1">
        <f t="array" ref="C856">IFERROR(_FV(FundManager[[#This Row],[Name]],"Ticker symbol",TRUE)," ")</f>
        <v xml:space="preserve"> </v>
      </c>
      <c r="E856" s="13"/>
      <c r="F856" s="13"/>
      <c r="G856" s="10" t="str">
        <f t="shared" si="28"/>
        <v xml:space="preserve"> </v>
      </c>
      <c r="H856" s="13"/>
      <c r="I856" s="24"/>
      <c r="J856" s="13">
        <f>IFERROR(FundManager[[#This Row],[Current Value]]-FundManager[[#This Row],[Amount Invested]]," ")</f>
        <v>0</v>
      </c>
      <c r="K856" s="14" t="str">
        <f t="shared" si="29"/>
        <v xml:space="preserve"> </v>
      </c>
      <c r="L856" s="15" t="str" cm="1">
        <f t="array" ref="L856">IFERROR(ROUND(_FV(B856,"Change (%)",TRUE),3) &amp; "%"," ")</f>
        <v xml:space="preserve"> </v>
      </c>
    </row>
    <row r="857" spans="1:12" x14ac:dyDescent="0.25">
      <c r="A857" s="19"/>
      <c r="C857" s="10" t="str" cm="1">
        <f t="array" ref="C857">IFERROR(_FV(FundManager[[#This Row],[Name]],"Ticker symbol",TRUE)," ")</f>
        <v xml:space="preserve"> </v>
      </c>
      <c r="E857" s="13"/>
      <c r="F857" s="13"/>
      <c r="G857" s="10" t="str">
        <f t="shared" si="28"/>
        <v xml:space="preserve"> </v>
      </c>
      <c r="H857" s="13"/>
      <c r="I857" s="24"/>
      <c r="J857" s="13">
        <f>IFERROR(FundManager[[#This Row],[Current Value]]-FundManager[[#This Row],[Amount Invested]]," ")</f>
        <v>0</v>
      </c>
      <c r="K857" s="14" t="str">
        <f t="shared" si="29"/>
        <v xml:space="preserve"> </v>
      </c>
      <c r="L857" s="15" t="str" cm="1">
        <f t="array" ref="L857">IFERROR(ROUND(_FV(B857,"Change (%)",TRUE),3) &amp; "%"," ")</f>
        <v xml:space="preserve"> </v>
      </c>
    </row>
    <row r="858" spans="1:12" x14ac:dyDescent="0.25">
      <c r="A858" s="19"/>
      <c r="C858" s="10" t="str" cm="1">
        <f t="array" ref="C858">IFERROR(_FV(FundManager[[#This Row],[Name]],"Ticker symbol",TRUE)," ")</f>
        <v xml:space="preserve"> </v>
      </c>
      <c r="E858" s="13"/>
      <c r="F858" s="13"/>
      <c r="G858" s="10" t="str">
        <f t="shared" si="28"/>
        <v xml:space="preserve"> </v>
      </c>
      <c r="H858" s="13"/>
      <c r="I858" s="24"/>
      <c r="J858" s="13">
        <f>IFERROR(FundManager[[#This Row],[Current Value]]-FundManager[[#This Row],[Amount Invested]]," ")</f>
        <v>0</v>
      </c>
      <c r="K858" s="14" t="str">
        <f t="shared" si="29"/>
        <v xml:space="preserve"> </v>
      </c>
      <c r="L858" s="15" t="str" cm="1">
        <f t="array" ref="L858">IFERROR(ROUND(_FV(B858,"Change (%)",TRUE),3) &amp; "%"," ")</f>
        <v xml:space="preserve"> </v>
      </c>
    </row>
    <row r="859" spans="1:12" x14ac:dyDescent="0.25">
      <c r="A859" s="19"/>
      <c r="C859" s="10" t="str" cm="1">
        <f t="array" ref="C859">IFERROR(_FV(FundManager[[#This Row],[Name]],"Ticker symbol",TRUE)," ")</f>
        <v xml:space="preserve"> </v>
      </c>
      <c r="E859" s="13"/>
      <c r="F859" s="13"/>
      <c r="G859" s="10" t="str">
        <f t="shared" si="28"/>
        <v xml:space="preserve"> </v>
      </c>
      <c r="H859" s="13"/>
      <c r="I859" s="24"/>
      <c r="J859" s="13">
        <f>IFERROR(FundManager[[#This Row],[Current Value]]-FundManager[[#This Row],[Amount Invested]]," ")</f>
        <v>0</v>
      </c>
      <c r="K859" s="14" t="str">
        <f t="shared" si="29"/>
        <v xml:space="preserve"> </v>
      </c>
      <c r="L859" s="15" t="str" cm="1">
        <f t="array" ref="L859">IFERROR(ROUND(_FV(B859,"Change (%)",TRUE),3) &amp; "%"," ")</f>
        <v xml:space="preserve"> </v>
      </c>
    </row>
    <row r="860" spans="1:12" x14ac:dyDescent="0.25">
      <c r="A860" s="19"/>
      <c r="C860" s="10" t="str" cm="1">
        <f t="array" ref="C860">IFERROR(_FV(FundManager[[#This Row],[Name]],"Ticker symbol",TRUE)," ")</f>
        <v xml:space="preserve"> </v>
      </c>
      <c r="E860" s="13"/>
      <c r="F860" s="13"/>
      <c r="G860" s="10" t="str">
        <f t="shared" si="28"/>
        <v xml:space="preserve"> </v>
      </c>
      <c r="H860" s="13"/>
      <c r="I860" s="24"/>
      <c r="J860" s="13">
        <f>IFERROR(FundManager[[#This Row],[Current Value]]-FundManager[[#This Row],[Amount Invested]]," ")</f>
        <v>0</v>
      </c>
      <c r="K860" s="14" t="str">
        <f t="shared" si="29"/>
        <v xml:space="preserve"> </v>
      </c>
      <c r="L860" s="15" t="str" cm="1">
        <f t="array" ref="L860">IFERROR(ROUND(_FV(B860,"Change (%)",TRUE),3) &amp; "%"," ")</f>
        <v xml:space="preserve"> </v>
      </c>
    </row>
    <row r="861" spans="1:12" x14ac:dyDescent="0.25">
      <c r="A861" s="19"/>
      <c r="C861" s="10" t="str" cm="1">
        <f t="array" ref="C861">IFERROR(_FV(FundManager[[#This Row],[Name]],"Ticker symbol",TRUE)," ")</f>
        <v xml:space="preserve"> </v>
      </c>
      <c r="E861" s="13"/>
      <c r="F861" s="13"/>
      <c r="G861" s="10" t="str">
        <f t="shared" si="28"/>
        <v xml:space="preserve"> </v>
      </c>
      <c r="H861" s="13"/>
      <c r="I861" s="24"/>
      <c r="J861" s="13">
        <f>IFERROR(FundManager[[#This Row],[Current Value]]-FundManager[[#This Row],[Amount Invested]]," ")</f>
        <v>0</v>
      </c>
      <c r="K861" s="14" t="str">
        <f t="shared" si="29"/>
        <v xml:space="preserve"> </v>
      </c>
      <c r="L861" s="15" t="str" cm="1">
        <f t="array" ref="L861">IFERROR(ROUND(_FV(B861,"Change (%)",TRUE),3) &amp; "%"," ")</f>
        <v xml:space="preserve"> </v>
      </c>
    </row>
    <row r="862" spans="1:12" x14ac:dyDescent="0.25">
      <c r="A862" s="19"/>
      <c r="C862" s="10" t="str" cm="1">
        <f t="array" ref="C862">IFERROR(_FV(FundManager[[#This Row],[Name]],"Ticker symbol",TRUE)," ")</f>
        <v xml:space="preserve"> </v>
      </c>
      <c r="E862" s="13"/>
      <c r="F862" s="13"/>
      <c r="G862" s="10" t="str">
        <f t="shared" si="28"/>
        <v xml:space="preserve"> </v>
      </c>
      <c r="H862" s="13"/>
      <c r="I862" s="24"/>
      <c r="J862" s="13">
        <f>IFERROR(FundManager[[#This Row],[Current Value]]-FundManager[[#This Row],[Amount Invested]]," ")</f>
        <v>0</v>
      </c>
      <c r="K862" s="14" t="str">
        <f t="shared" si="29"/>
        <v xml:space="preserve"> </v>
      </c>
      <c r="L862" s="15" t="str" cm="1">
        <f t="array" ref="L862">IFERROR(ROUND(_FV(B862,"Change (%)",TRUE),3) &amp; "%"," ")</f>
        <v xml:space="preserve"> </v>
      </c>
    </row>
    <row r="863" spans="1:12" x14ac:dyDescent="0.25">
      <c r="A863" s="19"/>
      <c r="C863" s="10" t="str" cm="1">
        <f t="array" ref="C863">IFERROR(_FV(FundManager[[#This Row],[Name]],"Ticker symbol",TRUE)," ")</f>
        <v xml:space="preserve"> </v>
      </c>
      <c r="E863" s="13"/>
      <c r="F863" s="13"/>
      <c r="G863" s="10" t="str">
        <f t="shared" si="28"/>
        <v xml:space="preserve"> </v>
      </c>
      <c r="H863" s="13"/>
      <c r="I863" s="24"/>
      <c r="J863" s="13">
        <f>IFERROR(FundManager[[#This Row],[Current Value]]-FundManager[[#This Row],[Amount Invested]]," ")</f>
        <v>0</v>
      </c>
      <c r="K863" s="14" t="str">
        <f t="shared" si="29"/>
        <v xml:space="preserve"> </v>
      </c>
      <c r="L863" s="15" t="str" cm="1">
        <f t="array" ref="L863">IFERROR(ROUND(_FV(B863,"Change (%)",TRUE),3) &amp; "%"," ")</f>
        <v xml:space="preserve"> </v>
      </c>
    </row>
    <row r="864" spans="1:12" x14ac:dyDescent="0.25">
      <c r="A864" s="19"/>
      <c r="C864" s="10" t="str" cm="1">
        <f t="array" ref="C864">IFERROR(_FV(FundManager[[#This Row],[Name]],"Ticker symbol",TRUE)," ")</f>
        <v xml:space="preserve"> </v>
      </c>
      <c r="E864" s="13"/>
      <c r="F864" s="13"/>
      <c r="G864" s="10" t="str">
        <f t="shared" si="28"/>
        <v xml:space="preserve"> </v>
      </c>
      <c r="H864" s="13"/>
      <c r="I864" s="24"/>
      <c r="J864" s="13">
        <f>IFERROR(FundManager[[#This Row],[Current Value]]-FundManager[[#This Row],[Amount Invested]]," ")</f>
        <v>0</v>
      </c>
      <c r="K864" s="14" t="str">
        <f t="shared" si="29"/>
        <v xml:space="preserve"> </v>
      </c>
      <c r="L864" s="15" t="str" cm="1">
        <f t="array" ref="L864">IFERROR(ROUND(_FV(B864,"Change (%)",TRUE),3) &amp; "%"," ")</f>
        <v xml:space="preserve"> </v>
      </c>
    </row>
    <row r="865" spans="1:12" x14ac:dyDescent="0.25">
      <c r="A865" s="19"/>
      <c r="C865" s="10" t="str" cm="1">
        <f t="array" ref="C865">IFERROR(_FV(FundManager[[#This Row],[Name]],"Ticker symbol",TRUE)," ")</f>
        <v xml:space="preserve"> </v>
      </c>
      <c r="E865" s="13"/>
      <c r="F865" s="13"/>
      <c r="G865" s="10" t="str">
        <f t="shared" si="28"/>
        <v xml:space="preserve"> </v>
      </c>
      <c r="H865" s="13"/>
      <c r="I865" s="24"/>
      <c r="J865" s="13">
        <f>IFERROR(FundManager[[#This Row],[Current Value]]-FundManager[[#This Row],[Amount Invested]]," ")</f>
        <v>0</v>
      </c>
      <c r="K865" s="14" t="str">
        <f t="shared" si="29"/>
        <v xml:space="preserve"> </v>
      </c>
      <c r="L865" s="15" t="str" cm="1">
        <f t="array" ref="L865">IFERROR(ROUND(_FV(B865,"Change (%)",TRUE),3) &amp; "%"," ")</f>
        <v xml:space="preserve"> </v>
      </c>
    </row>
    <row r="866" spans="1:12" x14ac:dyDescent="0.25">
      <c r="A866" s="19"/>
      <c r="C866" s="10" t="str" cm="1">
        <f t="array" ref="C866">IFERROR(_FV(FundManager[[#This Row],[Name]],"Ticker symbol",TRUE)," ")</f>
        <v xml:space="preserve"> </v>
      </c>
      <c r="E866" s="13"/>
      <c r="F866" s="13"/>
      <c r="G866" s="10" t="str">
        <f t="shared" si="28"/>
        <v xml:space="preserve"> </v>
      </c>
      <c r="H866" s="13"/>
      <c r="I866" s="24"/>
      <c r="J866" s="13">
        <f>IFERROR(FundManager[[#This Row],[Current Value]]-FundManager[[#This Row],[Amount Invested]]," ")</f>
        <v>0</v>
      </c>
      <c r="K866" s="14" t="str">
        <f t="shared" si="29"/>
        <v xml:space="preserve"> </v>
      </c>
      <c r="L866" s="15" t="str" cm="1">
        <f t="array" ref="L866">IFERROR(ROUND(_FV(B866,"Change (%)",TRUE),3) &amp; "%"," ")</f>
        <v xml:space="preserve"> </v>
      </c>
    </row>
    <row r="867" spans="1:12" x14ac:dyDescent="0.25">
      <c r="A867" s="19"/>
      <c r="C867" s="10" t="str" cm="1">
        <f t="array" ref="C867">IFERROR(_FV(FundManager[[#This Row],[Name]],"Ticker symbol",TRUE)," ")</f>
        <v xml:space="preserve"> </v>
      </c>
      <c r="E867" s="13"/>
      <c r="F867" s="13"/>
      <c r="G867" s="10" t="str">
        <f t="shared" si="28"/>
        <v xml:space="preserve"> </v>
      </c>
      <c r="H867" s="13"/>
      <c r="I867" s="24"/>
      <c r="J867" s="13">
        <f>IFERROR(FundManager[[#This Row],[Current Value]]-FundManager[[#This Row],[Amount Invested]]," ")</f>
        <v>0</v>
      </c>
      <c r="K867" s="14" t="str">
        <f t="shared" si="29"/>
        <v xml:space="preserve"> </v>
      </c>
      <c r="L867" s="15" t="str" cm="1">
        <f t="array" ref="L867">IFERROR(ROUND(_FV(B867,"Change (%)",TRUE),3) &amp; "%"," ")</f>
        <v xml:space="preserve"> </v>
      </c>
    </row>
    <row r="868" spans="1:12" x14ac:dyDescent="0.25">
      <c r="A868" s="19"/>
      <c r="C868" s="10" t="str" cm="1">
        <f t="array" ref="C868">IFERROR(_FV(FundManager[[#This Row],[Name]],"Ticker symbol",TRUE)," ")</f>
        <v xml:space="preserve"> </v>
      </c>
      <c r="E868" s="13"/>
      <c r="F868" s="13"/>
      <c r="G868" s="10" t="str">
        <f t="shared" si="28"/>
        <v xml:space="preserve"> </v>
      </c>
      <c r="H868" s="13"/>
      <c r="I868" s="24"/>
      <c r="J868" s="13">
        <f>IFERROR(FundManager[[#This Row],[Current Value]]-FundManager[[#This Row],[Amount Invested]]," ")</f>
        <v>0</v>
      </c>
      <c r="K868" s="14" t="str">
        <f t="shared" si="29"/>
        <v xml:space="preserve"> </v>
      </c>
      <c r="L868" s="15" t="str" cm="1">
        <f t="array" ref="L868">IFERROR(ROUND(_FV(B868,"Change (%)",TRUE),3) &amp; "%"," ")</f>
        <v xml:space="preserve"> </v>
      </c>
    </row>
    <row r="869" spans="1:12" x14ac:dyDescent="0.25">
      <c r="A869" s="19"/>
      <c r="C869" s="10" t="str" cm="1">
        <f t="array" ref="C869">IFERROR(_FV(FundManager[[#This Row],[Name]],"Ticker symbol",TRUE)," ")</f>
        <v xml:space="preserve"> </v>
      </c>
      <c r="E869" s="13"/>
      <c r="F869" s="13"/>
      <c r="G869" s="10" t="str">
        <f t="shared" si="28"/>
        <v xml:space="preserve"> </v>
      </c>
      <c r="H869" s="13"/>
      <c r="I869" s="24"/>
      <c r="J869" s="13">
        <f>IFERROR(FundManager[[#This Row],[Current Value]]-FundManager[[#This Row],[Amount Invested]]," ")</f>
        <v>0</v>
      </c>
      <c r="K869" s="14" t="str">
        <f t="shared" si="29"/>
        <v xml:space="preserve"> </v>
      </c>
      <c r="L869" s="15" t="str" cm="1">
        <f t="array" ref="L869">IFERROR(ROUND(_FV(B869,"Change (%)",TRUE),3) &amp; "%"," ")</f>
        <v xml:space="preserve"> </v>
      </c>
    </row>
    <row r="870" spans="1:12" x14ac:dyDescent="0.25">
      <c r="A870" s="19"/>
      <c r="C870" s="10" t="str" cm="1">
        <f t="array" ref="C870">IFERROR(_FV(FundManager[[#This Row],[Name]],"Ticker symbol",TRUE)," ")</f>
        <v xml:space="preserve"> </v>
      </c>
      <c r="E870" s="13"/>
      <c r="F870" s="13"/>
      <c r="G870" s="10" t="str">
        <f t="shared" si="28"/>
        <v xml:space="preserve"> </v>
      </c>
      <c r="H870" s="13"/>
      <c r="I870" s="24"/>
      <c r="J870" s="13">
        <f>IFERROR(FundManager[[#This Row],[Current Value]]-FundManager[[#This Row],[Amount Invested]]," ")</f>
        <v>0</v>
      </c>
      <c r="K870" s="14" t="str">
        <f t="shared" si="29"/>
        <v xml:space="preserve"> </v>
      </c>
      <c r="L870" s="15" t="str" cm="1">
        <f t="array" ref="L870">IFERROR(ROUND(_FV(B870,"Change (%)",TRUE),3) &amp; "%"," ")</f>
        <v xml:space="preserve"> </v>
      </c>
    </row>
    <row r="871" spans="1:12" x14ac:dyDescent="0.25">
      <c r="A871" s="19"/>
      <c r="C871" s="10" t="str" cm="1">
        <f t="array" ref="C871">IFERROR(_FV(FundManager[[#This Row],[Name]],"Ticker symbol",TRUE)," ")</f>
        <v xml:space="preserve"> </v>
      </c>
      <c r="E871" s="13"/>
      <c r="F871" s="13"/>
      <c r="G871" s="10" t="str">
        <f t="shared" si="28"/>
        <v xml:space="preserve"> </v>
      </c>
      <c r="H871" s="13"/>
      <c r="I871" s="24"/>
      <c r="J871" s="13">
        <f>IFERROR(FundManager[[#This Row],[Current Value]]-FundManager[[#This Row],[Amount Invested]]," ")</f>
        <v>0</v>
      </c>
      <c r="K871" s="14" t="str">
        <f t="shared" si="29"/>
        <v xml:space="preserve"> </v>
      </c>
      <c r="L871" s="15" t="str" cm="1">
        <f t="array" ref="L871">IFERROR(ROUND(_FV(B871,"Change (%)",TRUE),3) &amp; "%"," ")</f>
        <v xml:space="preserve"> </v>
      </c>
    </row>
    <row r="872" spans="1:12" x14ac:dyDescent="0.25">
      <c r="A872" s="19"/>
      <c r="C872" s="10" t="str" cm="1">
        <f t="array" ref="C872">IFERROR(_FV(FundManager[[#This Row],[Name]],"Ticker symbol",TRUE)," ")</f>
        <v xml:space="preserve"> </v>
      </c>
      <c r="E872" s="13"/>
      <c r="F872" s="13"/>
      <c r="G872" s="10" t="str">
        <f t="shared" si="28"/>
        <v xml:space="preserve"> </v>
      </c>
      <c r="H872" s="13"/>
      <c r="I872" s="24"/>
      <c r="J872" s="13">
        <f>IFERROR(FundManager[[#This Row],[Current Value]]-FundManager[[#This Row],[Amount Invested]]," ")</f>
        <v>0</v>
      </c>
      <c r="K872" s="14" t="str">
        <f t="shared" si="29"/>
        <v xml:space="preserve"> </v>
      </c>
      <c r="L872" s="15" t="str" cm="1">
        <f t="array" ref="L872">IFERROR(ROUND(_FV(B872,"Change (%)",TRUE),3) &amp; "%"," ")</f>
        <v xml:space="preserve"> </v>
      </c>
    </row>
    <row r="873" spans="1:12" x14ac:dyDescent="0.25">
      <c r="A873" s="19"/>
      <c r="C873" s="10" t="str" cm="1">
        <f t="array" ref="C873">IFERROR(_FV(FundManager[[#This Row],[Name]],"Ticker symbol",TRUE)," ")</f>
        <v xml:space="preserve"> </v>
      </c>
      <c r="E873" s="13"/>
      <c r="F873" s="13"/>
      <c r="G873" s="10" t="str">
        <f t="shared" si="28"/>
        <v xml:space="preserve"> </v>
      </c>
      <c r="H873" s="13"/>
      <c r="I873" s="24"/>
      <c r="J873" s="13">
        <f>IFERROR(FundManager[[#This Row],[Current Value]]-FundManager[[#This Row],[Amount Invested]]," ")</f>
        <v>0</v>
      </c>
      <c r="K873" s="14" t="str">
        <f t="shared" si="29"/>
        <v xml:space="preserve"> </v>
      </c>
      <c r="L873" s="15" t="str" cm="1">
        <f t="array" ref="L873">IFERROR(ROUND(_FV(B873,"Change (%)",TRUE),3) &amp; "%"," ")</f>
        <v xml:space="preserve"> </v>
      </c>
    </row>
    <row r="874" spans="1:12" x14ac:dyDescent="0.25">
      <c r="A874" s="19"/>
      <c r="C874" s="10" t="str" cm="1">
        <f t="array" ref="C874">IFERROR(_FV(FundManager[[#This Row],[Name]],"Ticker symbol",TRUE)," ")</f>
        <v xml:space="preserve"> </v>
      </c>
      <c r="E874" s="13"/>
      <c r="F874" s="13"/>
      <c r="G874" s="10" t="str">
        <f t="shared" si="28"/>
        <v xml:space="preserve"> </v>
      </c>
      <c r="H874" s="13"/>
      <c r="I874" s="24"/>
      <c r="J874" s="13">
        <f>IFERROR(FundManager[[#This Row],[Current Value]]-FundManager[[#This Row],[Amount Invested]]," ")</f>
        <v>0</v>
      </c>
      <c r="K874" s="14" t="str">
        <f t="shared" si="29"/>
        <v xml:space="preserve"> </v>
      </c>
      <c r="L874" s="15" t="str" cm="1">
        <f t="array" ref="L874">IFERROR(ROUND(_FV(B874,"Change (%)",TRUE),3) &amp; "%"," ")</f>
        <v xml:space="preserve"> </v>
      </c>
    </row>
    <row r="875" spans="1:12" x14ac:dyDescent="0.25">
      <c r="A875" s="19"/>
      <c r="C875" s="10" t="str" cm="1">
        <f t="array" ref="C875">IFERROR(_FV(FundManager[[#This Row],[Name]],"Ticker symbol",TRUE)," ")</f>
        <v xml:space="preserve"> </v>
      </c>
      <c r="E875" s="13"/>
      <c r="F875" s="13"/>
      <c r="G875" s="10" t="str">
        <f t="shared" si="28"/>
        <v xml:space="preserve"> </v>
      </c>
      <c r="H875" s="13"/>
      <c r="I875" s="24"/>
      <c r="J875" s="13">
        <f>IFERROR(FundManager[[#This Row],[Current Value]]-FundManager[[#This Row],[Amount Invested]]," ")</f>
        <v>0</v>
      </c>
      <c r="K875" s="14" t="str">
        <f t="shared" si="29"/>
        <v xml:space="preserve"> </v>
      </c>
      <c r="L875" s="15" t="str" cm="1">
        <f t="array" ref="L875">IFERROR(ROUND(_FV(B875,"Change (%)",TRUE),3) &amp; "%"," ")</f>
        <v xml:space="preserve"> </v>
      </c>
    </row>
    <row r="876" spans="1:12" x14ac:dyDescent="0.25">
      <c r="A876" s="19"/>
      <c r="C876" s="10" t="str" cm="1">
        <f t="array" ref="C876">IFERROR(_FV(FundManager[[#This Row],[Name]],"Ticker symbol",TRUE)," ")</f>
        <v xml:space="preserve"> </v>
      </c>
      <c r="E876" s="13"/>
      <c r="F876" s="13"/>
      <c r="G876" s="10" t="str">
        <f t="shared" si="28"/>
        <v xml:space="preserve"> </v>
      </c>
      <c r="H876" s="13"/>
      <c r="I876" s="24"/>
      <c r="J876" s="13">
        <f>IFERROR(FundManager[[#This Row],[Current Value]]-FundManager[[#This Row],[Amount Invested]]," ")</f>
        <v>0</v>
      </c>
      <c r="K876" s="14" t="str">
        <f t="shared" si="29"/>
        <v xml:space="preserve"> </v>
      </c>
      <c r="L876" s="15" t="str" cm="1">
        <f t="array" ref="L876">IFERROR(ROUND(_FV(B876,"Change (%)",TRUE),3) &amp; "%"," ")</f>
        <v xml:space="preserve"> </v>
      </c>
    </row>
    <row r="877" spans="1:12" x14ac:dyDescent="0.25">
      <c r="A877" s="19"/>
      <c r="C877" s="10" t="str" cm="1">
        <f t="array" ref="C877">IFERROR(_FV(FundManager[[#This Row],[Name]],"Ticker symbol",TRUE)," ")</f>
        <v xml:space="preserve"> </v>
      </c>
      <c r="E877" s="13"/>
      <c r="F877" s="13"/>
      <c r="G877" s="10" t="str">
        <f t="shared" si="28"/>
        <v xml:space="preserve"> </v>
      </c>
      <c r="H877" s="13"/>
      <c r="I877" s="24"/>
      <c r="J877" s="13">
        <f>IFERROR(FundManager[[#This Row],[Current Value]]-FundManager[[#This Row],[Amount Invested]]," ")</f>
        <v>0</v>
      </c>
      <c r="K877" s="14" t="str">
        <f t="shared" si="29"/>
        <v xml:space="preserve"> </v>
      </c>
      <c r="L877" s="15" t="str" cm="1">
        <f t="array" ref="L877">IFERROR(ROUND(_FV(B877,"Change (%)",TRUE),3) &amp; "%"," ")</f>
        <v xml:space="preserve"> </v>
      </c>
    </row>
    <row r="878" spans="1:12" x14ac:dyDescent="0.25">
      <c r="A878" s="19"/>
      <c r="C878" s="10" t="str" cm="1">
        <f t="array" ref="C878">IFERROR(_FV(FundManager[[#This Row],[Name]],"Ticker symbol",TRUE)," ")</f>
        <v xml:space="preserve"> </v>
      </c>
      <c r="E878" s="13"/>
      <c r="F878" s="13"/>
      <c r="G878" s="10" t="str">
        <f t="shared" si="28"/>
        <v xml:space="preserve"> </v>
      </c>
      <c r="H878" s="13"/>
      <c r="I878" s="24"/>
      <c r="J878" s="13">
        <f>IFERROR(FundManager[[#This Row],[Current Value]]-FundManager[[#This Row],[Amount Invested]]," ")</f>
        <v>0</v>
      </c>
      <c r="K878" s="14" t="str">
        <f t="shared" si="29"/>
        <v xml:space="preserve"> </v>
      </c>
      <c r="L878" s="15" t="str" cm="1">
        <f t="array" ref="L878">IFERROR(ROUND(_FV(B878,"Change (%)",TRUE),3) &amp; "%"," ")</f>
        <v xml:space="preserve"> </v>
      </c>
    </row>
    <row r="879" spans="1:12" x14ac:dyDescent="0.25">
      <c r="A879" s="19"/>
      <c r="C879" s="10" t="str" cm="1">
        <f t="array" ref="C879">IFERROR(_FV(FundManager[[#This Row],[Name]],"Ticker symbol",TRUE)," ")</f>
        <v xml:space="preserve"> </v>
      </c>
      <c r="E879" s="13"/>
      <c r="F879" s="13"/>
      <c r="G879" s="10" t="str">
        <f t="shared" si="28"/>
        <v xml:space="preserve"> </v>
      </c>
      <c r="H879" s="13"/>
      <c r="I879" s="24"/>
      <c r="J879" s="13">
        <f>IFERROR(FundManager[[#This Row],[Current Value]]-FundManager[[#This Row],[Amount Invested]]," ")</f>
        <v>0</v>
      </c>
      <c r="K879" s="14" t="str">
        <f t="shared" si="29"/>
        <v xml:space="preserve"> </v>
      </c>
      <c r="L879" s="15" t="str" cm="1">
        <f t="array" ref="L879">IFERROR(ROUND(_FV(B879,"Change (%)",TRUE),3) &amp; "%"," ")</f>
        <v xml:space="preserve"> </v>
      </c>
    </row>
    <row r="880" spans="1:12" x14ac:dyDescent="0.25">
      <c r="A880" s="19"/>
      <c r="C880" s="10" t="str" cm="1">
        <f t="array" ref="C880">IFERROR(_FV(FundManager[[#This Row],[Name]],"Ticker symbol",TRUE)," ")</f>
        <v xml:space="preserve"> </v>
      </c>
      <c r="E880" s="13"/>
      <c r="F880" s="13"/>
      <c r="G880" s="10" t="str">
        <f t="shared" si="28"/>
        <v xml:space="preserve"> </v>
      </c>
      <c r="H880" s="13"/>
      <c r="I880" s="24"/>
      <c r="J880" s="13">
        <f>IFERROR(FundManager[[#This Row],[Current Value]]-FundManager[[#This Row],[Amount Invested]]," ")</f>
        <v>0</v>
      </c>
      <c r="K880" s="14" t="str">
        <f t="shared" si="29"/>
        <v xml:space="preserve"> </v>
      </c>
      <c r="L880" s="15" t="str" cm="1">
        <f t="array" ref="L880">IFERROR(ROUND(_FV(B880,"Change (%)",TRUE),3) &amp; "%"," ")</f>
        <v xml:space="preserve"> </v>
      </c>
    </row>
    <row r="881" spans="1:12" x14ac:dyDescent="0.25">
      <c r="A881" s="19"/>
      <c r="C881" s="10" t="str" cm="1">
        <f t="array" ref="C881">IFERROR(_FV(FundManager[[#This Row],[Name]],"Ticker symbol",TRUE)," ")</f>
        <v xml:space="preserve"> </v>
      </c>
      <c r="E881" s="13"/>
      <c r="F881" s="13"/>
      <c r="G881" s="10" t="str">
        <f t="shared" si="28"/>
        <v xml:space="preserve"> </v>
      </c>
      <c r="H881" s="13"/>
      <c r="I881" s="24"/>
      <c r="J881" s="13">
        <f>IFERROR(FundManager[[#This Row],[Current Value]]-FundManager[[#This Row],[Amount Invested]]," ")</f>
        <v>0</v>
      </c>
      <c r="K881" s="14" t="str">
        <f t="shared" si="29"/>
        <v xml:space="preserve"> </v>
      </c>
      <c r="L881" s="15" t="str" cm="1">
        <f t="array" ref="L881">IFERROR(ROUND(_FV(B881,"Change (%)",TRUE),3) &amp; "%"," ")</f>
        <v xml:space="preserve"> </v>
      </c>
    </row>
    <row r="882" spans="1:12" x14ac:dyDescent="0.25">
      <c r="A882" s="19"/>
      <c r="C882" s="10" t="str" cm="1">
        <f t="array" ref="C882">IFERROR(_FV(FundManager[[#This Row],[Name]],"Ticker symbol",TRUE)," ")</f>
        <v xml:space="preserve"> </v>
      </c>
      <c r="E882" s="13"/>
      <c r="F882" s="13"/>
      <c r="G882" s="10" t="str">
        <f t="shared" si="28"/>
        <v xml:space="preserve"> </v>
      </c>
      <c r="H882" s="13"/>
      <c r="I882" s="24"/>
      <c r="J882" s="13">
        <f>IFERROR(FundManager[[#This Row],[Current Value]]-FundManager[[#This Row],[Amount Invested]]," ")</f>
        <v>0</v>
      </c>
      <c r="K882" s="14" t="str">
        <f t="shared" si="29"/>
        <v xml:space="preserve"> </v>
      </c>
      <c r="L882" s="15" t="str" cm="1">
        <f t="array" ref="L882">IFERROR(ROUND(_FV(B882,"Change (%)",TRUE),3) &amp; "%"," ")</f>
        <v xml:space="preserve"> </v>
      </c>
    </row>
    <row r="883" spans="1:12" x14ac:dyDescent="0.25">
      <c r="A883" s="19"/>
      <c r="C883" s="10" t="str" cm="1">
        <f t="array" ref="C883">IFERROR(_FV(FundManager[[#This Row],[Name]],"Ticker symbol",TRUE)," ")</f>
        <v xml:space="preserve"> </v>
      </c>
      <c r="E883" s="13"/>
      <c r="F883" s="13"/>
      <c r="G883" s="10" t="str">
        <f t="shared" si="28"/>
        <v xml:space="preserve"> </v>
      </c>
      <c r="H883" s="13"/>
      <c r="I883" s="24"/>
      <c r="J883" s="13">
        <f>IFERROR(FundManager[[#This Row],[Current Value]]-FundManager[[#This Row],[Amount Invested]]," ")</f>
        <v>0</v>
      </c>
      <c r="K883" s="14" t="str">
        <f t="shared" si="29"/>
        <v xml:space="preserve"> </v>
      </c>
      <c r="L883" s="15" t="str" cm="1">
        <f t="array" ref="L883">IFERROR(ROUND(_FV(B883,"Change (%)",TRUE),3) &amp; "%"," ")</f>
        <v xml:space="preserve"> </v>
      </c>
    </row>
    <row r="884" spans="1:12" x14ac:dyDescent="0.25">
      <c r="A884" s="19"/>
      <c r="C884" s="10" t="str" cm="1">
        <f t="array" ref="C884">IFERROR(_FV(FundManager[[#This Row],[Name]],"Ticker symbol",TRUE)," ")</f>
        <v xml:space="preserve"> </v>
      </c>
      <c r="E884" s="13"/>
      <c r="F884" s="13"/>
      <c r="G884" s="10" t="str">
        <f t="shared" si="28"/>
        <v xml:space="preserve"> </v>
      </c>
      <c r="H884" s="13"/>
      <c r="I884" s="24"/>
      <c r="J884" s="13">
        <f>IFERROR(FundManager[[#This Row],[Current Value]]-FundManager[[#This Row],[Amount Invested]]," ")</f>
        <v>0</v>
      </c>
      <c r="K884" s="14" t="str">
        <f t="shared" si="29"/>
        <v xml:space="preserve"> </v>
      </c>
      <c r="L884" s="15" t="str" cm="1">
        <f t="array" ref="L884">IFERROR(ROUND(_FV(B884,"Change (%)",TRUE),3) &amp; "%"," ")</f>
        <v xml:space="preserve"> </v>
      </c>
    </row>
    <row r="885" spans="1:12" x14ac:dyDescent="0.25">
      <c r="A885" s="19"/>
      <c r="C885" s="10" t="str" cm="1">
        <f t="array" ref="C885">IFERROR(_FV(FundManager[[#This Row],[Name]],"Ticker symbol",TRUE)," ")</f>
        <v xml:space="preserve"> </v>
      </c>
      <c r="E885" s="13"/>
      <c r="F885" s="13"/>
      <c r="G885" s="10" t="str">
        <f t="shared" si="28"/>
        <v xml:space="preserve"> </v>
      </c>
      <c r="H885" s="13"/>
      <c r="I885" s="24"/>
      <c r="J885" s="13">
        <f>IFERROR(FundManager[[#This Row],[Current Value]]-FundManager[[#This Row],[Amount Invested]]," ")</f>
        <v>0</v>
      </c>
      <c r="K885" s="14" t="str">
        <f t="shared" si="29"/>
        <v xml:space="preserve"> </v>
      </c>
      <c r="L885" s="15" t="str" cm="1">
        <f t="array" ref="L885">IFERROR(ROUND(_FV(B885,"Change (%)",TRUE),3) &amp; "%"," ")</f>
        <v xml:space="preserve"> </v>
      </c>
    </row>
    <row r="886" spans="1:12" x14ac:dyDescent="0.25">
      <c r="A886" s="19"/>
      <c r="C886" s="10" t="str" cm="1">
        <f t="array" ref="C886">IFERROR(_FV(FundManager[[#This Row],[Name]],"Ticker symbol",TRUE)," ")</f>
        <v xml:space="preserve"> </v>
      </c>
      <c r="E886" s="13"/>
      <c r="F886" s="13"/>
      <c r="G886" s="10" t="str">
        <f t="shared" si="28"/>
        <v xml:space="preserve"> </v>
      </c>
      <c r="H886" s="13"/>
      <c r="I886" s="24"/>
      <c r="J886" s="13">
        <f>IFERROR(FundManager[[#This Row],[Current Value]]-FundManager[[#This Row],[Amount Invested]]," ")</f>
        <v>0</v>
      </c>
      <c r="K886" s="14" t="str">
        <f t="shared" si="29"/>
        <v xml:space="preserve"> </v>
      </c>
      <c r="L886" s="15" t="str" cm="1">
        <f t="array" ref="L886">IFERROR(ROUND(_FV(B886,"Change (%)",TRUE),3) &amp; "%"," ")</f>
        <v xml:space="preserve"> </v>
      </c>
    </row>
    <row r="887" spans="1:12" x14ac:dyDescent="0.25">
      <c r="A887" s="19"/>
      <c r="C887" s="10" t="str" cm="1">
        <f t="array" ref="C887">IFERROR(_FV(FundManager[[#This Row],[Name]],"Ticker symbol",TRUE)," ")</f>
        <v xml:space="preserve"> </v>
      </c>
      <c r="E887" s="13"/>
      <c r="F887" s="13"/>
      <c r="G887" s="10" t="str">
        <f t="shared" si="28"/>
        <v xml:space="preserve"> </v>
      </c>
      <c r="H887" s="13"/>
      <c r="I887" s="24"/>
      <c r="J887" s="13">
        <f>IFERROR(FundManager[[#This Row],[Current Value]]-FundManager[[#This Row],[Amount Invested]]," ")</f>
        <v>0</v>
      </c>
      <c r="K887" s="14" t="str">
        <f t="shared" si="29"/>
        <v xml:space="preserve"> </v>
      </c>
      <c r="L887" s="15" t="str" cm="1">
        <f t="array" ref="L887">IFERROR(ROUND(_FV(B887,"Change (%)",TRUE),3) &amp; "%"," ")</f>
        <v xml:space="preserve"> </v>
      </c>
    </row>
    <row r="888" spans="1:12" x14ac:dyDescent="0.25">
      <c r="A888" s="19"/>
      <c r="C888" s="10" t="str" cm="1">
        <f t="array" ref="C888">IFERROR(_FV(FundManager[[#This Row],[Name]],"Ticker symbol",TRUE)," ")</f>
        <v xml:space="preserve"> </v>
      </c>
      <c r="E888" s="13"/>
      <c r="F888" s="13"/>
      <c r="G888" s="10" t="str">
        <f t="shared" si="28"/>
        <v xml:space="preserve"> </v>
      </c>
      <c r="H888" s="13"/>
      <c r="I888" s="24"/>
      <c r="J888" s="13">
        <f>IFERROR(FundManager[[#This Row],[Current Value]]-FundManager[[#This Row],[Amount Invested]]," ")</f>
        <v>0</v>
      </c>
      <c r="K888" s="14" t="str">
        <f t="shared" si="29"/>
        <v xml:space="preserve"> </v>
      </c>
      <c r="L888" s="15" t="str" cm="1">
        <f t="array" ref="L888">IFERROR(ROUND(_FV(B888,"Change (%)",TRUE),3) &amp; "%"," ")</f>
        <v xml:space="preserve"> </v>
      </c>
    </row>
    <row r="889" spans="1:12" x14ac:dyDescent="0.25">
      <c r="A889" s="19"/>
      <c r="C889" s="10" t="str" cm="1">
        <f t="array" ref="C889">IFERROR(_FV(FundManager[[#This Row],[Name]],"Ticker symbol",TRUE)," ")</f>
        <v xml:space="preserve"> </v>
      </c>
      <c r="E889" s="13"/>
      <c r="F889" s="13"/>
      <c r="G889" s="10" t="str">
        <f t="shared" si="28"/>
        <v xml:space="preserve"> </v>
      </c>
      <c r="H889" s="13"/>
      <c r="I889" s="24"/>
      <c r="J889" s="13">
        <f>IFERROR(FundManager[[#This Row],[Current Value]]-FundManager[[#This Row],[Amount Invested]]," ")</f>
        <v>0</v>
      </c>
      <c r="K889" s="14" t="str">
        <f t="shared" si="29"/>
        <v xml:space="preserve"> </v>
      </c>
      <c r="L889" s="15" t="str" cm="1">
        <f t="array" ref="L889">IFERROR(ROUND(_FV(B889,"Change (%)",TRUE),3) &amp; "%"," ")</f>
        <v xml:space="preserve"> </v>
      </c>
    </row>
    <row r="890" spans="1:12" x14ac:dyDescent="0.25">
      <c r="A890" s="19"/>
      <c r="C890" s="10" t="str" cm="1">
        <f t="array" ref="C890">IFERROR(_FV(FundManager[[#This Row],[Name]],"Ticker symbol",TRUE)," ")</f>
        <v xml:space="preserve"> </v>
      </c>
      <c r="E890" s="13"/>
      <c r="F890" s="13"/>
      <c r="G890" s="10" t="str">
        <f t="shared" si="28"/>
        <v xml:space="preserve"> </v>
      </c>
      <c r="H890" s="13"/>
      <c r="I890" s="24"/>
      <c r="J890" s="13">
        <f>IFERROR(FundManager[[#This Row],[Current Value]]-FundManager[[#This Row],[Amount Invested]]," ")</f>
        <v>0</v>
      </c>
      <c r="K890" s="14" t="str">
        <f t="shared" si="29"/>
        <v xml:space="preserve"> </v>
      </c>
      <c r="L890" s="15" t="str" cm="1">
        <f t="array" ref="L890">IFERROR(ROUND(_FV(B890,"Change (%)",TRUE),3) &amp; "%"," ")</f>
        <v xml:space="preserve"> </v>
      </c>
    </row>
    <row r="891" spans="1:12" x14ac:dyDescent="0.25">
      <c r="A891" s="19"/>
      <c r="C891" s="10" t="str" cm="1">
        <f t="array" ref="C891">IFERROR(_FV(FundManager[[#This Row],[Name]],"Ticker symbol",TRUE)," ")</f>
        <v xml:space="preserve"> </v>
      </c>
      <c r="E891" s="13"/>
      <c r="F891" s="13"/>
      <c r="G891" s="10" t="str">
        <f t="shared" si="28"/>
        <v xml:space="preserve"> </v>
      </c>
      <c r="H891" s="13"/>
      <c r="I891" s="24"/>
      <c r="J891" s="13">
        <f>IFERROR(FundManager[[#This Row],[Current Value]]-FundManager[[#This Row],[Amount Invested]]," ")</f>
        <v>0</v>
      </c>
      <c r="K891" s="14" t="str">
        <f t="shared" si="29"/>
        <v xml:space="preserve"> </v>
      </c>
      <c r="L891" s="15" t="str" cm="1">
        <f t="array" ref="L891">IFERROR(ROUND(_FV(B891,"Change (%)",TRUE),3) &amp; "%"," ")</f>
        <v xml:space="preserve"> </v>
      </c>
    </row>
    <row r="892" spans="1:12" x14ac:dyDescent="0.25">
      <c r="A892" s="19"/>
      <c r="C892" s="10" t="str" cm="1">
        <f t="array" ref="C892">IFERROR(_FV(FundManager[[#This Row],[Name]],"Ticker symbol",TRUE)," ")</f>
        <v xml:space="preserve"> </v>
      </c>
      <c r="E892" s="13"/>
      <c r="F892" s="13"/>
      <c r="G892" s="10" t="str">
        <f t="shared" si="28"/>
        <v xml:space="preserve"> </v>
      </c>
      <c r="H892" s="13"/>
      <c r="I892" s="24"/>
      <c r="J892" s="13">
        <f>IFERROR(FundManager[[#This Row],[Current Value]]-FundManager[[#This Row],[Amount Invested]]," ")</f>
        <v>0</v>
      </c>
      <c r="K892" s="14" t="str">
        <f t="shared" si="29"/>
        <v xml:space="preserve"> </v>
      </c>
      <c r="L892" s="15" t="str" cm="1">
        <f t="array" ref="L892">IFERROR(ROUND(_FV(B892,"Change (%)",TRUE),3) &amp; "%"," ")</f>
        <v xml:space="preserve"> </v>
      </c>
    </row>
    <row r="893" spans="1:12" x14ac:dyDescent="0.25">
      <c r="A893" s="19"/>
      <c r="C893" s="10" t="str" cm="1">
        <f t="array" ref="C893">IFERROR(_FV(FundManager[[#This Row],[Name]],"Ticker symbol",TRUE)," ")</f>
        <v xml:space="preserve"> </v>
      </c>
      <c r="E893" s="13"/>
      <c r="F893" s="13"/>
      <c r="G893" s="10" t="str">
        <f t="shared" si="28"/>
        <v xml:space="preserve"> </v>
      </c>
      <c r="H893" s="13"/>
      <c r="I893" s="24"/>
      <c r="J893" s="13">
        <f>IFERROR(FundManager[[#This Row],[Current Value]]-FundManager[[#This Row],[Amount Invested]]," ")</f>
        <v>0</v>
      </c>
      <c r="K893" s="14" t="str">
        <f t="shared" si="29"/>
        <v xml:space="preserve"> </v>
      </c>
      <c r="L893" s="15" t="str" cm="1">
        <f t="array" ref="L893">IFERROR(ROUND(_FV(B893,"Change (%)",TRUE),3) &amp; "%"," ")</f>
        <v xml:space="preserve"> </v>
      </c>
    </row>
    <row r="894" spans="1:12" x14ac:dyDescent="0.25">
      <c r="A894" s="19"/>
      <c r="C894" s="10" t="str" cm="1">
        <f t="array" ref="C894">IFERROR(_FV(FundManager[[#This Row],[Name]],"Ticker symbol",TRUE)," ")</f>
        <v xml:space="preserve"> </v>
      </c>
      <c r="E894" s="13"/>
      <c r="F894" s="13"/>
      <c r="G894" s="10" t="str">
        <f t="shared" si="28"/>
        <v xml:space="preserve"> </v>
      </c>
      <c r="H894" s="13"/>
      <c r="I894" s="24"/>
      <c r="J894" s="13">
        <f>IFERROR(FundManager[[#This Row],[Current Value]]-FundManager[[#This Row],[Amount Invested]]," ")</f>
        <v>0</v>
      </c>
      <c r="K894" s="14" t="str">
        <f t="shared" si="29"/>
        <v xml:space="preserve"> </v>
      </c>
      <c r="L894" s="15" t="str" cm="1">
        <f t="array" ref="L894">IFERROR(ROUND(_FV(B894,"Change (%)",TRUE),3) &amp; "%"," ")</f>
        <v xml:space="preserve"> </v>
      </c>
    </row>
    <row r="895" spans="1:12" x14ac:dyDescent="0.25">
      <c r="A895" s="19"/>
      <c r="C895" s="10" t="str" cm="1">
        <f t="array" ref="C895">IFERROR(_FV(FundManager[[#This Row],[Name]],"Ticker symbol",TRUE)," ")</f>
        <v xml:space="preserve"> </v>
      </c>
      <c r="E895" s="13"/>
      <c r="F895" s="13"/>
      <c r="G895" s="10" t="str">
        <f t="shared" si="28"/>
        <v xml:space="preserve"> </v>
      </c>
      <c r="H895" s="13"/>
      <c r="I895" s="24"/>
      <c r="J895" s="13">
        <f>IFERROR(FundManager[[#This Row],[Current Value]]-FundManager[[#This Row],[Amount Invested]]," ")</f>
        <v>0</v>
      </c>
      <c r="K895" s="14" t="str">
        <f t="shared" si="29"/>
        <v xml:space="preserve"> </v>
      </c>
      <c r="L895" s="15" t="str" cm="1">
        <f t="array" ref="L895">IFERROR(ROUND(_FV(B895,"Change (%)",TRUE),3) &amp; "%"," ")</f>
        <v xml:space="preserve"> </v>
      </c>
    </row>
    <row r="896" spans="1:12" x14ac:dyDescent="0.25">
      <c r="A896" s="19"/>
      <c r="C896" s="10" t="str" cm="1">
        <f t="array" ref="C896">IFERROR(_FV(FundManager[[#This Row],[Name]],"Ticker symbol",TRUE)," ")</f>
        <v xml:space="preserve"> </v>
      </c>
      <c r="E896" s="13"/>
      <c r="F896" s="13"/>
      <c r="G896" s="10" t="str">
        <f t="shared" si="28"/>
        <v xml:space="preserve"> </v>
      </c>
      <c r="H896" s="13"/>
      <c r="I896" s="24"/>
      <c r="J896" s="13">
        <f>IFERROR(FundManager[[#This Row],[Current Value]]-FundManager[[#This Row],[Amount Invested]]," ")</f>
        <v>0</v>
      </c>
      <c r="K896" s="14" t="str">
        <f t="shared" si="29"/>
        <v xml:space="preserve"> </v>
      </c>
      <c r="L896" s="15" t="str" cm="1">
        <f t="array" ref="L896">IFERROR(ROUND(_FV(B896,"Change (%)",TRUE),3) &amp; "%"," ")</f>
        <v xml:space="preserve"> </v>
      </c>
    </row>
    <row r="897" spans="1:12" x14ac:dyDescent="0.25">
      <c r="A897" s="19"/>
      <c r="C897" s="10" t="str" cm="1">
        <f t="array" ref="C897">IFERROR(_FV(FundManager[[#This Row],[Name]],"Ticker symbol",TRUE)," ")</f>
        <v xml:space="preserve"> </v>
      </c>
      <c r="E897" s="13"/>
      <c r="F897" s="13"/>
      <c r="G897" s="10" t="str">
        <f t="shared" si="28"/>
        <v xml:space="preserve"> </v>
      </c>
      <c r="H897" s="13"/>
      <c r="I897" s="24"/>
      <c r="J897" s="13">
        <f>IFERROR(FundManager[[#This Row],[Current Value]]-FundManager[[#This Row],[Amount Invested]]," ")</f>
        <v>0</v>
      </c>
      <c r="K897" s="14" t="str">
        <f t="shared" si="29"/>
        <v xml:space="preserve"> </v>
      </c>
      <c r="L897" s="15" t="str" cm="1">
        <f t="array" ref="L897">IFERROR(ROUND(_FV(B897,"Change (%)",TRUE),3) &amp; "%"," ")</f>
        <v xml:space="preserve"> </v>
      </c>
    </row>
    <row r="898" spans="1:12" x14ac:dyDescent="0.25">
      <c r="A898" s="19"/>
      <c r="C898" s="10" t="str" cm="1">
        <f t="array" ref="C898">IFERROR(_FV(FundManager[[#This Row],[Name]],"Ticker symbol",TRUE)," ")</f>
        <v xml:space="preserve"> </v>
      </c>
      <c r="E898" s="13"/>
      <c r="F898" s="13"/>
      <c r="G898" s="10" t="str">
        <f t="shared" si="28"/>
        <v xml:space="preserve"> </v>
      </c>
      <c r="H898" s="13"/>
      <c r="I898" s="24"/>
      <c r="J898" s="13">
        <f>IFERROR(FundManager[[#This Row],[Current Value]]-FundManager[[#This Row],[Amount Invested]]," ")</f>
        <v>0</v>
      </c>
      <c r="K898" s="14" t="str">
        <f t="shared" si="29"/>
        <v xml:space="preserve"> </v>
      </c>
      <c r="L898" s="15" t="str" cm="1">
        <f t="array" ref="L898">IFERROR(ROUND(_FV(B898,"Change (%)",TRUE),3) &amp; "%"," ")</f>
        <v xml:space="preserve"> </v>
      </c>
    </row>
    <row r="899" spans="1:12" x14ac:dyDescent="0.25">
      <c r="A899" s="19"/>
      <c r="C899" s="10" t="str" cm="1">
        <f t="array" ref="C899">IFERROR(_FV(FundManager[[#This Row],[Name]],"Ticker symbol",TRUE)," ")</f>
        <v xml:space="preserve"> </v>
      </c>
      <c r="E899" s="13"/>
      <c r="F899" s="13"/>
      <c r="G899" s="10" t="str">
        <f t="shared" si="28"/>
        <v xml:space="preserve"> </v>
      </c>
      <c r="H899" s="13"/>
      <c r="I899" s="24"/>
      <c r="J899" s="13">
        <f>IFERROR(FundManager[[#This Row],[Current Value]]-FundManager[[#This Row],[Amount Invested]]," ")</f>
        <v>0</v>
      </c>
      <c r="K899" s="14" t="str">
        <f t="shared" si="29"/>
        <v xml:space="preserve"> </v>
      </c>
      <c r="L899" s="15" t="str" cm="1">
        <f t="array" ref="L899">IFERROR(ROUND(_FV(B899,"Change (%)",TRUE),3) &amp; "%"," ")</f>
        <v xml:space="preserve"> </v>
      </c>
    </row>
    <row r="900" spans="1:12" x14ac:dyDescent="0.25">
      <c r="A900" s="19"/>
      <c r="C900" s="10" t="str" cm="1">
        <f t="array" ref="C900">IFERROR(_FV(FundManager[[#This Row],[Name]],"Ticker symbol",TRUE)," ")</f>
        <v xml:space="preserve"> </v>
      </c>
      <c r="E900" s="13"/>
      <c r="F900" s="13"/>
      <c r="G900" s="10" t="str">
        <f t="shared" si="28"/>
        <v xml:space="preserve"> </v>
      </c>
      <c r="H900" s="13"/>
      <c r="I900" s="24"/>
      <c r="J900" s="13">
        <f>IFERROR(FundManager[[#This Row],[Current Value]]-FundManager[[#This Row],[Amount Invested]]," ")</f>
        <v>0</v>
      </c>
      <c r="K900" s="14" t="str">
        <f t="shared" si="29"/>
        <v xml:space="preserve"> </v>
      </c>
      <c r="L900" s="15" t="str" cm="1">
        <f t="array" ref="L900">IFERROR(ROUND(_FV(B900,"Change (%)",TRUE),3) &amp; "%"," ")</f>
        <v xml:space="preserve"> </v>
      </c>
    </row>
    <row r="901" spans="1:12" x14ac:dyDescent="0.25">
      <c r="A901" s="19"/>
      <c r="C901" s="10" t="str" cm="1">
        <f t="array" ref="C901">IFERROR(_FV(FundManager[[#This Row],[Name]],"Ticker symbol",TRUE)," ")</f>
        <v xml:space="preserve"> </v>
      </c>
      <c r="E901" s="13"/>
      <c r="F901" s="13"/>
      <c r="G901" s="10" t="str">
        <f t="shared" si="28"/>
        <v xml:space="preserve"> </v>
      </c>
      <c r="H901" s="13"/>
      <c r="I901" s="24"/>
      <c r="J901" s="13">
        <f>IFERROR(FundManager[[#This Row],[Current Value]]-FundManager[[#This Row],[Amount Invested]]," ")</f>
        <v>0</v>
      </c>
      <c r="K901" s="14" t="str">
        <f t="shared" si="29"/>
        <v xml:space="preserve"> </v>
      </c>
      <c r="L901" s="15" t="str" cm="1">
        <f t="array" ref="L901">IFERROR(ROUND(_FV(B901,"Change (%)",TRUE),3) &amp; "%"," ")</f>
        <v xml:space="preserve"> </v>
      </c>
    </row>
    <row r="902" spans="1:12" x14ac:dyDescent="0.25">
      <c r="A902" s="19"/>
      <c r="C902" s="10" t="str" cm="1">
        <f t="array" ref="C902">IFERROR(_FV(FundManager[[#This Row],[Name]],"Ticker symbol",TRUE)," ")</f>
        <v xml:space="preserve"> </v>
      </c>
      <c r="E902" s="13"/>
      <c r="F902" s="13"/>
      <c r="G902" s="10" t="str">
        <f t="shared" si="28"/>
        <v xml:space="preserve"> </v>
      </c>
      <c r="H902" s="13"/>
      <c r="I902" s="24"/>
      <c r="J902" s="13">
        <f>IFERROR(FundManager[[#This Row],[Current Value]]-FundManager[[#This Row],[Amount Invested]]," ")</f>
        <v>0</v>
      </c>
      <c r="K902" s="14" t="str">
        <f t="shared" si="29"/>
        <v xml:space="preserve"> </v>
      </c>
      <c r="L902" s="15" t="str" cm="1">
        <f t="array" ref="L902">IFERROR(ROUND(_FV(B902,"Change (%)",TRUE),3) &amp; "%"," ")</f>
        <v xml:space="preserve"> </v>
      </c>
    </row>
    <row r="903" spans="1:12" x14ac:dyDescent="0.25">
      <c r="A903" s="19"/>
      <c r="C903" s="10" t="str" cm="1">
        <f t="array" ref="C903">IFERROR(_FV(FundManager[[#This Row],[Name]],"Ticker symbol",TRUE)," ")</f>
        <v xml:space="preserve"> </v>
      </c>
      <c r="E903" s="13"/>
      <c r="F903" s="13"/>
      <c r="G903" s="10" t="str">
        <f t="shared" si="28"/>
        <v xml:space="preserve"> </v>
      </c>
      <c r="H903" s="13"/>
      <c r="I903" s="24"/>
      <c r="J903" s="13">
        <f>IFERROR(FundManager[[#This Row],[Current Value]]-FundManager[[#This Row],[Amount Invested]]," ")</f>
        <v>0</v>
      </c>
      <c r="K903" s="14" t="str">
        <f t="shared" si="29"/>
        <v xml:space="preserve"> </v>
      </c>
      <c r="L903" s="15" t="str" cm="1">
        <f t="array" ref="L903">IFERROR(ROUND(_FV(B903,"Change (%)",TRUE),3) &amp; "%"," ")</f>
        <v xml:space="preserve"> </v>
      </c>
    </row>
    <row r="904" spans="1:12" x14ac:dyDescent="0.25">
      <c r="A904" s="19"/>
      <c r="C904" s="10" t="str" cm="1">
        <f t="array" ref="C904">IFERROR(_FV(FundManager[[#This Row],[Name]],"Ticker symbol",TRUE)," ")</f>
        <v xml:space="preserve"> </v>
      </c>
      <c r="E904" s="13"/>
      <c r="F904" s="13"/>
      <c r="G904" s="10" t="str">
        <f t="shared" si="28"/>
        <v xml:space="preserve"> </v>
      </c>
      <c r="H904" s="13"/>
      <c r="I904" s="24"/>
      <c r="J904" s="13">
        <f>IFERROR(FundManager[[#This Row],[Current Value]]-FundManager[[#This Row],[Amount Invested]]," ")</f>
        <v>0</v>
      </c>
      <c r="K904" s="14" t="str">
        <f t="shared" si="29"/>
        <v xml:space="preserve"> </v>
      </c>
      <c r="L904" s="15" t="str" cm="1">
        <f t="array" ref="L904">IFERROR(ROUND(_FV(B904,"Change (%)",TRUE),3) &amp; "%"," ")</f>
        <v xml:space="preserve"> </v>
      </c>
    </row>
    <row r="905" spans="1:12" x14ac:dyDescent="0.25">
      <c r="A905" s="19"/>
      <c r="C905" s="10" t="str" cm="1">
        <f t="array" ref="C905">IFERROR(_FV(FundManager[[#This Row],[Name]],"Ticker symbol",TRUE)," ")</f>
        <v xml:space="preserve"> </v>
      </c>
      <c r="E905" s="13"/>
      <c r="F905" s="13"/>
      <c r="G905" s="10" t="str">
        <f t="shared" si="28"/>
        <v xml:space="preserve"> </v>
      </c>
      <c r="H905" s="13"/>
      <c r="I905" s="24"/>
      <c r="J905" s="13">
        <f>IFERROR(FundManager[[#This Row],[Current Value]]-FundManager[[#This Row],[Amount Invested]]," ")</f>
        <v>0</v>
      </c>
      <c r="K905" s="14" t="str">
        <f t="shared" si="29"/>
        <v xml:space="preserve"> </v>
      </c>
      <c r="L905" s="15" t="str" cm="1">
        <f t="array" ref="L905">IFERROR(ROUND(_FV(B905,"Change (%)",TRUE),3) &amp; "%"," ")</f>
        <v xml:space="preserve"> </v>
      </c>
    </row>
    <row r="906" spans="1:12" x14ac:dyDescent="0.25">
      <c r="A906" s="19"/>
      <c r="C906" s="10" t="str" cm="1">
        <f t="array" ref="C906">IFERROR(_FV(FundManager[[#This Row],[Name]],"Ticker symbol",TRUE)," ")</f>
        <v xml:space="preserve"> </v>
      </c>
      <c r="E906" s="13"/>
      <c r="F906" s="13"/>
      <c r="G906" s="10" t="str">
        <f t="shared" si="28"/>
        <v xml:space="preserve"> </v>
      </c>
      <c r="H906" s="13"/>
      <c r="I906" s="24"/>
      <c r="J906" s="13">
        <f>IFERROR(FundManager[[#This Row],[Current Value]]-FundManager[[#This Row],[Amount Invested]]," ")</f>
        <v>0</v>
      </c>
      <c r="K906" s="14" t="str">
        <f t="shared" si="29"/>
        <v xml:space="preserve"> </v>
      </c>
      <c r="L906" s="15" t="str" cm="1">
        <f t="array" ref="L906">IFERROR(ROUND(_FV(B906,"Change (%)",TRUE),3) &amp; "%"," ")</f>
        <v xml:space="preserve"> </v>
      </c>
    </row>
    <row r="907" spans="1:12" x14ac:dyDescent="0.25">
      <c r="A907" s="19"/>
      <c r="C907" s="10" t="str" cm="1">
        <f t="array" ref="C907">IFERROR(_FV(FundManager[[#This Row],[Name]],"Ticker symbol",TRUE)," ")</f>
        <v xml:space="preserve"> </v>
      </c>
      <c r="E907" s="13"/>
      <c r="F907" s="13"/>
      <c r="G907" s="10" t="str">
        <f t="shared" si="28"/>
        <v xml:space="preserve"> </v>
      </c>
      <c r="H907" s="13"/>
      <c r="I907" s="24"/>
      <c r="J907" s="13">
        <f>IFERROR(FundManager[[#This Row],[Current Value]]-FundManager[[#This Row],[Amount Invested]]," ")</f>
        <v>0</v>
      </c>
      <c r="K907" s="14" t="str">
        <f t="shared" si="29"/>
        <v xml:space="preserve"> </v>
      </c>
      <c r="L907" s="15" t="str" cm="1">
        <f t="array" ref="L907">IFERROR(ROUND(_FV(B907,"Change (%)",TRUE),3) &amp; "%"," ")</f>
        <v xml:space="preserve"> </v>
      </c>
    </row>
    <row r="908" spans="1:12" x14ac:dyDescent="0.25">
      <c r="A908" s="19"/>
      <c r="C908" s="10" t="str" cm="1">
        <f t="array" ref="C908">IFERROR(_FV(FundManager[[#This Row],[Name]],"Ticker symbol",TRUE)," ")</f>
        <v xml:space="preserve"> </v>
      </c>
      <c r="E908" s="13"/>
      <c r="F908" s="13"/>
      <c r="G908" s="10" t="str">
        <f t="shared" si="28"/>
        <v xml:space="preserve"> </v>
      </c>
      <c r="H908" s="13"/>
      <c r="I908" s="24"/>
      <c r="J908" s="13">
        <f>IFERROR(FundManager[[#This Row],[Current Value]]-FundManager[[#This Row],[Amount Invested]]," ")</f>
        <v>0</v>
      </c>
      <c r="K908" s="14" t="str">
        <f t="shared" si="29"/>
        <v xml:space="preserve"> </v>
      </c>
      <c r="L908" s="15" t="str" cm="1">
        <f t="array" ref="L908">IFERROR(ROUND(_FV(B908,"Change (%)",TRUE),3) &amp; "%"," ")</f>
        <v xml:space="preserve"> </v>
      </c>
    </row>
    <row r="909" spans="1:12" x14ac:dyDescent="0.25">
      <c r="A909" s="19"/>
      <c r="C909" s="10" t="str" cm="1">
        <f t="array" ref="C909">IFERROR(_FV(FundManager[[#This Row],[Name]],"Ticker symbol",TRUE)," ")</f>
        <v xml:space="preserve"> </v>
      </c>
      <c r="E909" s="13"/>
      <c r="F909" s="13"/>
      <c r="G909" s="10" t="str">
        <f t="shared" si="28"/>
        <v xml:space="preserve"> </v>
      </c>
      <c r="H909" s="13"/>
      <c r="I909" s="24"/>
      <c r="J909" s="13">
        <f>IFERROR(FundManager[[#This Row],[Current Value]]-FundManager[[#This Row],[Amount Invested]]," ")</f>
        <v>0</v>
      </c>
      <c r="K909" s="14" t="str">
        <f t="shared" si="29"/>
        <v xml:space="preserve"> </v>
      </c>
      <c r="L909" s="15" t="str" cm="1">
        <f t="array" ref="L909">IFERROR(ROUND(_FV(B909,"Change (%)",TRUE),3) &amp; "%"," ")</f>
        <v xml:space="preserve"> </v>
      </c>
    </row>
    <row r="910" spans="1:12" x14ac:dyDescent="0.25">
      <c r="A910" s="19"/>
      <c r="C910" s="10" t="str" cm="1">
        <f t="array" ref="C910">IFERROR(_FV(FundManager[[#This Row],[Name]],"Ticker symbol",TRUE)," ")</f>
        <v xml:space="preserve"> </v>
      </c>
      <c r="E910" s="13"/>
      <c r="F910" s="13"/>
      <c r="G910" s="10" t="str">
        <f t="shared" si="28"/>
        <v xml:space="preserve"> </v>
      </c>
      <c r="H910" s="13"/>
      <c r="I910" s="24"/>
      <c r="J910" s="13">
        <f>IFERROR(FundManager[[#This Row],[Current Value]]-FundManager[[#This Row],[Amount Invested]]," ")</f>
        <v>0</v>
      </c>
      <c r="K910" s="14" t="str">
        <f t="shared" si="29"/>
        <v xml:space="preserve"> </v>
      </c>
      <c r="L910" s="15" t="str" cm="1">
        <f t="array" ref="L910">IFERROR(ROUND(_FV(B910,"Change (%)",TRUE),3) &amp; "%"," ")</f>
        <v xml:space="preserve"> </v>
      </c>
    </row>
    <row r="911" spans="1:12" x14ac:dyDescent="0.25">
      <c r="A911" s="19"/>
      <c r="C911" s="10" t="str" cm="1">
        <f t="array" ref="C911">IFERROR(_FV(FundManager[[#This Row],[Name]],"Ticker symbol",TRUE)," ")</f>
        <v xml:space="preserve"> </v>
      </c>
      <c r="E911" s="13"/>
      <c r="F911" s="13"/>
      <c r="G911" s="10" t="str">
        <f t="shared" si="28"/>
        <v xml:space="preserve"> </v>
      </c>
      <c r="H911" s="13"/>
      <c r="I911" s="24"/>
      <c r="J911" s="13">
        <f>IFERROR(FundManager[[#This Row],[Current Value]]-FundManager[[#This Row],[Amount Invested]]," ")</f>
        <v>0</v>
      </c>
      <c r="K911" s="14" t="str">
        <f t="shared" si="29"/>
        <v xml:space="preserve"> </v>
      </c>
      <c r="L911" s="15" t="str" cm="1">
        <f t="array" ref="L911">IFERROR(ROUND(_FV(B911,"Change (%)",TRUE),3) &amp; "%"," ")</f>
        <v xml:space="preserve"> </v>
      </c>
    </row>
    <row r="912" spans="1:12" x14ac:dyDescent="0.25">
      <c r="A912" s="19"/>
      <c r="C912" s="10" t="str" cm="1">
        <f t="array" ref="C912">IFERROR(_FV(FundManager[[#This Row],[Name]],"Ticker symbol",TRUE)," ")</f>
        <v xml:space="preserve"> </v>
      </c>
      <c r="E912" s="13"/>
      <c r="F912" s="13"/>
      <c r="G912" s="10" t="str">
        <f t="shared" si="28"/>
        <v xml:space="preserve"> </v>
      </c>
      <c r="H912" s="13"/>
      <c r="I912" s="24"/>
      <c r="J912" s="13">
        <f>IFERROR(FundManager[[#This Row],[Current Value]]-FundManager[[#This Row],[Amount Invested]]," ")</f>
        <v>0</v>
      </c>
      <c r="K912" s="14" t="str">
        <f t="shared" si="29"/>
        <v xml:space="preserve"> </v>
      </c>
      <c r="L912" s="15" t="str" cm="1">
        <f t="array" ref="L912">IFERROR(ROUND(_FV(B912,"Change (%)",TRUE),3) &amp; "%"," ")</f>
        <v xml:space="preserve"> </v>
      </c>
    </row>
    <row r="913" spans="1:12" x14ac:dyDescent="0.25">
      <c r="A913" s="19"/>
      <c r="C913" s="10" t="str" cm="1">
        <f t="array" ref="C913">IFERROR(_FV(FundManager[[#This Row],[Name]],"Ticker symbol",TRUE)," ")</f>
        <v xml:space="preserve"> </v>
      </c>
      <c r="E913" s="13"/>
      <c r="F913" s="13"/>
      <c r="G913" s="10" t="str">
        <f t="shared" si="28"/>
        <v xml:space="preserve"> </v>
      </c>
      <c r="H913" s="13"/>
      <c r="I913" s="24"/>
      <c r="J913" s="13">
        <f>IFERROR(FundManager[[#This Row],[Current Value]]-FundManager[[#This Row],[Amount Invested]]," ")</f>
        <v>0</v>
      </c>
      <c r="K913" s="14" t="str">
        <f t="shared" si="29"/>
        <v xml:space="preserve"> </v>
      </c>
      <c r="L913" s="15" t="str" cm="1">
        <f t="array" ref="L913">IFERROR(ROUND(_FV(B913,"Change (%)",TRUE),3) &amp; "%"," ")</f>
        <v xml:space="preserve"> </v>
      </c>
    </row>
    <row r="914" spans="1:12" x14ac:dyDescent="0.25">
      <c r="A914" s="19"/>
      <c r="C914" s="10" t="str" cm="1">
        <f t="array" ref="C914">IFERROR(_FV(FundManager[[#This Row],[Name]],"Ticker symbol",TRUE)," ")</f>
        <v xml:space="preserve"> </v>
      </c>
      <c r="E914" s="13"/>
      <c r="F914" s="13"/>
      <c r="G914" s="10" t="str">
        <f t="shared" si="28"/>
        <v xml:space="preserve"> </v>
      </c>
      <c r="H914" s="13"/>
      <c r="I914" s="24"/>
      <c r="J914" s="13">
        <f>IFERROR(FundManager[[#This Row],[Current Value]]-FundManager[[#This Row],[Amount Invested]]," ")</f>
        <v>0</v>
      </c>
      <c r="K914" s="14" t="str">
        <f t="shared" si="29"/>
        <v xml:space="preserve"> </v>
      </c>
      <c r="L914" s="15" t="str" cm="1">
        <f t="array" ref="L914">IFERROR(ROUND(_FV(B914,"Change (%)",TRUE),3) &amp; "%"," ")</f>
        <v xml:space="preserve"> </v>
      </c>
    </row>
    <row r="915" spans="1:12" x14ac:dyDescent="0.25">
      <c r="A915" s="19"/>
      <c r="C915" s="10" t="str" cm="1">
        <f t="array" ref="C915">IFERROR(_FV(FundManager[[#This Row],[Name]],"Ticker symbol",TRUE)," ")</f>
        <v xml:space="preserve"> </v>
      </c>
      <c r="E915" s="13"/>
      <c r="F915" s="13"/>
      <c r="G915" s="10" t="str">
        <f t="shared" si="28"/>
        <v xml:space="preserve"> </v>
      </c>
      <c r="H915" s="13"/>
      <c r="I915" s="24"/>
      <c r="J915" s="13">
        <f>IFERROR(FundManager[[#This Row],[Current Value]]-FundManager[[#This Row],[Amount Invested]]," ")</f>
        <v>0</v>
      </c>
      <c r="K915" s="14" t="str">
        <f t="shared" si="29"/>
        <v xml:space="preserve"> </v>
      </c>
      <c r="L915" s="15" t="str" cm="1">
        <f t="array" ref="L915">IFERROR(ROUND(_FV(B915,"Change (%)",TRUE),3) &amp; "%"," ")</f>
        <v xml:space="preserve"> </v>
      </c>
    </row>
    <row r="916" spans="1:12" x14ac:dyDescent="0.25">
      <c r="A916" s="19"/>
      <c r="C916" s="10" t="str" cm="1">
        <f t="array" ref="C916">IFERROR(_FV(FundManager[[#This Row],[Name]],"Ticker symbol",TRUE)," ")</f>
        <v xml:space="preserve"> </v>
      </c>
      <c r="E916" s="13"/>
      <c r="F916" s="13"/>
      <c r="G916" s="10" t="str">
        <f t="shared" si="28"/>
        <v xml:space="preserve"> </v>
      </c>
      <c r="H916" s="13"/>
      <c r="I916" s="24"/>
      <c r="J916" s="13">
        <f>IFERROR(FundManager[[#This Row],[Current Value]]-FundManager[[#This Row],[Amount Invested]]," ")</f>
        <v>0</v>
      </c>
      <c r="K916" s="14" t="str">
        <f t="shared" si="29"/>
        <v xml:space="preserve"> </v>
      </c>
      <c r="L916" s="15" t="str" cm="1">
        <f t="array" ref="L916">IFERROR(ROUND(_FV(B916,"Change (%)",TRUE),3) &amp; "%"," ")</f>
        <v xml:space="preserve"> </v>
      </c>
    </row>
    <row r="917" spans="1:12" x14ac:dyDescent="0.25">
      <c r="A917" s="19"/>
      <c r="C917" s="10" t="str" cm="1">
        <f t="array" ref="C917">IFERROR(_FV(FundManager[[#This Row],[Name]],"Ticker symbol",TRUE)," ")</f>
        <v xml:space="preserve"> </v>
      </c>
      <c r="E917" s="13"/>
      <c r="F917" s="13"/>
      <c r="G917" s="10" t="str">
        <f t="shared" si="28"/>
        <v xml:space="preserve"> </v>
      </c>
      <c r="H917" s="13"/>
      <c r="I917" s="24"/>
      <c r="J917" s="13">
        <f>IFERROR(FundManager[[#This Row],[Current Value]]-FundManager[[#This Row],[Amount Invested]]," ")</f>
        <v>0</v>
      </c>
      <c r="K917" s="14" t="str">
        <f t="shared" si="29"/>
        <v xml:space="preserve"> </v>
      </c>
      <c r="L917" s="15" t="str" cm="1">
        <f t="array" ref="L917">IFERROR(ROUND(_FV(B917,"Change (%)",TRUE),3) &amp; "%"," ")</f>
        <v xml:space="preserve"> </v>
      </c>
    </row>
    <row r="918" spans="1:12" x14ac:dyDescent="0.25">
      <c r="A918" s="19"/>
      <c r="C918" s="10" t="str" cm="1">
        <f t="array" ref="C918">IFERROR(_FV(FundManager[[#This Row],[Name]],"Ticker symbol",TRUE)," ")</f>
        <v xml:space="preserve"> </v>
      </c>
      <c r="E918" s="13"/>
      <c r="F918" s="13"/>
      <c r="G918" s="10" t="str">
        <f t="shared" si="28"/>
        <v xml:space="preserve"> </v>
      </c>
      <c r="H918" s="13"/>
      <c r="I918" s="24"/>
      <c r="J918" s="13">
        <f>IFERROR(FundManager[[#This Row],[Current Value]]-FundManager[[#This Row],[Amount Invested]]," ")</f>
        <v>0</v>
      </c>
      <c r="K918" s="14" t="str">
        <f t="shared" si="29"/>
        <v xml:space="preserve"> </v>
      </c>
      <c r="L918" s="15" t="str" cm="1">
        <f t="array" ref="L918">IFERROR(ROUND(_FV(B918,"Change (%)",TRUE),3) &amp; "%"," ")</f>
        <v xml:space="preserve"> </v>
      </c>
    </row>
    <row r="919" spans="1:12" x14ac:dyDescent="0.25">
      <c r="A919" s="19"/>
      <c r="C919" s="10" t="str" cm="1">
        <f t="array" ref="C919">IFERROR(_FV(FundManager[[#This Row],[Name]],"Ticker symbol",TRUE)," ")</f>
        <v xml:space="preserve"> </v>
      </c>
      <c r="E919" s="13"/>
      <c r="F919" s="13"/>
      <c r="G919" s="10" t="str">
        <f t="shared" ref="G919:G982" si="30">IFERROR(H919/E919," ")</f>
        <v xml:space="preserve"> </v>
      </c>
      <c r="H919" s="13"/>
      <c r="I919" s="24"/>
      <c r="J919" s="13">
        <f>IFERROR(FundManager[[#This Row],[Current Value]]-FundManager[[#This Row],[Amount Invested]]," ")</f>
        <v>0</v>
      </c>
      <c r="K919" s="14" t="str">
        <f t="shared" ref="K919:K982" si="31">IFERROR((I919-H919)/H919," ")</f>
        <v xml:space="preserve"> </v>
      </c>
      <c r="L919" s="15" t="str" cm="1">
        <f t="array" ref="L919">IFERROR(ROUND(_FV(B919,"Change (%)",TRUE),3) &amp; "%"," ")</f>
        <v xml:space="preserve"> </v>
      </c>
    </row>
    <row r="920" spans="1:12" x14ac:dyDescent="0.25">
      <c r="A920" s="19"/>
      <c r="C920" s="10" t="str" cm="1">
        <f t="array" ref="C920">IFERROR(_FV(FundManager[[#This Row],[Name]],"Ticker symbol",TRUE)," ")</f>
        <v xml:space="preserve"> </v>
      </c>
      <c r="E920" s="13"/>
      <c r="F920" s="13"/>
      <c r="G920" s="10" t="str">
        <f t="shared" si="30"/>
        <v xml:space="preserve"> </v>
      </c>
      <c r="H920" s="13"/>
      <c r="I920" s="24"/>
      <c r="J920" s="13">
        <f>IFERROR(FundManager[[#This Row],[Current Value]]-FundManager[[#This Row],[Amount Invested]]," ")</f>
        <v>0</v>
      </c>
      <c r="K920" s="14" t="str">
        <f t="shared" si="31"/>
        <v xml:space="preserve"> </v>
      </c>
      <c r="L920" s="15" t="str" cm="1">
        <f t="array" ref="L920">IFERROR(ROUND(_FV(B920,"Change (%)",TRUE),3) &amp; "%"," ")</f>
        <v xml:space="preserve"> </v>
      </c>
    </row>
    <row r="921" spans="1:12" x14ac:dyDescent="0.25">
      <c r="A921" s="19"/>
      <c r="C921" s="10" t="str" cm="1">
        <f t="array" ref="C921">IFERROR(_FV(FundManager[[#This Row],[Name]],"Ticker symbol",TRUE)," ")</f>
        <v xml:space="preserve"> </v>
      </c>
      <c r="E921" s="13"/>
      <c r="F921" s="13"/>
      <c r="G921" s="10" t="str">
        <f t="shared" si="30"/>
        <v xml:space="preserve"> </v>
      </c>
      <c r="H921" s="13"/>
      <c r="I921" s="24"/>
      <c r="J921" s="13">
        <f>IFERROR(FundManager[[#This Row],[Current Value]]-FundManager[[#This Row],[Amount Invested]]," ")</f>
        <v>0</v>
      </c>
      <c r="K921" s="14" t="str">
        <f t="shared" si="31"/>
        <v xml:space="preserve"> </v>
      </c>
      <c r="L921" s="15" t="str" cm="1">
        <f t="array" ref="L921">IFERROR(ROUND(_FV(B921,"Change (%)",TRUE),3) &amp; "%"," ")</f>
        <v xml:space="preserve"> </v>
      </c>
    </row>
    <row r="922" spans="1:12" x14ac:dyDescent="0.25">
      <c r="A922" s="19"/>
      <c r="C922" s="10" t="str" cm="1">
        <f t="array" ref="C922">IFERROR(_FV(FundManager[[#This Row],[Name]],"Ticker symbol",TRUE)," ")</f>
        <v xml:space="preserve"> </v>
      </c>
      <c r="E922" s="13"/>
      <c r="F922" s="13"/>
      <c r="G922" s="10" t="str">
        <f t="shared" si="30"/>
        <v xml:space="preserve"> </v>
      </c>
      <c r="H922" s="13"/>
      <c r="I922" s="24"/>
      <c r="J922" s="13">
        <f>IFERROR(FundManager[[#This Row],[Current Value]]-FundManager[[#This Row],[Amount Invested]]," ")</f>
        <v>0</v>
      </c>
      <c r="K922" s="14" t="str">
        <f t="shared" si="31"/>
        <v xml:space="preserve"> </v>
      </c>
      <c r="L922" s="15" t="str" cm="1">
        <f t="array" ref="L922">IFERROR(ROUND(_FV(B922,"Change (%)",TRUE),3) &amp; "%"," ")</f>
        <v xml:space="preserve"> </v>
      </c>
    </row>
    <row r="923" spans="1:12" x14ac:dyDescent="0.25">
      <c r="A923" s="19"/>
      <c r="C923" s="10" t="str" cm="1">
        <f t="array" ref="C923">IFERROR(_FV(FundManager[[#This Row],[Name]],"Ticker symbol",TRUE)," ")</f>
        <v xml:space="preserve"> </v>
      </c>
      <c r="E923" s="13"/>
      <c r="F923" s="13"/>
      <c r="G923" s="10" t="str">
        <f t="shared" si="30"/>
        <v xml:space="preserve"> </v>
      </c>
      <c r="H923" s="13"/>
      <c r="I923" s="24"/>
      <c r="J923" s="13">
        <f>IFERROR(FundManager[[#This Row],[Current Value]]-FundManager[[#This Row],[Amount Invested]]," ")</f>
        <v>0</v>
      </c>
      <c r="K923" s="14" t="str">
        <f t="shared" si="31"/>
        <v xml:space="preserve"> </v>
      </c>
      <c r="L923" s="15" t="str" cm="1">
        <f t="array" ref="L923">IFERROR(ROUND(_FV(B923,"Change (%)",TRUE),3) &amp; "%"," ")</f>
        <v xml:space="preserve"> </v>
      </c>
    </row>
    <row r="924" spans="1:12" x14ac:dyDescent="0.25">
      <c r="A924" s="19"/>
      <c r="C924" s="10" t="str" cm="1">
        <f t="array" ref="C924">IFERROR(_FV(FundManager[[#This Row],[Name]],"Ticker symbol",TRUE)," ")</f>
        <v xml:space="preserve"> </v>
      </c>
      <c r="E924" s="13"/>
      <c r="F924" s="13"/>
      <c r="G924" s="10" t="str">
        <f t="shared" si="30"/>
        <v xml:space="preserve"> </v>
      </c>
      <c r="H924" s="13"/>
      <c r="I924" s="24"/>
      <c r="J924" s="13">
        <f>IFERROR(FundManager[[#This Row],[Current Value]]-FundManager[[#This Row],[Amount Invested]]," ")</f>
        <v>0</v>
      </c>
      <c r="K924" s="14" t="str">
        <f t="shared" si="31"/>
        <v xml:space="preserve"> </v>
      </c>
      <c r="L924" s="15" t="str" cm="1">
        <f t="array" ref="L924">IFERROR(ROUND(_FV(B924,"Change (%)",TRUE),3) &amp; "%"," ")</f>
        <v xml:space="preserve"> </v>
      </c>
    </row>
    <row r="925" spans="1:12" x14ac:dyDescent="0.25">
      <c r="A925" s="19"/>
      <c r="C925" s="10" t="str" cm="1">
        <f t="array" ref="C925">IFERROR(_FV(FundManager[[#This Row],[Name]],"Ticker symbol",TRUE)," ")</f>
        <v xml:space="preserve"> </v>
      </c>
      <c r="E925" s="13"/>
      <c r="F925" s="13"/>
      <c r="G925" s="10" t="str">
        <f t="shared" si="30"/>
        <v xml:space="preserve"> </v>
      </c>
      <c r="H925" s="13"/>
      <c r="I925" s="24"/>
      <c r="J925" s="13">
        <f>IFERROR(FundManager[[#This Row],[Current Value]]-FundManager[[#This Row],[Amount Invested]]," ")</f>
        <v>0</v>
      </c>
      <c r="K925" s="14" t="str">
        <f t="shared" si="31"/>
        <v xml:space="preserve"> </v>
      </c>
      <c r="L925" s="15" t="str" cm="1">
        <f t="array" ref="L925">IFERROR(ROUND(_FV(B925,"Change (%)",TRUE),3) &amp; "%"," ")</f>
        <v xml:space="preserve"> </v>
      </c>
    </row>
    <row r="926" spans="1:12" x14ac:dyDescent="0.25">
      <c r="A926" s="19"/>
      <c r="C926" s="10" t="str" cm="1">
        <f t="array" ref="C926">IFERROR(_FV(FundManager[[#This Row],[Name]],"Ticker symbol",TRUE)," ")</f>
        <v xml:space="preserve"> </v>
      </c>
      <c r="E926" s="13"/>
      <c r="F926" s="13"/>
      <c r="G926" s="10" t="str">
        <f t="shared" si="30"/>
        <v xml:space="preserve"> </v>
      </c>
      <c r="H926" s="13"/>
      <c r="I926" s="24"/>
      <c r="J926" s="13">
        <f>IFERROR(FundManager[[#This Row],[Current Value]]-FundManager[[#This Row],[Amount Invested]]," ")</f>
        <v>0</v>
      </c>
      <c r="K926" s="14" t="str">
        <f t="shared" si="31"/>
        <v xml:space="preserve"> </v>
      </c>
      <c r="L926" s="15" t="str" cm="1">
        <f t="array" ref="L926">IFERROR(ROUND(_FV(B926,"Change (%)",TRUE),3) &amp; "%"," ")</f>
        <v xml:space="preserve"> </v>
      </c>
    </row>
    <row r="927" spans="1:12" x14ac:dyDescent="0.25">
      <c r="A927" s="19"/>
      <c r="C927" s="10" t="str" cm="1">
        <f t="array" ref="C927">IFERROR(_FV(FundManager[[#This Row],[Name]],"Ticker symbol",TRUE)," ")</f>
        <v xml:space="preserve"> </v>
      </c>
      <c r="E927" s="13"/>
      <c r="F927" s="13"/>
      <c r="G927" s="10" t="str">
        <f t="shared" si="30"/>
        <v xml:space="preserve"> </v>
      </c>
      <c r="H927" s="13"/>
      <c r="I927" s="24"/>
      <c r="J927" s="13">
        <f>IFERROR(FundManager[[#This Row],[Current Value]]-FundManager[[#This Row],[Amount Invested]]," ")</f>
        <v>0</v>
      </c>
      <c r="K927" s="14" t="str">
        <f t="shared" si="31"/>
        <v xml:space="preserve"> </v>
      </c>
      <c r="L927" s="15" t="str" cm="1">
        <f t="array" ref="L927">IFERROR(ROUND(_FV(B927,"Change (%)",TRUE),3) &amp; "%"," ")</f>
        <v xml:space="preserve"> </v>
      </c>
    </row>
    <row r="928" spans="1:12" x14ac:dyDescent="0.25">
      <c r="A928" s="19"/>
      <c r="C928" s="10" t="str" cm="1">
        <f t="array" ref="C928">IFERROR(_FV(FundManager[[#This Row],[Name]],"Ticker symbol",TRUE)," ")</f>
        <v xml:space="preserve"> </v>
      </c>
      <c r="E928" s="13"/>
      <c r="F928" s="13"/>
      <c r="G928" s="10" t="str">
        <f t="shared" si="30"/>
        <v xml:space="preserve"> </v>
      </c>
      <c r="H928" s="13"/>
      <c r="I928" s="24"/>
      <c r="J928" s="13">
        <f>IFERROR(FundManager[[#This Row],[Current Value]]-FundManager[[#This Row],[Amount Invested]]," ")</f>
        <v>0</v>
      </c>
      <c r="K928" s="14" t="str">
        <f t="shared" si="31"/>
        <v xml:space="preserve"> </v>
      </c>
      <c r="L928" s="15" t="str" cm="1">
        <f t="array" ref="L928">IFERROR(ROUND(_FV(B928,"Change (%)",TRUE),3) &amp; "%"," ")</f>
        <v xml:space="preserve"> </v>
      </c>
    </row>
    <row r="929" spans="1:12" x14ac:dyDescent="0.25">
      <c r="A929" s="19"/>
      <c r="C929" s="10" t="str" cm="1">
        <f t="array" ref="C929">IFERROR(_FV(FundManager[[#This Row],[Name]],"Ticker symbol",TRUE)," ")</f>
        <v xml:space="preserve"> </v>
      </c>
      <c r="E929" s="13"/>
      <c r="F929" s="13"/>
      <c r="G929" s="10" t="str">
        <f t="shared" si="30"/>
        <v xml:space="preserve"> </v>
      </c>
      <c r="H929" s="13"/>
      <c r="I929" s="24"/>
      <c r="J929" s="13">
        <f>IFERROR(FundManager[[#This Row],[Current Value]]-FundManager[[#This Row],[Amount Invested]]," ")</f>
        <v>0</v>
      </c>
      <c r="K929" s="14" t="str">
        <f t="shared" si="31"/>
        <v xml:space="preserve"> </v>
      </c>
      <c r="L929" s="15" t="str" cm="1">
        <f t="array" ref="L929">IFERROR(ROUND(_FV(B929,"Change (%)",TRUE),3) &amp; "%"," ")</f>
        <v xml:space="preserve"> </v>
      </c>
    </row>
    <row r="930" spans="1:12" x14ac:dyDescent="0.25">
      <c r="A930" s="19"/>
      <c r="C930" s="10" t="str" cm="1">
        <f t="array" ref="C930">IFERROR(_FV(FundManager[[#This Row],[Name]],"Ticker symbol",TRUE)," ")</f>
        <v xml:space="preserve"> </v>
      </c>
      <c r="E930" s="13"/>
      <c r="F930" s="13"/>
      <c r="G930" s="10" t="str">
        <f t="shared" si="30"/>
        <v xml:space="preserve"> </v>
      </c>
      <c r="H930" s="13"/>
      <c r="I930" s="24"/>
      <c r="J930" s="13">
        <f>IFERROR(FundManager[[#This Row],[Current Value]]-FundManager[[#This Row],[Amount Invested]]," ")</f>
        <v>0</v>
      </c>
      <c r="K930" s="14" t="str">
        <f t="shared" si="31"/>
        <v xml:space="preserve"> </v>
      </c>
      <c r="L930" s="15" t="str" cm="1">
        <f t="array" ref="L930">IFERROR(ROUND(_FV(B930,"Change (%)",TRUE),3) &amp; "%"," ")</f>
        <v xml:space="preserve"> </v>
      </c>
    </row>
    <row r="931" spans="1:12" x14ac:dyDescent="0.25">
      <c r="A931" s="19"/>
      <c r="C931" s="10" t="str" cm="1">
        <f t="array" ref="C931">IFERROR(_FV(FundManager[[#This Row],[Name]],"Ticker symbol",TRUE)," ")</f>
        <v xml:space="preserve"> </v>
      </c>
      <c r="E931" s="13"/>
      <c r="F931" s="13"/>
      <c r="G931" s="10" t="str">
        <f t="shared" si="30"/>
        <v xml:space="preserve"> </v>
      </c>
      <c r="H931" s="13"/>
      <c r="I931" s="24"/>
      <c r="J931" s="13">
        <f>IFERROR(FundManager[[#This Row],[Current Value]]-FundManager[[#This Row],[Amount Invested]]," ")</f>
        <v>0</v>
      </c>
      <c r="K931" s="14" t="str">
        <f t="shared" si="31"/>
        <v xml:space="preserve"> </v>
      </c>
      <c r="L931" s="15" t="str" cm="1">
        <f t="array" ref="L931">IFERROR(ROUND(_FV(B931,"Change (%)",TRUE),3) &amp; "%"," ")</f>
        <v xml:space="preserve"> </v>
      </c>
    </row>
    <row r="932" spans="1:12" x14ac:dyDescent="0.25">
      <c r="A932" s="19"/>
      <c r="C932" s="10" t="str" cm="1">
        <f t="array" ref="C932">IFERROR(_FV(FundManager[[#This Row],[Name]],"Ticker symbol",TRUE)," ")</f>
        <v xml:space="preserve"> </v>
      </c>
      <c r="E932" s="13"/>
      <c r="F932" s="13"/>
      <c r="G932" s="10" t="str">
        <f t="shared" si="30"/>
        <v xml:space="preserve"> </v>
      </c>
      <c r="H932" s="13"/>
      <c r="I932" s="24"/>
      <c r="J932" s="13">
        <f>IFERROR(FundManager[[#This Row],[Current Value]]-FundManager[[#This Row],[Amount Invested]]," ")</f>
        <v>0</v>
      </c>
      <c r="K932" s="14" t="str">
        <f t="shared" si="31"/>
        <v xml:space="preserve"> </v>
      </c>
      <c r="L932" s="15" t="str" cm="1">
        <f t="array" ref="L932">IFERROR(ROUND(_FV(B932,"Change (%)",TRUE),3) &amp; "%"," ")</f>
        <v xml:space="preserve"> </v>
      </c>
    </row>
    <row r="933" spans="1:12" x14ac:dyDescent="0.25">
      <c r="A933" s="19"/>
      <c r="C933" s="10" t="str" cm="1">
        <f t="array" ref="C933">IFERROR(_FV(FundManager[[#This Row],[Name]],"Ticker symbol",TRUE)," ")</f>
        <v xml:space="preserve"> </v>
      </c>
      <c r="E933" s="13"/>
      <c r="F933" s="13"/>
      <c r="G933" s="10" t="str">
        <f t="shared" si="30"/>
        <v xml:space="preserve"> </v>
      </c>
      <c r="H933" s="13"/>
      <c r="I933" s="24"/>
      <c r="J933" s="13">
        <f>IFERROR(FundManager[[#This Row],[Current Value]]-FundManager[[#This Row],[Amount Invested]]," ")</f>
        <v>0</v>
      </c>
      <c r="K933" s="14" t="str">
        <f t="shared" si="31"/>
        <v xml:space="preserve"> </v>
      </c>
      <c r="L933" s="15" t="str" cm="1">
        <f t="array" ref="L933">IFERROR(ROUND(_FV(B933,"Change (%)",TRUE),3) &amp; "%"," ")</f>
        <v xml:space="preserve"> </v>
      </c>
    </row>
    <row r="934" spans="1:12" x14ac:dyDescent="0.25">
      <c r="A934" s="19"/>
      <c r="C934" s="10" t="str" cm="1">
        <f t="array" ref="C934">IFERROR(_FV(FundManager[[#This Row],[Name]],"Ticker symbol",TRUE)," ")</f>
        <v xml:space="preserve"> </v>
      </c>
      <c r="E934" s="13"/>
      <c r="F934" s="13"/>
      <c r="G934" s="10" t="str">
        <f t="shared" si="30"/>
        <v xml:space="preserve"> </v>
      </c>
      <c r="H934" s="13"/>
      <c r="I934" s="24"/>
      <c r="J934" s="13">
        <f>IFERROR(FundManager[[#This Row],[Current Value]]-FundManager[[#This Row],[Amount Invested]]," ")</f>
        <v>0</v>
      </c>
      <c r="K934" s="14" t="str">
        <f t="shared" si="31"/>
        <v xml:space="preserve"> </v>
      </c>
      <c r="L934" s="15" t="str" cm="1">
        <f t="array" ref="L934">IFERROR(ROUND(_FV(B934,"Change (%)",TRUE),3) &amp; "%"," ")</f>
        <v xml:space="preserve"> </v>
      </c>
    </row>
    <row r="935" spans="1:12" x14ac:dyDescent="0.25">
      <c r="A935" s="19"/>
      <c r="C935" s="10" t="str" cm="1">
        <f t="array" ref="C935">IFERROR(_FV(FundManager[[#This Row],[Name]],"Ticker symbol",TRUE)," ")</f>
        <v xml:space="preserve"> </v>
      </c>
      <c r="E935" s="13"/>
      <c r="F935" s="13"/>
      <c r="G935" s="10" t="str">
        <f t="shared" si="30"/>
        <v xml:space="preserve"> </v>
      </c>
      <c r="H935" s="13"/>
      <c r="I935" s="24"/>
      <c r="J935" s="13">
        <f>IFERROR(FundManager[[#This Row],[Current Value]]-FundManager[[#This Row],[Amount Invested]]," ")</f>
        <v>0</v>
      </c>
      <c r="K935" s="14" t="str">
        <f t="shared" si="31"/>
        <v xml:space="preserve"> </v>
      </c>
      <c r="L935" s="15" t="str" cm="1">
        <f t="array" ref="L935">IFERROR(ROUND(_FV(B935,"Change (%)",TRUE),3) &amp; "%"," ")</f>
        <v xml:space="preserve"> </v>
      </c>
    </row>
    <row r="936" spans="1:12" x14ac:dyDescent="0.25">
      <c r="A936" s="19"/>
      <c r="C936" s="10" t="str" cm="1">
        <f t="array" ref="C936">IFERROR(_FV(FundManager[[#This Row],[Name]],"Ticker symbol",TRUE)," ")</f>
        <v xml:space="preserve"> </v>
      </c>
      <c r="E936" s="13"/>
      <c r="F936" s="13"/>
      <c r="G936" s="10" t="str">
        <f t="shared" si="30"/>
        <v xml:space="preserve"> </v>
      </c>
      <c r="H936" s="13"/>
      <c r="I936" s="24"/>
      <c r="J936" s="13">
        <f>IFERROR(FundManager[[#This Row],[Current Value]]-FundManager[[#This Row],[Amount Invested]]," ")</f>
        <v>0</v>
      </c>
      <c r="K936" s="14" t="str">
        <f t="shared" si="31"/>
        <v xml:space="preserve"> </v>
      </c>
      <c r="L936" s="15" t="str" cm="1">
        <f t="array" ref="L936">IFERROR(ROUND(_FV(B936,"Change (%)",TRUE),3) &amp; "%"," ")</f>
        <v xml:space="preserve"> </v>
      </c>
    </row>
    <row r="937" spans="1:12" x14ac:dyDescent="0.25">
      <c r="A937" s="19"/>
      <c r="C937" s="10" t="str" cm="1">
        <f t="array" ref="C937">IFERROR(_FV(FundManager[[#This Row],[Name]],"Ticker symbol",TRUE)," ")</f>
        <v xml:space="preserve"> </v>
      </c>
      <c r="E937" s="13"/>
      <c r="F937" s="13"/>
      <c r="G937" s="10" t="str">
        <f t="shared" si="30"/>
        <v xml:space="preserve"> </v>
      </c>
      <c r="H937" s="13"/>
      <c r="I937" s="24"/>
      <c r="J937" s="13">
        <f>IFERROR(FundManager[[#This Row],[Current Value]]-FundManager[[#This Row],[Amount Invested]]," ")</f>
        <v>0</v>
      </c>
      <c r="K937" s="14" t="str">
        <f t="shared" si="31"/>
        <v xml:space="preserve"> </v>
      </c>
      <c r="L937" s="15" t="str" cm="1">
        <f t="array" ref="L937">IFERROR(ROUND(_FV(B937,"Change (%)",TRUE),3) &amp; "%"," ")</f>
        <v xml:space="preserve"> </v>
      </c>
    </row>
    <row r="938" spans="1:12" x14ac:dyDescent="0.25">
      <c r="A938" s="19"/>
      <c r="C938" s="10" t="str" cm="1">
        <f t="array" ref="C938">IFERROR(_FV(FundManager[[#This Row],[Name]],"Ticker symbol",TRUE)," ")</f>
        <v xml:space="preserve"> </v>
      </c>
      <c r="E938" s="13"/>
      <c r="F938" s="13"/>
      <c r="G938" s="10" t="str">
        <f t="shared" si="30"/>
        <v xml:space="preserve"> </v>
      </c>
      <c r="H938" s="13"/>
      <c r="I938" s="24"/>
      <c r="J938" s="13">
        <f>IFERROR(FundManager[[#This Row],[Current Value]]-FundManager[[#This Row],[Amount Invested]]," ")</f>
        <v>0</v>
      </c>
      <c r="K938" s="14" t="str">
        <f t="shared" si="31"/>
        <v xml:space="preserve"> </v>
      </c>
      <c r="L938" s="15" t="str" cm="1">
        <f t="array" ref="L938">IFERROR(ROUND(_FV(B938,"Change (%)",TRUE),3) &amp; "%"," ")</f>
        <v xml:space="preserve"> </v>
      </c>
    </row>
    <row r="939" spans="1:12" x14ac:dyDescent="0.25">
      <c r="A939" s="19"/>
      <c r="C939" s="10" t="str" cm="1">
        <f t="array" ref="C939">IFERROR(_FV(FundManager[[#This Row],[Name]],"Ticker symbol",TRUE)," ")</f>
        <v xml:space="preserve"> </v>
      </c>
      <c r="E939" s="13"/>
      <c r="F939" s="13"/>
      <c r="G939" s="10" t="str">
        <f t="shared" si="30"/>
        <v xml:space="preserve"> </v>
      </c>
      <c r="H939" s="13"/>
      <c r="I939" s="24"/>
      <c r="J939" s="13">
        <f>IFERROR(FundManager[[#This Row],[Current Value]]-FundManager[[#This Row],[Amount Invested]]," ")</f>
        <v>0</v>
      </c>
      <c r="K939" s="14" t="str">
        <f t="shared" si="31"/>
        <v xml:space="preserve"> </v>
      </c>
      <c r="L939" s="15" t="str" cm="1">
        <f t="array" ref="L939">IFERROR(ROUND(_FV(B939,"Change (%)",TRUE),3) &amp; "%"," ")</f>
        <v xml:space="preserve"> </v>
      </c>
    </row>
    <row r="940" spans="1:12" x14ac:dyDescent="0.25">
      <c r="A940" s="19"/>
      <c r="C940" s="10" t="str" cm="1">
        <f t="array" ref="C940">IFERROR(_FV(FundManager[[#This Row],[Name]],"Ticker symbol",TRUE)," ")</f>
        <v xml:space="preserve"> </v>
      </c>
      <c r="E940" s="13"/>
      <c r="F940" s="13"/>
      <c r="G940" s="10" t="str">
        <f t="shared" si="30"/>
        <v xml:space="preserve"> </v>
      </c>
      <c r="H940" s="13"/>
      <c r="I940" s="24"/>
      <c r="J940" s="13">
        <f>IFERROR(FundManager[[#This Row],[Current Value]]-FundManager[[#This Row],[Amount Invested]]," ")</f>
        <v>0</v>
      </c>
      <c r="K940" s="14" t="str">
        <f t="shared" si="31"/>
        <v xml:space="preserve"> </v>
      </c>
      <c r="L940" s="15" t="str" cm="1">
        <f t="array" ref="L940">IFERROR(ROUND(_FV(B940,"Change (%)",TRUE),3) &amp; "%"," ")</f>
        <v xml:space="preserve"> </v>
      </c>
    </row>
    <row r="941" spans="1:12" x14ac:dyDescent="0.25">
      <c r="A941" s="19"/>
      <c r="C941" s="10" t="str" cm="1">
        <f t="array" ref="C941">IFERROR(_FV(FundManager[[#This Row],[Name]],"Ticker symbol",TRUE)," ")</f>
        <v xml:space="preserve"> </v>
      </c>
      <c r="E941" s="13"/>
      <c r="F941" s="13"/>
      <c r="G941" s="10" t="str">
        <f t="shared" si="30"/>
        <v xml:space="preserve"> </v>
      </c>
      <c r="H941" s="13"/>
      <c r="I941" s="24"/>
      <c r="J941" s="13">
        <f>IFERROR(FundManager[[#This Row],[Current Value]]-FundManager[[#This Row],[Amount Invested]]," ")</f>
        <v>0</v>
      </c>
      <c r="K941" s="14" t="str">
        <f t="shared" si="31"/>
        <v xml:space="preserve"> </v>
      </c>
      <c r="L941" s="15" t="str" cm="1">
        <f t="array" ref="L941">IFERROR(ROUND(_FV(B941,"Change (%)",TRUE),3) &amp; "%"," ")</f>
        <v xml:space="preserve"> </v>
      </c>
    </row>
    <row r="942" spans="1:12" x14ac:dyDescent="0.25">
      <c r="A942" s="19"/>
      <c r="C942" s="10" t="str" cm="1">
        <f t="array" ref="C942">IFERROR(_FV(FundManager[[#This Row],[Name]],"Ticker symbol",TRUE)," ")</f>
        <v xml:space="preserve"> </v>
      </c>
      <c r="E942" s="13"/>
      <c r="F942" s="13"/>
      <c r="G942" s="10" t="str">
        <f t="shared" si="30"/>
        <v xml:space="preserve"> </v>
      </c>
      <c r="H942" s="13"/>
      <c r="I942" s="24"/>
      <c r="J942" s="13">
        <f>IFERROR(FundManager[[#This Row],[Current Value]]-FundManager[[#This Row],[Amount Invested]]," ")</f>
        <v>0</v>
      </c>
      <c r="K942" s="14" t="str">
        <f t="shared" si="31"/>
        <v xml:space="preserve"> </v>
      </c>
      <c r="L942" s="15" t="str" cm="1">
        <f t="array" ref="L942">IFERROR(ROUND(_FV(B942,"Change (%)",TRUE),3) &amp; "%"," ")</f>
        <v xml:space="preserve"> </v>
      </c>
    </row>
    <row r="943" spans="1:12" x14ac:dyDescent="0.25">
      <c r="A943" s="19"/>
      <c r="C943" s="10" t="str" cm="1">
        <f t="array" ref="C943">IFERROR(_FV(FundManager[[#This Row],[Name]],"Ticker symbol",TRUE)," ")</f>
        <v xml:space="preserve"> </v>
      </c>
      <c r="E943" s="13"/>
      <c r="F943" s="13"/>
      <c r="G943" s="10" t="str">
        <f t="shared" si="30"/>
        <v xml:space="preserve"> </v>
      </c>
      <c r="H943" s="13"/>
      <c r="I943" s="24"/>
      <c r="J943" s="13">
        <f>IFERROR(FundManager[[#This Row],[Current Value]]-FundManager[[#This Row],[Amount Invested]]," ")</f>
        <v>0</v>
      </c>
      <c r="K943" s="14" t="str">
        <f t="shared" si="31"/>
        <v xml:space="preserve"> </v>
      </c>
      <c r="L943" s="15" t="str" cm="1">
        <f t="array" ref="L943">IFERROR(ROUND(_FV(B943,"Change (%)",TRUE),3) &amp; "%"," ")</f>
        <v xml:space="preserve"> </v>
      </c>
    </row>
    <row r="944" spans="1:12" x14ac:dyDescent="0.25">
      <c r="A944" s="19"/>
      <c r="C944" s="10" t="str" cm="1">
        <f t="array" ref="C944">IFERROR(_FV(FundManager[[#This Row],[Name]],"Ticker symbol",TRUE)," ")</f>
        <v xml:space="preserve"> </v>
      </c>
      <c r="E944" s="13"/>
      <c r="F944" s="13"/>
      <c r="G944" s="10" t="str">
        <f t="shared" si="30"/>
        <v xml:space="preserve"> </v>
      </c>
      <c r="H944" s="13"/>
      <c r="I944" s="24"/>
      <c r="J944" s="13">
        <f>IFERROR(FundManager[[#This Row],[Current Value]]-FundManager[[#This Row],[Amount Invested]]," ")</f>
        <v>0</v>
      </c>
      <c r="K944" s="14" t="str">
        <f t="shared" si="31"/>
        <v xml:space="preserve"> </v>
      </c>
      <c r="L944" s="15" t="str" cm="1">
        <f t="array" ref="L944">IFERROR(ROUND(_FV(B944,"Change (%)",TRUE),3) &amp; "%"," ")</f>
        <v xml:space="preserve"> </v>
      </c>
    </row>
    <row r="945" spans="1:12" x14ac:dyDescent="0.25">
      <c r="A945" s="19"/>
      <c r="C945" s="10" t="str" cm="1">
        <f t="array" ref="C945">IFERROR(_FV(FundManager[[#This Row],[Name]],"Ticker symbol",TRUE)," ")</f>
        <v xml:space="preserve"> </v>
      </c>
      <c r="E945" s="13"/>
      <c r="F945" s="13"/>
      <c r="G945" s="10" t="str">
        <f t="shared" si="30"/>
        <v xml:space="preserve"> </v>
      </c>
      <c r="H945" s="13"/>
      <c r="I945" s="24"/>
      <c r="J945" s="13">
        <f>IFERROR(FundManager[[#This Row],[Current Value]]-FundManager[[#This Row],[Amount Invested]]," ")</f>
        <v>0</v>
      </c>
      <c r="K945" s="14" t="str">
        <f t="shared" si="31"/>
        <v xml:space="preserve"> </v>
      </c>
      <c r="L945" s="15" t="str" cm="1">
        <f t="array" ref="L945">IFERROR(ROUND(_FV(B945,"Change (%)",TRUE),3) &amp; "%"," ")</f>
        <v xml:space="preserve"> </v>
      </c>
    </row>
    <row r="946" spans="1:12" x14ac:dyDescent="0.25">
      <c r="A946" s="19"/>
      <c r="C946" s="10" t="str" cm="1">
        <f t="array" ref="C946">IFERROR(_FV(FundManager[[#This Row],[Name]],"Ticker symbol",TRUE)," ")</f>
        <v xml:space="preserve"> </v>
      </c>
      <c r="E946" s="13"/>
      <c r="F946" s="13"/>
      <c r="G946" s="10" t="str">
        <f t="shared" si="30"/>
        <v xml:space="preserve"> </v>
      </c>
      <c r="H946" s="13"/>
      <c r="I946" s="24"/>
      <c r="J946" s="13">
        <f>IFERROR(FundManager[[#This Row],[Current Value]]-FundManager[[#This Row],[Amount Invested]]," ")</f>
        <v>0</v>
      </c>
      <c r="K946" s="14" t="str">
        <f t="shared" si="31"/>
        <v xml:space="preserve"> </v>
      </c>
      <c r="L946" s="15" t="str" cm="1">
        <f t="array" ref="L946">IFERROR(ROUND(_FV(B946,"Change (%)",TRUE),3) &amp; "%"," ")</f>
        <v xml:space="preserve"> </v>
      </c>
    </row>
    <row r="947" spans="1:12" x14ac:dyDescent="0.25">
      <c r="A947" s="19"/>
      <c r="C947" s="10" t="str" cm="1">
        <f t="array" ref="C947">IFERROR(_FV(FundManager[[#This Row],[Name]],"Ticker symbol",TRUE)," ")</f>
        <v xml:space="preserve"> </v>
      </c>
      <c r="E947" s="13"/>
      <c r="F947" s="13"/>
      <c r="G947" s="10" t="str">
        <f t="shared" si="30"/>
        <v xml:space="preserve"> </v>
      </c>
      <c r="H947" s="13"/>
      <c r="I947" s="24"/>
      <c r="J947" s="13">
        <f>IFERROR(FundManager[[#This Row],[Current Value]]-FundManager[[#This Row],[Amount Invested]]," ")</f>
        <v>0</v>
      </c>
      <c r="K947" s="14" t="str">
        <f t="shared" si="31"/>
        <v xml:space="preserve"> </v>
      </c>
      <c r="L947" s="15" t="str" cm="1">
        <f t="array" ref="L947">IFERROR(ROUND(_FV(B947,"Change (%)",TRUE),3) &amp; "%"," ")</f>
        <v xml:space="preserve"> </v>
      </c>
    </row>
    <row r="948" spans="1:12" x14ac:dyDescent="0.25">
      <c r="A948" s="19"/>
      <c r="C948" s="10" t="str" cm="1">
        <f t="array" ref="C948">IFERROR(_FV(FundManager[[#This Row],[Name]],"Ticker symbol",TRUE)," ")</f>
        <v xml:space="preserve"> </v>
      </c>
      <c r="E948" s="13"/>
      <c r="F948" s="13"/>
      <c r="G948" s="10" t="str">
        <f t="shared" si="30"/>
        <v xml:space="preserve"> </v>
      </c>
      <c r="H948" s="13"/>
      <c r="I948" s="24"/>
      <c r="J948" s="13">
        <f>IFERROR(FundManager[[#This Row],[Current Value]]-FundManager[[#This Row],[Amount Invested]]," ")</f>
        <v>0</v>
      </c>
      <c r="K948" s="14" t="str">
        <f t="shared" si="31"/>
        <v xml:space="preserve"> </v>
      </c>
      <c r="L948" s="15" t="str" cm="1">
        <f t="array" ref="L948">IFERROR(ROUND(_FV(B948,"Change (%)",TRUE),3) &amp; "%"," ")</f>
        <v xml:space="preserve"> </v>
      </c>
    </row>
    <row r="949" spans="1:12" x14ac:dyDescent="0.25">
      <c r="A949" s="19"/>
      <c r="C949" s="10" t="str" cm="1">
        <f t="array" ref="C949">IFERROR(_FV(FundManager[[#This Row],[Name]],"Ticker symbol",TRUE)," ")</f>
        <v xml:space="preserve"> </v>
      </c>
      <c r="E949" s="13"/>
      <c r="F949" s="13"/>
      <c r="G949" s="10" t="str">
        <f t="shared" si="30"/>
        <v xml:space="preserve"> </v>
      </c>
      <c r="H949" s="13"/>
      <c r="I949" s="24"/>
      <c r="J949" s="13">
        <f>IFERROR(FundManager[[#This Row],[Current Value]]-FundManager[[#This Row],[Amount Invested]]," ")</f>
        <v>0</v>
      </c>
      <c r="K949" s="14" t="str">
        <f t="shared" si="31"/>
        <v xml:space="preserve"> </v>
      </c>
      <c r="L949" s="15" t="str" cm="1">
        <f t="array" ref="L949">IFERROR(ROUND(_FV(B949,"Change (%)",TRUE),3) &amp; "%"," ")</f>
        <v xml:space="preserve"> </v>
      </c>
    </row>
    <row r="950" spans="1:12" x14ac:dyDescent="0.25">
      <c r="A950" s="19"/>
      <c r="C950" s="10" t="str" cm="1">
        <f t="array" ref="C950">IFERROR(_FV(FundManager[[#This Row],[Name]],"Ticker symbol",TRUE)," ")</f>
        <v xml:space="preserve"> </v>
      </c>
      <c r="E950" s="13"/>
      <c r="F950" s="13"/>
      <c r="G950" s="10" t="str">
        <f t="shared" si="30"/>
        <v xml:space="preserve"> </v>
      </c>
      <c r="H950" s="13"/>
      <c r="I950" s="24"/>
      <c r="J950" s="13">
        <f>IFERROR(FundManager[[#This Row],[Current Value]]-FundManager[[#This Row],[Amount Invested]]," ")</f>
        <v>0</v>
      </c>
      <c r="K950" s="14" t="str">
        <f t="shared" si="31"/>
        <v xml:space="preserve"> </v>
      </c>
      <c r="L950" s="15" t="str" cm="1">
        <f t="array" ref="L950">IFERROR(ROUND(_FV(B950,"Change (%)",TRUE),3) &amp; "%"," ")</f>
        <v xml:space="preserve"> </v>
      </c>
    </row>
    <row r="951" spans="1:12" x14ac:dyDescent="0.25">
      <c r="A951" s="19"/>
      <c r="C951" s="10" t="str" cm="1">
        <f t="array" ref="C951">IFERROR(_FV(FundManager[[#This Row],[Name]],"Ticker symbol",TRUE)," ")</f>
        <v xml:space="preserve"> </v>
      </c>
      <c r="E951" s="13"/>
      <c r="F951" s="13"/>
      <c r="G951" s="10" t="str">
        <f t="shared" si="30"/>
        <v xml:space="preserve"> </v>
      </c>
      <c r="H951" s="13"/>
      <c r="I951" s="24"/>
      <c r="J951" s="13">
        <f>IFERROR(FundManager[[#This Row],[Current Value]]-FundManager[[#This Row],[Amount Invested]]," ")</f>
        <v>0</v>
      </c>
      <c r="K951" s="14" t="str">
        <f t="shared" si="31"/>
        <v xml:space="preserve"> </v>
      </c>
      <c r="L951" s="15" t="str" cm="1">
        <f t="array" ref="L951">IFERROR(ROUND(_FV(B951,"Change (%)",TRUE),3) &amp; "%"," ")</f>
        <v xml:space="preserve"> </v>
      </c>
    </row>
    <row r="952" spans="1:12" x14ac:dyDescent="0.25">
      <c r="A952" s="19"/>
      <c r="C952" s="10" t="str" cm="1">
        <f t="array" ref="C952">IFERROR(_FV(FundManager[[#This Row],[Name]],"Ticker symbol",TRUE)," ")</f>
        <v xml:space="preserve"> </v>
      </c>
      <c r="E952" s="13"/>
      <c r="F952" s="13"/>
      <c r="G952" s="10" t="str">
        <f t="shared" si="30"/>
        <v xml:space="preserve"> </v>
      </c>
      <c r="H952" s="13"/>
      <c r="I952" s="24"/>
      <c r="J952" s="13">
        <f>IFERROR(FundManager[[#This Row],[Current Value]]-FundManager[[#This Row],[Amount Invested]]," ")</f>
        <v>0</v>
      </c>
      <c r="K952" s="14" t="str">
        <f t="shared" si="31"/>
        <v xml:space="preserve"> </v>
      </c>
      <c r="L952" s="15" t="str" cm="1">
        <f t="array" ref="L952">IFERROR(ROUND(_FV(B952,"Change (%)",TRUE),3) &amp; "%"," ")</f>
        <v xml:space="preserve"> </v>
      </c>
    </row>
    <row r="953" spans="1:12" x14ac:dyDescent="0.25">
      <c r="A953" s="19"/>
      <c r="C953" s="10" t="str" cm="1">
        <f t="array" ref="C953">IFERROR(_FV(FundManager[[#This Row],[Name]],"Ticker symbol",TRUE)," ")</f>
        <v xml:space="preserve"> </v>
      </c>
      <c r="E953" s="13"/>
      <c r="F953" s="13"/>
      <c r="G953" s="10" t="str">
        <f t="shared" si="30"/>
        <v xml:space="preserve"> </v>
      </c>
      <c r="H953" s="13"/>
      <c r="I953" s="24"/>
      <c r="J953" s="13">
        <f>IFERROR(FundManager[[#This Row],[Current Value]]-FundManager[[#This Row],[Amount Invested]]," ")</f>
        <v>0</v>
      </c>
      <c r="K953" s="14" t="str">
        <f t="shared" si="31"/>
        <v xml:space="preserve"> </v>
      </c>
      <c r="L953" s="15" t="str" cm="1">
        <f t="array" ref="L953">IFERROR(ROUND(_FV(B953,"Change (%)",TRUE),3) &amp; "%"," ")</f>
        <v xml:space="preserve"> </v>
      </c>
    </row>
    <row r="954" spans="1:12" x14ac:dyDescent="0.25">
      <c r="A954" s="19"/>
      <c r="C954" s="10" t="str" cm="1">
        <f t="array" ref="C954">IFERROR(_FV(FundManager[[#This Row],[Name]],"Ticker symbol",TRUE)," ")</f>
        <v xml:space="preserve"> </v>
      </c>
      <c r="E954" s="13"/>
      <c r="F954" s="13"/>
      <c r="G954" s="10" t="str">
        <f t="shared" si="30"/>
        <v xml:space="preserve"> </v>
      </c>
      <c r="H954" s="13"/>
      <c r="I954" s="24"/>
      <c r="J954" s="13">
        <f>IFERROR(FundManager[[#This Row],[Current Value]]-FundManager[[#This Row],[Amount Invested]]," ")</f>
        <v>0</v>
      </c>
      <c r="K954" s="14" t="str">
        <f t="shared" si="31"/>
        <v xml:space="preserve"> </v>
      </c>
      <c r="L954" s="15" t="str" cm="1">
        <f t="array" ref="L954">IFERROR(ROUND(_FV(B954,"Change (%)",TRUE),3) &amp; "%"," ")</f>
        <v xml:space="preserve"> </v>
      </c>
    </row>
    <row r="955" spans="1:12" x14ac:dyDescent="0.25">
      <c r="A955" s="19"/>
      <c r="C955" s="10" t="str" cm="1">
        <f t="array" ref="C955">IFERROR(_FV(FundManager[[#This Row],[Name]],"Ticker symbol",TRUE)," ")</f>
        <v xml:space="preserve"> </v>
      </c>
      <c r="E955" s="13"/>
      <c r="F955" s="13"/>
      <c r="G955" s="10" t="str">
        <f t="shared" si="30"/>
        <v xml:space="preserve"> </v>
      </c>
      <c r="H955" s="13"/>
      <c r="I955" s="24"/>
      <c r="J955" s="13">
        <f>IFERROR(FundManager[[#This Row],[Current Value]]-FundManager[[#This Row],[Amount Invested]]," ")</f>
        <v>0</v>
      </c>
      <c r="K955" s="14" t="str">
        <f t="shared" si="31"/>
        <v xml:space="preserve"> </v>
      </c>
      <c r="L955" s="15" t="str" cm="1">
        <f t="array" ref="L955">IFERROR(ROUND(_FV(B955,"Change (%)",TRUE),3) &amp; "%"," ")</f>
        <v xml:space="preserve"> </v>
      </c>
    </row>
    <row r="956" spans="1:12" x14ac:dyDescent="0.25">
      <c r="A956" s="19"/>
      <c r="C956" s="10" t="str" cm="1">
        <f t="array" ref="C956">IFERROR(_FV(FundManager[[#This Row],[Name]],"Ticker symbol",TRUE)," ")</f>
        <v xml:space="preserve"> </v>
      </c>
      <c r="E956" s="13"/>
      <c r="F956" s="13"/>
      <c r="G956" s="10" t="str">
        <f t="shared" si="30"/>
        <v xml:space="preserve"> </v>
      </c>
      <c r="H956" s="13"/>
      <c r="I956" s="24"/>
      <c r="J956" s="13">
        <f>IFERROR(FundManager[[#This Row],[Current Value]]-FundManager[[#This Row],[Amount Invested]]," ")</f>
        <v>0</v>
      </c>
      <c r="K956" s="14" t="str">
        <f t="shared" si="31"/>
        <v xml:space="preserve"> </v>
      </c>
      <c r="L956" s="15" t="str" cm="1">
        <f t="array" ref="L956">IFERROR(ROUND(_FV(B956,"Change (%)",TRUE),3) &amp; "%"," ")</f>
        <v xml:space="preserve"> </v>
      </c>
    </row>
    <row r="957" spans="1:12" x14ac:dyDescent="0.25">
      <c r="A957" s="19"/>
      <c r="C957" s="10" t="str" cm="1">
        <f t="array" ref="C957">IFERROR(_FV(FundManager[[#This Row],[Name]],"Ticker symbol",TRUE)," ")</f>
        <v xml:space="preserve"> </v>
      </c>
      <c r="E957" s="13"/>
      <c r="F957" s="13"/>
      <c r="G957" s="10" t="str">
        <f t="shared" si="30"/>
        <v xml:space="preserve"> </v>
      </c>
      <c r="H957" s="13"/>
      <c r="I957" s="24"/>
      <c r="J957" s="13">
        <f>IFERROR(FundManager[[#This Row],[Current Value]]-FundManager[[#This Row],[Amount Invested]]," ")</f>
        <v>0</v>
      </c>
      <c r="K957" s="14" t="str">
        <f t="shared" si="31"/>
        <v xml:space="preserve"> </v>
      </c>
      <c r="L957" s="15" t="str" cm="1">
        <f t="array" ref="L957">IFERROR(ROUND(_FV(B957,"Change (%)",TRUE),3) &amp; "%"," ")</f>
        <v xml:space="preserve"> </v>
      </c>
    </row>
    <row r="958" spans="1:12" x14ac:dyDescent="0.25">
      <c r="A958" s="19"/>
      <c r="C958" s="10" t="str" cm="1">
        <f t="array" ref="C958">IFERROR(_FV(FundManager[[#This Row],[Name]],"Ticker symbol",TRUE)," ")</f>
        <v xml:space="preserve"> </v>
      </c>
      <c r="E958" s="13"/>
      <c r="F958" s="13"/>
      <c r="G958" s="10" t="str">
        <f t="shared" si="30"/>
        <v xml:space="preserve"> </v>
      </c>
      <c r="H958" s="13"/>
      <c r="I958" s="24"/>
      <c r="J958" s="13">
        <f>IFERROR(FundManager[[#This Row],[Current Value]]-FundManager[[#This Row],[Amount Invested]]," ")</f>
        <v>0</v>
      </c>
      <c r="K958" s="14" t="str">
        <f t="shared" si="31"/>
        <v xml:space="preserve"> </v>
      </c>
      <c r="L958" s="15" t="str" cm="1">
        <f t="array" ref="L958">IFERROR(ROUND(_FV(B958,"Change (%)",TRUE),3) &amp; "%"," ")</f>
        <v xml:space="preserve"> </v>
      </c>
    </row>
    <row r="959" spans="1:12" x14ac:dyDescent="0.25">
      <c r="A959" s="19"/>
      <c r="C959" s="10" t="str" cm="1">
        <f t="array" ref="C959">IFERROR(_FV(FundManager[[#This Row],[Name]],"Ticker symbol",TRUE)," ")</f>
        <v xml:space="preserve"> </v>
      </c>
      <c r="E959" s="13"/>
      <c r="F959" s="13"/>
      <c r="G959" s="10" t="str">
        <f t="shared" si="30"/>
        <v xml:space="preserve"> </v>
      </c>
      <c r="H959" s="13"/>
      <c r="I959" s="24"/>
      <c r="J959" s="13">
        <f>IFERROR(FundManager[[#This Row],[Current Value]]-FundManager[[#This Row],[Amount Invested]]," ")</f>
        <v>0</v>
      </c>
      <c r="K959" s="14" t="str">
        <f t="shared" si="31"/>
        <v xml:space="preserve"> </v>
      </c>
      <c r="L959" s="15" t="str" cm="1">
        <f t="array" ref="L959">IFERROR(ROUND(_FV(B959,"Change (%)",TRUE),3) &amp; "%"," ")</f>
        <v xml:space="preserve"> </v>
      </c>
    </row>
    <row r="960" spans="1:12" x14ac:dyDescent="0.25">
      <c r="A960" s="19"/>
      <c r="C960" s="10" t="str" cm="1">
        <f t="array" ref="C960">IFERROR(_FV(FundManager[[#This Row],[Name]],"Ticker symbol",TRUE)," ")</f>
        <v xml:space="preserve"> </v>
      </c>
      <c r="E960" s="13"/>
      <c r="F960" s="13"/>
      <c r="G960" s="10" t="str">
        <f t="shared" si="30"/>
        <v xml:space="preserve"> </v>
      </c>
      <c r="H960" s="13"/>
      <c r="I960" s="24"/>
      <c r="J960" s="13">
        <f>IFERROR(FundManager[[#This Row],[Current Value]]-FundManager[[#This Row],[Amount Invested]]," ")</f>
        <v>0</v>
      </c>
      <c r="K960" s="14" t="str">
        <f t="shared" si="31"/>
        <v xml:space="preserve"> </v>
      </c>
      <c r="L960" s="15" t="str" cm="1">
        <f t="array" ref="L960">IFERROR(ROUND(_FV(B960,"Change (%)",TRUE),3) &amp; "%"," ")</f>
        <v xml:space="preserve"> </v>
      </c>
    </row>
    <row r="961" spans="1:12" x14ac:dyDescent="0.25">
      <c r="A961" s="19"/>
      <c r="C961" s="10" t="str" cm="1">
        <f t="array" ref="C961">IFERROR(_FV(FundManager[[#This Row],[Name]],"Ticker symbol",TRUE)," ")</f>
        <v xml:space="preserve"> </v>
      </c>
      <c r="E961" s="13"/>
      <c r="F961" s="13"/>
      <c r="G961" s="10" t="str">
        <f t="shared" si="30"/>
        <v xml:space="preserve"> </v>
      </c>
      <c r="H961" s="13"/>
      <c r="I961" s="24"/>
      <c r="J961" s="13">
        <f>IFERROR(FundManager[[#This Row],[Current Value]]-FundManager[[#This Row],[Amount Invested]]," ")</f>
        <v>0</v>
      </c>
      <c r="K961" s="14" t="str">
        <f t="shared" si="31"/>
        <v xml:space="preserve"> </v>
      </c>
      <c r="L961" s="15" t="str" cm="1">
        <f t="array" ref="L961">IFERROR(ROUND(_FV(B961,"Change (%)",TRUE),3) &amp; "%"," ")</f>
        <v xml:space="preserve"> </v>
      </c>
    </row>
    <row r="962" spans="1:12" x14ac:dyDescent="0.25">
      <c r="A962" s="19"/>
      <c r="C962" s="10" t="str" cm="1">
        <f t="array" ref="C962">IFERROR(_FV(FundManager[[#This Row],[Name]],"Ticker symbol",TRUE)," ")</f>
        <v xml:space="preserve"> </v>
      </c>
      <c r="E962" s="13"/>
      <c r="F962" s="13"/>
      <c r="G962" s="10" t="str">
        <f t="shared" si="30"/>
        <v xml:space="preserve"> </v>
      </c>
      <c r="H962" s="13"/>
      <c r="I962" s="24"/>
      <c r="J962" s="13">
        <f>IFERROR(FundManager[[#This Row],[Current Value]]-FundManager[[#This Row],[Amount Invested]]," ")</f>
        <v>0</v>
      </c>
      <c r="K962" s="14" t="str">
        <f t="shared" si="31"/>
        <v xml:space="preserve"> </v>
      </c>
      <c r="L962" s="15" t="str" cm="1">
        <f t="array" ref="L962">IFERROR(ROUND(_FV(B962,"Change (%)",TRUE),3) &amp; "%"," ")</f>
        <v xml:space="preserve"> </v>
      </c>
    </row>
    <row r="963" spans="1:12" x14ac:dyDescent="0.25">
      <c r="A963" s="19"/>
      <c r="C963" s="10" t="str" cm="1">
        <f t="array" ref="C963">IFERROR(_FV(FundManager[[#This Row],[Name]],"Ticker symbol",TRUE)," ")</f>
        <v xml:space="preserve"> </v>
      </c>
      <c r="E963" s="13"/>
      <c r="F963" s="13"/>
      <c r="G963" s="10" t="str">
        <f t="shared" si="30"/>
        <v xml:space="preserve"> </v>
      </c>
      <c r="H963" s="13"/>
      <c r="I963" s="24"/>
      <c r="J963" s="13">
        <f>IFERROR(FundManager[[#This Row],[Current Value]]-FundManager[[#This Row],[Amount Invested]]," ")</f>
        <v>0</v>
      </c>
      <c r="K963" s="14" t="str">
        <f t="shared" si="31"/>
        <v xml:space="preserve"> </v>
      </c>
      <c r="L963" s="15" t="str" cm="1">
        <f t="array" ref="L963">IFERROR(ROUND(_FV(B963,"Change (%)",TRUE),3) &amp; "%"," ")</f>
        <v xml:space="preserve"> </v>
      </c>
    </row>
    <row r="964" spans="1:12" x14ac:dyDescent="0.25">
      <c r="A964" s="19"/>
      <c r="C964" s="10" t="str" cm="1">
        <f t="array" ref="C964">IFERROR(_FV(FundManager[[#This Row],[Name]],"Ticker symbol",TRUE)," ")</f>
        <v xml:space="preserve"> </v>
      </c>
      <c r="E964" s="13"/>
      <c r="F964" s="13"/>
      <c r="G964" s="10" t="str">
        <f t="shared" si="30"/>
        <v xml:space="preserve"> </v>
      </c>
      <c r="H964" s="13"/>
      <c r="I964" s="24"/>
      <c r="J964" s="13">
        <f>IFERROR(FundManager[[#This Row],[Current Value]]-FundManager[[#This Row],[Amount Invested]]," ")</f>
        <v>0</v>
      </c>
      <c r="K964" s="14" t="str">
        <f t="shared" si="31"/>
        <v xml:space="preserve"> </v>
      </c>
      <c r="L964" s="15" t="str" cm="1">
        <f t="array" ref="L964">IFERROR(ROUND(_FV(B964,"Change (%)",TRUE),3) &amp; "%"," ")</f>
        <v xml:space="preserve"> </v>
      </c>
    </row>
    <row r="965" spans="1:12" x14ac:dyDescent="0.25">
      <c r="A965" s="19"/>
      <c r="C965" s="10" t="str" cm="1">
        <f t="array" ref="C965">IFERROR(_FV(FundManager[[#This Row],[Name]],"Ticker symbol",TRUE)," ")</f>
        <v xml:space="preserve"> </v>
      </c>
      <c r="E965" s="13"/>
      <c r="F965" s="13"/>
      <c r="G965" s="10" t="str">
        <f t="shared" si="30"/>
        <v xml:space="preserve"> </v>
      </c>
      <c r="H965" s="13"/>
      <c r="I965" s="24"/>
      <c r="J965" s="13">
        <f>IFERROR(FundManager[[#This Row],[Current Value]]-FundManager[[#This Row],[Amount Invested]]," ")</f>
        <v>0</v>
      </c>
      <c r="K965" s="14" t="str">
        <f t="shared" si="31"/>
        <v xml:space="preserve"> </v>
      </c>
      <c r="L965" s="15" t="str" cm="1">
        <f t="array" ref="L965">IFERROR(ROUND(_FV(B965,"Change (%)",TRUE),3) &amp; "%"," ")</f>
        <v xml:space="preserve"> </v>
      </c>
    </row>
    <row r="966" spans="1:12" x14ac:dyDescent="0.25">
      <c r="A966" s="19"/>
      <c r="C966" s="10" t="str" cm="1">
        <f t="array" ref="C966">IFERROR(_FV(FundManager[[#This Row],[Name]],"Ticker symbol",TRUE)," ")</f>
        <v xml:space="preserve"> </v>
      </c>
      <c r="E966" s="13"/>
      <c r="F966" s="13"/>
      <c r="G966" s="10" t="str">
        <f t="shared" si="30"/>
        <v xml:space="preserve"> </v>
      </c>
      <c r="H966" s="13"/>
      <c r="I966" s="24"/>
      <c r="J966" s="13">
        <f>IFERROR(FundManager[[#This Row],[Current Value]]-FundManager[[#This Row],[Amount Invested]]," ")</f>
        <v>0</v>
      </c>
      <c r="K966" s="14" t="str">
        <f t="shared" si="31"/>
        <v xml:space="preserve"> </v>
      </c>
      <c r="L966" s="15" t="str" cm="1">
        <f t="array" ref="L966">IFERROR(ROUND(_FV(B966,"Change (%)",TRUE),3) &amp; "%"," ")</f>
        <v xml:space="preserve"> </v>
      </c>
    </row>
    <row r="967" spans="1:12" x14ac:dyDescent="0.25">
      <c r="A967" s="19"/>
      <c r="C967" s="10" t="str" cm="1">
        <f t="array" ref="C967">IFERROR(_FV(FundManager[[#This Row],[Name]],"Ticker symbol",TRUE)," ")</f>
        <v xml:space="preserve"> </v>
      </c>
      <c r="E967" s="13"/>
      <c r="F967" s="13"/>
      <c r="G967" s="10" t="str">
        <f t="shared" si="30"/>
        <v xml:space="preserve"> </v>
      </c>
      <c r="H967" s="13"/>
      <c r="I967" s="24"/>
      <c r="J967" s="13">
        <f>IFERROR(FundManager[[#This Row],[Current Value]]-FundManager[[#This Row],[Amount Invested]]," ")</f>
        <v>0</v>
      </c>
      <c r="K967" s="14" t="str">
        <f t="shared" si="31"/>
        <v xml:space="preserve"> </v>
      </c>
      <c r="L967" s="15" t="str" cm="1">
        <f t="array" ref="L967">IFERROR(ROUND(_FV(B967,"Change (%)",TRUE),3) &amp; "%"," ")</f>
        <v xml:space="preserve"> </v>
      </c>
    </row>
    <row r="968" spans="1:12" x14ac:dyDescent="0.25">
      <c r="A968" s="19"/>
      <c r="C968" s="10" t="str" cm="1">
        <f t="array" ref="C968">IFERROR(_FV(FundManager[[#This Row],[Name]],"Ticker symbol",TRUE)," ")</f>
        <v xml:space="preserve"> </v>
      </c>
      <c r="E968" s="13"/>
      <c r="F968" s="13"/>
      <c r="G968" s="10" t="str">
        <f t="shared" si="30"/>
        <v xml:space="preserve"> </v>
      </c>
      <c r="H968" s="13"/>
      <c r="I968" s="24"/>
      <c r="J968" s="13">
        <f>IFERROR(FundManager[[#This Row],[Current Value]]-FundManager[[#This Row],[Amount Invested]]," ")</f>
        <v>0</v>
      </c>
      <c r="K968" s="14" t="str">
        <f t="shared" si="31"/>
        <v xml:space="preserve"> </v>
      </c>
      <c r="L968" s="15" t="str" cm="1">
        <f t="array" ref="L968">IFERROR(ROUND(_FV(B968,"Change (%)",TRUE),3) &amp; "%"," ")</f>
        <v xml:space="preserve"> </v>
      </c>
    </row>
    <row r="969" spans="1:12" x14ac:dyDescent="0.25">
      <c r="A969" s="19"/>
      <c r="C969" s="10" t="str" cm="1">
        <f t="array" ref="C969">IFERROR(_FV(FundManager[[#This Row],[Name]],"Ticker symbol",TRUE)," ")</f>
        <v xml:space="preserve"> </v>
      </c>
      <c r="E969" s="13"/>
      <c r="F969" s="13"/>
      <c r="G969" s="10" t="str">
        <f t="shared" si="30"/>
        <v xml:space="preserve"> </v>
      </c>
      <c r="H969" s="13"/>
      <c r="I969" s="24"/>
      <c r="J969" s="13">
        <f>IFERROR(FundManager[[#This Row],[Current Value]]-FundManager[[#This Row],[Amount Invested]]," ")</f>
        <v>0</v>
      </c>
      <c r="K969" s="14" t="str">
        <f t="shared" si="31"/>
        <v xml:space="preserve"> </v>
      </c>
      <c r="L969" s="15" t="str" cm="1">
        <f t="array" ref="L969">IFERROR(ROUND(_FV(B969,"Change (%)",TRUE),3) &amp; "%"," ")</f>
        <v xml:space="preserve"> </v>
      </c>
    </row>
    <row r="970" spans="1:12" x14ac:dyDescent="0.25">
      <c r="A970" s="19"/>
      <c r="C970" s="10" t="str" cm="1">
        <f t="array" ref="C970">IFERROR(_FV(FundManager[[#This Row],[Name]],"Ticker symbol",TRUE)," ")</f>
        <v xml:space="preserve"> </v>
      </c>
      <c r="E970" s="13"/>
      <c r="F970" s="13"/>
      <c r="G970" s="10" t="str">
        <f t="shared" si="30"/>
        <v xml:space="preserve"> </v>
      </c>
      <c r="H970" s="13"/>
      <c r="I970" s="24"/>
      <c r="J970" s="13">
        <f>IFERROR(FundManager[[#This Row],[Current Value]]-FundManager[[#This Row],[Amount Invested]]," ")</f>
        <v>0</v>
      </c>
      <c r="K970" s="14" t="str">
        <f t="shared" si="31"/>
        <v xml:space="preserve"> </v>
      </c>
      <c r="L970" s="15" t="str" cm="1">
        <f t="array" ref="L970">IFERROR(ROUND(_FV(B970,"Change (%)",TRUE),3) &amp; "%"," ")</f>
        <v xml:space="preserve"> </v>
      </c>
    </row>
    <row r="971" spans="1:12" x14ac:dyDescent="0.25">
      <c r="A971" s="19"/>
      <c r="C971" s="10" t="str" cm="1">
        <f t="array" ref="C971">IFERROR(_FV(FundManager[[#This Row],[Name]],"Ticker symbol",TRUE)," ")</f>
        <v xml:space="preserve"> </v>
      </c>
      <c r="E971" s="13"/>
      <c r="F971" s="13"/>
      <c r="G971" s="10" t="str">
        <f t="shared" si="30"/>
        <v xml:space="preserve"> </v>
      </c>
      <c r="H971" s="13"/>
      <c r="I971" s="24"/>
      <c r="J971" s="13">
        <f>IFERROR(FundManager[[#This Row],[Current Value]]-FundManager[[#This Row],[Amount Invested]]," ")</f>
        <v>0</v>
      </c>
      <c r="K971" s="14" t="str">
        <f t="shared" si="31"/>
        <v xml:space="preserve"> </v>
      </c>
      <c r="L971" s="15" t="str" cm="1">
        <f t="array" ref="L971">IFERROR(ROUND(_FV(B971,"Change (%)",TRUE),3) &amp; "%"," ")</f>
        <v xml:space="preserve"> </v>
      </c>
    </row>
    <row r="972" spans="1:12" x14ac:dyDescent="0.25">
      <c r="A972" s="19"/>
      <c r="C972" s="10" t="str" cm="1">
        <f t="array" ref="C972">IFERROR(_FV(FundManager[[#This Row],[Name]],"Ticker symbol",TRUE)," ")</f>
        <v xml:space="preserve"> </v>
      </c>
      <c r="E972" s="13"/>
      <c r="F972" s="13"/>
      <c r="G972" s="10" t="str">
        <f t="shared" si="30"/>
        <v xml:space="preserve"> </v>
      </c>
      <c r="H972" s="13"/>
      <c r="I972" s="24"/>
      <c r="J972" s="13">
        <f>IFERROR(FundManager[[#This Row],[Current Value]]-FundManager[[#This Row],[Amount Invested]]," ")</f>
        <v>0</v>
      </c>
      <c r="K972" s="14" t="str">
        <f t="shared" si="31"/>
        <v xml:space="preserve"> </v>
      </c>
      <c r="L972" s="15" t="str" cm="1">
        <f t="array" ref="L972">IFERROR(ROUND(_FV(B972,"Change (%)",TRUE),3) &amp; "%"," ")</f>
        <v xml:space="preserve"> </v>
      </c>
    </row>
    <row r="973" spans="1:12" x14ac:dyDescent="0.25">
      <c r="A973" s="19"/>
      <c r="C973" s="10" t="str" cm="1">
        <f t="array" ref="C973">IFERROR(_FV(FundManager[[#This Row],[Name]],"Ticker symbol",TRUE)," ")</f>
        <v xml:space="preserve"> </v>
      </c>
      <c r="E973" s="13"/>
      <c r="F973" s="13"/>
      <c r="G973" s="10" t="str">
        <f t="shared" si="30"/>
        <v xml:space="preserve"> </v>
      </c>
      <c r="H973" s="13"/>
      <c r="I973" s="24"/>
      <c r="J973" s="13">
        <f>IFERROR(FundManager[[#This Row],[Current Value]]-FundManager[[#This Row],[Amount Invested]]," ")</f>
        <v>0</v>
      </c>
      <c r="K973" s="14" t="str">
        <f t="shared" si="31"/>
        <v xml:space="preserve"> </v>
      </c>
      <c r="L973" s="15" t="str" cm="1">
        <f t="array" ref="L973">IFERROR(ROUND(_FV(B973,"Change (%)",TRUE),3) &amp; "%"," ")</f>
        <v xml:space="preserve"> </v>
      </c>
    </row>
    <row r="974" spans="1:12" x14ac:dyDescent="0.25">
      <c r="A974" s="19"/>
      <c r="C974" s="10" t="str" cm="1">
        <f t="array" ref="C974">IFERROR(_FV(FundManager[[#This Row],[Name]],"Ticker symbol",TRUE)," ")</f>
        <v xml:space="preserve"> </v>
      </c>
      <c r="E974" s="13"/>
      <c r="F974" s="13"/>
      <c r="G974" s="10" t="str">
        <f t="shared" si="30"/>
        <v xml:space="preserve"> </v>
      </c>
      <c r="H974" s="13"/>
      <c r="I974" s="24"/>
      <c r="J974" s="13">
        <f>IFERROR(FundManager[[#This Row],[Current Value]]-FundManager[[#This Row],[Amount Invested]]," ")</f>
        <v>0</v>
      </c>
      <c r="K974" s="14" t="str">
        <f t="shared" si="31"/>
        <v xml:space="preserve"> </v>
      </c>
      <c r="L974" s="15" t="str" cm="1">
        <f t="array" ref="L974">IFERROR(ROUND(_FV(B974,"Change (%)",TRUE),3) &amp; "%"," ")</f>
        <v xml:space="preserve"> </v>
      </c>
    </row>
    <row r="975" spans="1:12" x14ac:dyDescent="0.25">
      <c r="A975" s="19"/>
      <c r="C975" s="10" t="str" cm="1">
        <f t="array" ref="C975">IFERROR(_FV(FundManager[[#This Row],[Name]],"Ticker symbol",TRUE)," ")</f>
        <v xml:space="preserve"> </v>
      </c>
      <c r="E975" s="13"/>
      <c r="F975" s="13"/>
      <c r="G975" s="10" t="str">
        <f t="shared" si="30"/>
        <v xml:space="preserve"> </v>
      </c>
      <c r="H975" s="13"/>
      <c r="I975" s="24"/>
      <c r="J975" s="13">
        <f>IFERROR(FundManager[[#This Row],[Current Value]]-FundManager[[#This Row],[Amount Invested]]," ")</f>
        <v>0</v>
      </c>
      <c r="K975" s="14" t="str">
        <f t="shared" si="31"/>
        <v xml:space="preserve"> </v>
      </c>
      <c r="L975" s="15" t="str" cm="1">
        <f t="array" ref="L975">IFERROR(ROUND(_FV(B975,"Change (%)",TRUE),3) &amp; "%"," ")</f>
        <v xml:space="preserve"> </v>
      </c>
    </row>
    <row r="976" spans="1:12" x14ac:dyDescent="0.25">
      <c r="A976" s="19"/>
      <c r="C976" s="10" t="str" cm="1">
        <f t="array" ref="C976">IFERROR(_FV(FundManager[[#This Row],[Name]],"Ticker symbol",TRUE)," ")</f>
        <v xml:space="preserve"> </v>
      </c>
      <c r="E976" s="13"/>
      <c r="F976" s="13"/>
      <c r="G976" s="10" t="str">
        <f t="shared" si="30"/>
        <v xml:space="preserve"> </v>
      </c>
      <c r="H976" s="13"/>
      <c r="I976" s="24"/>
      <c r="J976" s="13">
        <f>IFERROR(FundManager[[#This Row],[Current Value]]-FundManager[[#This Row],[Amount Invested]]," ")</f>
        <v>0</v>
      </c>
      <c r="K976" s="14" t="str">
        <f t="shared" si="31"/>
        <v xml:space="preserve"> </v>
      </c>
      <c r="L976" s="15" t="str" cm="1">
        <f t="array" ref="L976">IFERROR(ROUND(_FV(B976,"Change (%)",TRUE),3) &amp; "%"," ")</f>
        <v xml:space="preserve"> </v>
      </c>
    </row>
    <row r="977" spans="1:12" x14ac:dyDescent="0.25">
      <c r="A977" s="19"/>
      <c r="C977" s="10" t="str" cm="1">
        <f t="array" ref="C977">IFERROR(_FV(FundManager[[#This Row],[Name]],"Ticker symbol",TRUE)," ")</f>
        <v xml:space="preserve"> </v>
      </c>
      <c r="E977" s="13"/>
      <c r="F977" s="13"/>
      <c r="G977" s="10" t="str">
        <f t="shared" si="30"/>
        <v xml:space="preserve"> </v>
      </c>
      <c r="H977" s="13"/>
      <c r="I977" s="24"/>
      <c r="J977" s="13">
        <f>IFERROR(FundManager[[#This Row],[Current Value]]-FundManager[[#This Row],[Amount Invested]]," ")</f>
        <v>0</v>
      </c>
      <c r="K977" s="14" t="str">
        <f t="shared" si="31"/>
        <v xml:space="preserve"> </v>
      </c>
      <c r="L977" s="15" t="str" cm="1">
        <f t="array" ref="L977">IFERROR(ROUND(_FV(B977,"Change (%)",TRUE),3) &amp; "%"," ")</f>
        <v xml:space="preserve"> </v>
      </c>
    </row>
    <row r="978" spans="1:12" x14ac:dyDescent="0.25">
      <c r="A978" s="19"/>
      <c r="C978" s="10" t="str" cm="1">
        <f t="array" ref="C978">IFERROR(_FV(FundManager[[#This Row],[Name]],"Ticker symbol",TRUE)," ")</f>
        <v xml:space="preserve"> </v>
      </c>
      <c r="E978" s="13"/>
      <c r="F978" s="13"/>
      <c r="G978" s="10" t="str">
        <f t="shared" si="30"/>
        <v xml:space="preserve"> </v>
      </c>
      <c r="H978" s="13"/>
      <c r="I978" s="24"/>
      <c r="J978" s="13">
        <f>IFERROR(FundManager[[#This Row],[Current Value]]-FundManager[[#This Row],[Amount Invested]]," ")</f>
        <v>0</v>
      </c>
      <c r="K978" s="14" t="str">
        <f t="shared" si="31"/>
        <v xml:space="preserve"> </v>
      </c>
      <c r="L978" s="15" t="str" cm="1">
        <f t="array" ref="L978">IFERROR(ROUND(_FV(B978,"Change (%)",TRUE),3) &amp; "%"," ")</f>
        <v xml:space="preserve"> </v>
      </c>
    </row>
    <row r="979" spans="1:12" x14ac:dyDescent="0.25">
      <c r="A979" s="19"/>
      <c r="C979" s="10" t="str" cm="1">
        <f t="array" ref="C979">IFERROR(_FV(FundManager[[#This Row],[Name]],"Ticker symbol",TRUE)," ")</f>
        <v xml:space="preserve"> </v>
      </c>
      <c r="E979" s="13"/>
      <c r="F979" s="13"/>
      <c r="G979" s="10" t="str">
        <f t="shared" si="30"/>
        <v xml:space="preserve"> </v>
      </c>
      <c r="H979" s="13"/>
      <c r="I979" s="24"/>
      <c r="J979" s="13">
        <f>IFERROR(FundManager[[#This Row],[Current Value]]-FundManager[[#This Row],[Amount Invested]]," ")</f>
        <v>0</v>
      </c>
      <c r="K979" s="14" t="str">
        <f t="shared" si="31"/>
        <v xml:space="preserve"> </v>
      </c>
      <c r="L979" s="15" t="str" cm="1">
        <f t="array" ref="L979">IFERROR(ROUND(_FV(B979,"Change (%)",TRUE),3) &amp; "%"," ")</f>
        <v xml:space="preserve"> </v>
      </c>
    </row>
    <row r="980" spans="1:12" x14ac:dyDescent="0.25">
      <c r="A980" s="19"/>
      <c r="C980" s="10" t="str" cm="1">
        <f t="array" ref="C980">IFERROR(_FV(FundManager[[#This Row],[Name]],"Ticker symbol",TRUE)," ")</f>
        <v xml:space="preserve"> </v>
      </c>
      <c r="E980" s="13"/>
      <c r="F980" s="13"/>
      <c r="G980" s="10" t="str">
        <f t="shared" si="30"/>
        <v xml:space="preserve"> </v>
      </c>
      <c r="H980" s="13"/>
      <c r="I980" s="24"/>
      <c r="J980" s="13">
        <f>IFERROR(FundManager[[#This Row],[Current Value]]-FundManager[[#This Row],[Amount Invested]]," ")</f>
        <v>0</v>
      </c>
      <c r="K980" s="14" t="str">
        <f t="shared" si="31"/>
        <v xml:space="preserve"> </v>
      </c>
      <c r="L980" s="15" t="str" cm="1">
        <f t="array" ref="L980">IFERROR(ROUND(_FV(B980,"Change (%)",TRUE),3) &amp; "%"," ")</f>
        <v xml:space="preserve"> </v>
      </c>
    </row>
    <row r="981" spans="1:12" x14ac:dyDescent="0.25">
      <c r="A981" s="19"/>
      <c r="C981" s="10" t="str" cm="1">
        <f t="array" ref="C981">IFERROR(_FV(FundManager[[#This Row],[Name]],"Ticker symbol",TRUE)," ")</f>
        <v xml:space="preserve"> </v>
      </c>
      <c r="E981" s="13"/>
      <c r="F981" s="13"/>
      <c r="G981" s="10" t="str">
        <f t="shared" si="30"/>
        <v xml:space="preserve"> </v>
      </c>
      <c r="H981" s="13"/>
      <c r="I981" s="24"/>
      <c r="J981" s="13">
        <f>IFERROR(FundManager[[#This Row],[Current Value]]-FundManager[[#This Row],[Amount Invested]]," ")</f>
        <v>0</v>
      </c>
      <c r="K981" s="14" t="str">
        <f t="shared" si="31"/>
        <v xml:space="preserve"> </v>
      </c>
      <c r="L981" s="15" t="str" cm="1">
        <f t="array" ref="L981">IFERROR(ROUND(_FV(B981,"Change (%)",TRUE),3) &amp; "%"," ")</f>
        <v xml:space="preserve"> </v>
      </c>
    </row>
    <row r="982" spans="1:12" x14ac:dyDescent="0.25">
      <c r="A982" s="19"/>
      <c r="C982" s="10" t="str" cm="1">
        <f t="array" ref="C982">IFERROR(_FV(FundManager[[#This Row],[Name]],"Ticker symbol",TRUE)," ")</f>
        <v xml:space="preserve"> </v>
      </c>
      <c r="E982" s="13"/>
      <c r="F982" s="13"/>
      <c r="G982" s="10" t="str">
        <f t="shared" si="30"/>
        <v xml:space="preserve"> </v>
      </c>
      <c r="H982" s="13"/>
      <c r="I982" s="24"/>
      <c r="J982" s="13">
        <f>IFERROR(FundManager[[#This Row],[Current Value]]-FundManager[[#This Row],[Amount Invested]]," ")</f>
        <v>0</v>
      </c>
      <c r="K982" s="14" t="str">
        <f t="shared" si="31"/>
        <v xml:space="preserve"> </v>
      </c>
      <c r="L982" s="15" t="str" cm="1">
        <f t="array" ref="L982">IFERROR(ROUND(_FV(B982,"Change (%)",TRUE),3) &amp; "%"," ")</f>
        <v xml:space="preserve"> </v>
      </c>
    </row>
    <row r="983" spans="1:12" x14ac:dyDescent="0.25">
      <c r="A983" s="19"/>
      <c r="C983" s="10" t="str" cm="1">
        <f t="array" ref="C983">IFERROR(_FV(FundManager[[#This Row],[Name]],"Ticker symbol",TRUE)," ")</f>
        <v xml:space="preserve"> </v>
      </c>
      <c r="E983" s="13"/>
      <c r="F983" s="13"/>
      <c r="G983" s="10" t="str">
        <f t="shared" ref="G983:G1006" si="32">IFERROR(H983/E983," ")</f>
        <v xml:space="preserve"> </v>
      </c>
      <c r="H983" s="13"/>
      <c r="I983" s="24"/>
      <c r="J983" s="13">
        <f>IFERROR(FundManager[[#This Row],[Current Value]]-FundManager[[#This Row],[Amount Invested]]," ")</f>
        <v>0</v>
      </c>
      <c r="K983" s="14" t="str">
        <f t="shared" ref="K983:K1005" si="33">IFERROR((I983-H983)/H983," ")</f>
        <v xml:space="preserve"> </v>
      </c>
      <c r="L983" s="15" t="str" cm="1">
        <f t="array" ref="L983">IFERROR(ROUND(_FV(B983,"Change (%)",TRUE),3) &amp; "%"," ")</f>
        <v xml:space="preserve"> </v>
      </c>
    </row>
    <row r="984" spans="1:12" x14ac:dyDescent="0.25">
      <c r="A984" s="19"/>
      <c r="C984" s="10" t="str" cm="1">
        <f t="array" ref="C984">IFERROR(_FV(FundManager[[#This Row],[Name]],"Ticker symbol",TRUE)," ")</f>
        <v xml:space="preserve"> </v>
      </c>
      <c r="E984" s="13"/>
      <c r="F984" s="13"/>
      <c r="G984" s="10" t="str">
        <f t="shared" si="32"/>
        <v xml:space="preserve"> </v>
      </c>
      <c r="H984" s="13"/>
      <c r="I984" s="24"/>
      <c r="J984" s="13">
        <f>IFERROR(FundManager[[#This Row],[Current Value]]-FundManager[[#This Row],[Amount Invested]]," ")</f>
        <v>0</v>
      </c>
      <c r="K984" s="14" t="str">
        <f t="shared" si="33"/>
        <v xml:space="preserve"> </v>
      </c>
      <c r="L984" s="15" t="str" cm="1">
        <f t="array" ref="L984">IFERROR(ROUND(_FV(B984,"Change (%)",TRUE),3) &amp; "%"," ")</f>
        <v xml:space="preserve"> </v>
      </c>
    </row>
    <row r="985" spans="1:12" x14ac:dyDescent="0.25">
      <c r="A985" s="19"/>
      <c r="C985" s="10" t="str" cm="1">
        <f t="array" ref="C985">IFERROR(_FV(FundManager[[#This Row],[Name]],"Ticker symbol",TRUE)," ")</f>
        <v xml:space="preserve"> </v>
      </c>
      <c r="E985" s="13"/>
      <c r="F985" s="13"/>
      <c r="G985" s="10" t="str">
        <f t="shared" si="32"/>
        <v xml:space="preserve"> </v>
      </c>
      <c r="H985" s="13"/>
      <c r="I985" s="24"/>
      <c r="J985" s="13">
        <f>IFERROR(FundManager[[#This Row],[Current Value]]-FundManager[[#This Row],[Amount Invested]]," ")</f>
        <v>0</v>
      </c>
      <c r="K985" s="14" t="str">
        <f t="shared" si="33"/>
        <v xml:space="preserve"> </v>
      </c>
      <c r="L985" s="15" t="str" cm="1">
        <f t="array" ref="L985">IFERROR(ROUND(_FV(B985,"Change (%)",TRUE),3) &amp; "%"," ")</f>
        <v xml:space="preserve"> </v>
      </c>
    </row>
    <row r="986" spans="1:12" x14ac:dyDescent="0.25">
      <c r="A986" s="19"/>
      <c r="C986" s="10" t="str" cm="1">
        <f t="array" ref="C986">IFERROR(_FV(FundManager[[#This Row],[Name]],"Ticker symbol",TRUE)," ")</f>
        <v xml:space="preserve"> </v>
      </c>
      <c r="E986" s="13"/>
      <c r="F986" s="13"/>
      <c r="G986" s="10" t="str">
        <f t="shared" si="32"/>
        <v xml:space="preserve"> </v>
      </c>
      <c r="H986" s="13"/>
      <c r="I986" s="24"/>
      <c r="J986" s="13">
        <f>IFERROR(FundManager[[#This Row],[Current Value]]-FundManager[[#This Row],[Amount Invested]]," ")</f>
        <v>0</v>
      </c>
      <c r="K986" s="14" t="str">
        <f t="shared" si="33"/>
        <v xml:space="preserve"> </v>
      </c>
      <c r="L986" s="15" t="str" cm="1">
        <f t="array" ref="L986">IFERROR(ROUND(_FV(B986,"Change (%)",TRUE),3) &amp; "%"," ")</f>
        <v xml:space="preserve"> </v>
      </c>
    </row>
    <row r="987" spans="1:12" x14ac:dyDescent="0.25">
      <c r="A987" s="19"/>
      <c r="C987" s="10" t="str" cm="1">
        <f t="array" ref="C987">IFERROR(_FV(FundManager[[#This Row],[Name]],"Ticker symbol",TRUE)," ")</f>
        <v xml:space="preserve"> </v>
      </c>
      <c r="E987" s="13"/>
      <c r="F987" s="13"/>
      <c r="G987" s="10" t="str">
        <f t="shared" si="32"/>
        <v xml:space="preserve"> </v>
      </c>
      <c r="H987" s="13"/>
      <c r="I987" s="24"/>
      <c r="J987" s="13">
        <f>IFERROR(FundManager[[#This Row],[Current Value]]-FundManager[[#This Row],[Amount Invested]]," ")</f>
        <v>0</v>
      </c>
      <c r="K987" s="14" t="str">
        <f t="shared" si="33"/>
        <v xml:space="preserve"> </v>
      </c>
      <c r="L987" s="15" t="str" cm="1">
        <f t="array" ref="L987">IFERROR(ROUND(_FV(B987,"Change (%)",TRUE),3) &amp; "%"," ")</f>
        <v xml:space="preserve"> </v>
      </c>
    </row>
    <row r="988" spans="1:12" x14ac:dyDescent="0.25">
      <c r="A988" s="19"/>
      <c r="C988" s="10" t="str" cm="1">
        <f t="array" ref="C988">IFERROR(_FV(FundManager[[#This Row],[Name]],"Ticker symbol",TRUE)," ")</f>
        <v xml:space="preserve"> </v>
      </c>
      <c r="E988" s="13"/>
      <c r="F988" s="13"/>
      <c r="G988" s="10" t="str">
        <f t="shared" si="32"/>
        <v xml:space="preserve"> </v>
      </c>
      <c r="H988" s="13"/>
      <c r="I988" s="24"/>
      <c r="J988" s="13">
        <f>IFERROR(FundManager[[#This Row],[Current Value]]-FundManager[[#This Row],[Amount Invested]]," ")</f>
        <v>0</v>
      </c>
      <c r="K988" s="14" t="str">
        <f t="shared" si="33"/>
        <v xml:space="preserve"> </v>
      </c>
      <c r="L988" s="15" t="str" cm="1">
        <f t="array" ref="L988">IFERROR(ROUND(_FV(B988,"Change (%)",TRUE),3) &amp; "%"," ")</f>
        <v xml:space="preserve"> </v>
      </c>
    </row>
    <row r="989" spans="1:12" x14ac:dyDescent="0.25">
      <c r="A989" s="19"/>
      <c r="C989" s="10" t="str" cm="1">
        <f t="array" ref="C989">IFERROR(_FV(FundManager[[#This Row],[Name]],"Ticker symbol",TRUE)," ")</f>
        <v xml:space="preserve"> </v>
      </c>
      <c r="E989" s="13"/>
      <c r="F989" s="13"/>
      <c r="G989" s="10" t="str">
        <f t="shared" si="32"/>
        <v xml:space="preserve"> </v>
      </c>
      <c r="H989" s="13"/>
      <c r="I989" s="24"/>
      <c r="J989" s="13">
        <f>IFERROR(FundManager[[#This Row],[Current Value]]-FundManager[[#This Row],[Amount Invested]]," ")</f>
        <v>0</v>
      </c>
      <c r="K989" s="14" t="str">
        <f t="shared" si="33"/>
        <v xml:space="preserve"> </v>
      </c>
      <c r="L989" s="15" t="str" cm="1">
        <f t="array" ref="L989">IFERROR(ROUND(_FV(B989,"Change (%)",TRUE),3) &amp; "%"," ")</f>
        <v xml:space="preserve"> </v>
      </c>
    </row>
    <row r="990" spans="1:12" x14ac:dyDescent="0.25">
      <c r="A990" s="19"/>
      <c r="C990" s="10" t="str" cm="1">
        <f t="array" ref="C990">IFERROR(_FV(FundManager[[#This Row],[Name]],"Ticker symbol",TRUE)," ")</f>
        <v xml:space="preserve"> </v>
      </c>
      <c r="E990" s="13"/>
      <c r="F990" s="13"/>
      <c r="G990" s="10" t="str">
        <f t="shared" si="32"/>
        <v xml:space="preserve"> </v>
      </c>
      <c r="H990" s="13"/>
      <c r="I990" s="24"/>
      <c r="J990" s="13">
        <f>IFERROR(FundManager[[#This Row],[Current Value]]-FundManager[[#This Row],[Amount Invested]]," ")</f>
        <v>0</v>
      </c>
      <c r="K990" s="14" t="str">
        <f t="shared" si="33"/>
        <v xml:space="preserve"> </v>
      </c>
      <c r="L990" s="15" t="str" cm="1">
        <f t="array" ref="L990">IFERROR(ROUND(_FV(B990,"Change (%)",TRUE),3) &amp; "%"," ")</f>
        <v xml:space="preserve"> </v>
      </c>
    </row>
    <row r="991" spans="1:12" x14ac:dyDescent="0.25">
      <c r="A991" s="19"/>
      <c r="C991" s="10" t="str" cm="1">
        <f t="array" ref="C991">IFERROR(_FV(FundManager[[#This Row],[Name]],"Ticker symbol",TRUE)," ")</f>
        <v xml:space="preserve"> </v>
      </c>
      <c r="E991" s="13"/>
      <c r="F991" s="13"/>
      <c r="G991" s="10" t="str">
        <f t="shared" si="32"/>
        <v xml:space="preserve"> </v>
      </c>
      <c r="H991" s="13"/>
      <c r="I991" s="24"/>
      <c r="J991" s="13">
        <f>IFERROR(FundManager[[#This Row],[Current Value]]-FundManager[[#This Row],[Amount Invested]]," ")</f>
        <v>0</v>
      </c>
      <c r="K991" s="14" t="str">
        <f t="shared" si="33"/>
        <v xml:space="preserve"> </v>
      </c>
      <c r="L991" s="15" t="str" cm="1">
        <f t="array" ref="L991">IFERROR(ROUND(_FV(B991,"Change (%)",TRUE),3) &amp; "%"," ")</f>
        <v xml:space="preserve"> </v>
      </c>
    </row>
    <row r="992" spans="1:12" x14ac:dyDescent="0.25">
      <c r="A992" s="19"/>
      <c r="C992" s="10" t="str" cm="1">
        <f t="array" ref="C992">IFERROR(_FV(FundManager[[#This Row],[Name]],"Ticker symbol",TRUE)," ")</f>
        <v xml:space="preserve"> </v>
      </c>
      <c r="E992" s="13"/>
      <c r="F992" s="13"/>
      <c r="G992" s="10" t="str">
        <f t="shared" si="32"/>
        <v xml:space="preserve"> </v>
      </c>
      <c r="H992" s="13"/>
      <c r="I992" s="24"/>
      <c r="J992" s="13">
        <f>IFERROR(FundManager[[#This Row],[Current Value]]-FundManager[[#This Row],[Amount Invested]]," ")</f>
        <v>0</v>
      </c>
      <c r="K992" s="14" t="str">
        <f t="shared" si="33"/>
        <v xml:space="preserve"> </v>
      </c>
      <c r="L992" s="15" t="str" cm="1">
        <f t="array" ref="L992">IFERROR(ROUND(_FV(B992,"Change (%)",TRUE),3) &amp; "%"," ")</f>
        <v xml:space="preserve"> </v>
      </c>
    </row>
    <row r="993" spans="1:12" x14ac:dyDescent="0.25">
      <c r="A993" s="19"/>
      <c r="C993" s="10" t="str" cm="1">
        <f t="array" ref="C993">IFERROR(_FV(FundManager[[#This Row],[Name]],"Ticker symbol",TRUE)," ")</f>
        <v xml:space="preserve"> </v>
      </c>
      <c r="E993" s="13"/>
      <c r="F993" s="13"/>
      <c r="G993" s="10" t="str">
        <f t="shared" si="32"/>
        <v xml:space="preserve"> </v>
      </c>
      <c r="H993" s="13"/>
      <c r="I993" s="24"/>
      <c r="J993" s="13">
        <f>IFERROR(FundManager[[#This Row],[Current Value]]-FundManager[[#This Row],[Amount Invested]]," ")</f>
        <v>0</v>
      </c>
      <c r="K993" s="14" t="str">
        <f t="shared" si="33"/>
        <v xml:space="preserve"> </v>
      </c>
      <c r="L993" s="15" t="str" cm="1">
        <f t="array" ref="L993">IFERROR(ROUND(_FV(B993,"Change (%)",TRUE),3) &amp; "%"," ")</f>
        <v xml:space="preserve"> </v>
      </c>
    </row>
    <row r="994" spans="1:12" x14ac:dyDescent="0.25">
      <c r="A994" s="19"/>
      <c r="C994" s="10" t="str" cm="1">
        <f t="array" ref="C994">IFERROR(_FV(FundManager[[#This Row],[Name]],"Ticker symbol",TRUE)," ")</f>
        <v xml:space="preserve"> </v>
      </c>
      <c r="E994" s="13"/>
      <c r="F994" s="13"/>
      <c r="G994" s="10" t="str">
        <f t="shared" si="32"/>
        <v xml:space="preserve"> </v>
      </c>
      <c r="H994" s="13"/>
      <c r="I994" s="24"/>
      <c r="J994" s="13">
        <f>IFERROR(FundManager[[#This Row],[Current Value]]-FundManager[[#This Row],[Amount Invested]]," ")</f>
        <v>0</v>
      </c>
      <c r="K994" s="14" t="str">
        <f t="shared" si="33"/>
        <v xml:space="preserve"> </v>
      </c>
      <c r="L994" s="15" t="str" cm="1">
        <f t="array" ref="L994">IFERROR(ROUND(_FV(B994,"Change (%)",TRUE),3) &amp; "%"," ")</f>
        <v xml:space="preserve"> </v>
      </c>
    </row>
    <row r="995" spans="1:12" x14ac:dyDescent="0.25">
      <c r="A995" s="19"/>
      <c r="C995" s="10" t="str" cm="1">
        <f t="array" ref="C995">IFERROR(_FV(FundManager[[#This Row],[Name]],"Ticker symbol",TRUE)," ")</f>
        <v xml:space="preserve"> </v>
      </c>
      <c r="E995" s="13"/>
      <c r="F995" s="13"/>
      <c r="G995" s="10" t="str">
        <f t="shared" si="32"/>
        <v xml:space="preserve"> </v>
      </c>
      <c r="H995" s="13"/>
      <c r="I995" s="24"/>
      <c r="J995" s="13">
        <f>IFERROR(FundManager[[#This Row],[Current Value]]-FundManager[[#This Row],[Amount Invested]]," ")</f>
        <v>0</v>
      </c>
      <c r="K995" s="14" t="str">
        <f t="shared" si="33"/>
        <v xml:space="preserve"> </v>
      </c>
      <c r="L995" s="15" t="str" cm="1">
        <f t="array" ref="L995">IFERROR(ROUND(_FV(B995,"Change (%)",TRUE),3) &amp; "%"," ")</f>
        <v xml:space="preserve"> </v>
      </c>
    </row>
    <row r="996" spans="1:12" x14ac:dyDescent="0.25">
      <c r="A996" s="19"/>
      <c r="C996" s="10" t="str" cm="1">
        <f t="array" ref="C996">IFERROR(_FV(FundManager[[#This Row],[Name]],"Ticker symbol",TRUE)," ")</f>
        <v xml:space="preserve"> </v>
      </c>
      <c r="E996" s="13"/>
      <c r="F996" s="13"/>
      <c r="G996" s="10" t="str">
        <f t="shared" si="32"/>
        <v xml:space="preserve"> </v>
      </c>
      <c r="H996" s="13"/>
      <c r="I996" s="24"/>
      <c r="J996" s="13">
        <f>IFERROR(FundManager[[#This Row],[Current Value]]-FundManager[[#This Row],[Amount Invested]]," ")</f>
        <v>0</v>
      </c>
      <c r="K996" s="14" t="str">
        <f t="shared" si="33"/>
        <v xml:space="preserve"> </v>
      </c>
      <c r="L996" s="15" t="str" cm="1">
        <f t="array" ref="L996">IFERROR(ROUND(_FV(B996,"Change (%)",TRUE),3) &amp; "%"," ")</f>
        <v xml:space="preserve"> </v>
      </c>
    </row>
    <row r="997" spans="1:12" x14ac:dyDescent="0.25">
      <c r="A997" s="19"/>
      <c r="C997" s="10" t="str" cm="1">
        <f t="array" ref="C997">IFERROR(_FV(FundManager[[#This Row],[Name]],"Ticker symbol",TRUE)," ")</f>
        <v xml:space="preserve"> </v>
      </c>
      <c r="E997" s="13"/>
      <c r="F997" s="13"/>
      <c r="G997" s="10" t="str">
        <f t="shared" si="32"/>
        <v xml:space="preserve"> </v>
      </c>
      <c r="H997" s="13"/>
      <c r="I997" s="24"/>
      <c r="J997" s="13">
        <f>IFERROR(FundManager[[#This Row],[Current Value]]-FundManager[[#This Row],[Amount Invested]]," ")</f>
        <v>0</v>
      </c>
      <c r="K997" s="14" t="str">
        <f t="shared" si="33"/>
        <v xml:space="preserve"> </v>
      </c>
      <c r="L997" s="15" t="str" cm="1">
        <f t="array" ref="L997">IFERROR(ROUND(_FV(B997,"Change (%)",TRUE),3) &amp; "%"," ")</f>
        <v xml:space="preserve"> </v>
      </c>
    </row>
    <row r="998" spans="1:12" x14ac:dyDescent="0.25">
      <c r="A998" s="19"/>
      <c r="C998" s="10" t="str" cm="1">
        <f t="array" ref="C998">IFERROR(_FV(FundManager[[#This Row],[Name]],"Ticker symbol",TRUE)," ")</f>
        <v xml:space="preserve"> </v>
      </c>
      <c r="E998" s="13"/>
      <c r="F998" s="13"/>
      <c r="G998" s="10" t="str">
        <f t="shared" si="32"/>
        <v xml:space="preserve"> </v>
      </c>
      <c r="H998" s="13"/>
      <c r="I998" s="24"/>
      <c r="J998" s="13">
        <f>IFERROR(FundManager[[#This Row],[Current Value]]-FundManager[[#This Row],[Amount Invested]]," ")</f>
        <v>0</v>
      </c>
      <c r="K998" s="14" t="str">
        <f t="shared" si="33"/>
        <v xml:space="preserve"> </v>
      </c>
      <c r="L998" s="15" t="str" cm="1">
        <f t="array" ref="L998">IFERROR(ROUND(_FV(B998,"Change (%)",TRUE),3) &amp; "%"," ")</f>
        <v xml:space="preserve"> </v>
      </c>
    </row>
    <row r="999" spans="1:12" x14ac:dyDescent="0.25">
      <c r="A999" s="19"/>
      <c r="C999" s="10" t="str" cm="1">
        <f t="array" ref="C999">IFERROR(_FV(FundManager[[#This Row],[Name]],"Ticker symbol",TRUE)," ")</f>
        <v xml:space="preserve"> </v>
      </c>
      <c r="E999" s="13"/>
      <c r="F999" s="13"/>
      <c r="G999" s="10" t="str">
        <f t="shared" si="32"/>
        <v xml:space="preserve"> </v>
      </c>
      <c r="H999" s="13"/>
      <c r="I999" s="24"/>
      <c r="J999" s="13">
        <f>IFERROR(FundManager[[#This Row],[Current Value]]-FundManager[[#This Row],[Amount Invested]]," ")</f>
        <v>0</v>
      </c>
      <c r="K999" s="14" t="str">
        <f t="shared" si="33"/>
        <v xml:space="preserve"> </v>
      </c>
      <c r="L999" s="15" t="str" cm="1">
        <f t="array" ref="L999">IFERROR(ROUND(_FV(B999,"Change (%)",TRUE),3) &amp; "%"," ")</f>
        <v xml:space="preserve"> </v>
      </c>
    </row>
    <row r="1000" spans="1:12" x14ac:dyDescent="0.25">
      <c r="A1000" s="19"/>
      <c r="C1000" s="10" t="str" cm="1">
        <f t="array" ref="C1000">IFERROR(_FV(FundManager[[#This Row],[Name]],"Ticker symbol",TRUE)," ")</f>
        <v xml:space="preserve"> </v>
      </c>
      <c r="E1000" s="13"/>
      <c r="F1000" s="13"/>
      <c r="G1000" s="10" t="str">
        <f t="shared" si="32"/>
        <v xml:space="preserve"> </v>
      </c>
      <c r="H1000" s="13"/>
      <c r="I1000" s="24"/>
      <c r="J1000" s="13">
        <f>IFERROR(FundManager[[#This Row],[Current Value]]-FundManager[[#This Row],[Amount Invested]]," ")</f>
        <v>0</v>
      </c>
      <c r="K1000" s="14" t="str">
        <f t="shared" si="33"/>
        <v xml:space="preserve"> </v>
      </c>
      <c r="L1000" s="15" t="str" cm="1">
        <f t="array" ref="L1000">IFERROR(ROUND(_FV(B1000,"Change (%)",TRUE),3) &amp; "%"," ")</f>
        <v xml:space="preserve"> </v>
      </c>
    </row>
    <row r="1001" spans="1:12" x14ac:dyDescent="0.25">
      <c r="A1001" s="19"/>
      <c r="C1001" s="10" t="str" cm="1">
        <f t="array" ref="C1001">IFERROR(_FV(FundManager[[#This Row],[Name]],"Ticker symbol",TRUE)," ")</f>
        <v xml:space="preserve"> </v>
      </c>
      <c r="E1001" s="13"/>
      <c r="F1001" s="13"/>
      <c r="G1001" s="10" t="str">
        <f t="shared" si="32"/>
        <v xml:space="preserve"> </v>
      </c>
      <c r="H1001" s="13"/>
      <c r="I1001" s="24"/>
      <c r="J1001" s="13">
        <f>IFERROR(FundManager[[#This Row],[Current Value]]-FundManager[[#This Row],[Amount Invested]]," ")</f>
        <v>0</v>
      </c>
      <c r="K1001" s="14" t="str">
        <f t="shared" si="33"/>
        <v xml:space="preserve"> </v>
      </c>
      <c r="L1001" s="15" t="str" cm="1">
        <f t="array" ref="L1001">IFERROR(ROUND(_FV(B1001,"Change (%)",TRUE),3) &amp; "%"," ")</f>
        <v xml:space="preserve"> </v>
      </c>
    </row>
    <row r="1002" spans="1:12" x14ac:dyDescent="0.25">
      <c r="A1002" s="19"/>
      <c r="C1002" s="10" t="str" cm="1">
        <f t="array" ref="C1002">IFERROR(_FV(FundManager[[#This Row],[Name]],"Ticker symbol",TRUE)," ")</f>
        <v xml:space="preserve"> </v>
      </c>
      <c r="E1002" s="13"/>
      <c r="F1002" s="13"/>
      <c r="G1002" s="10" t="str">
        <f t="shared" si="32"/>
        <v xml:space="preserve"> </v>
      </c>
      <c r="H1002" s="13"/>
      <c r="I1002" s="24"/>
      <c r="J1002" s="13">
        <f>IFERROR(FundManager[[#This Row],[Current Value]]-FundManager[[#This Row],[Amount Invested]]," ")</f>
        <v>0</v>
      </c>
      <c r="K1002" s="14" t="str">
        <f t="shared" si="33"/>
        <v xml:space="preserve"> </v>
      </c>
      <c r="L1002" s="15" t="str" cm="1">
        <f t="array" ref="L1002">IFERROR(ROUND(_FV(B1002,"Change (%)",TRUE),3) &amp; "%"," ")</f>
        <v xml:space="preserve"> </v>
      </c>
    </row>
    <row r="1003" spans="1:12" x14ac:dyDescent="0.25">
      <c r="A1003" s="19"/>
      <c r="C1003" s="10" t="str" cm="1">
        <f t="array" ref="C1003">IFERROR(_FV(FundManager[[#This Row],[Name]],"Ticker symbol",TRUE)," ")</f>
        <v xml:space="preserve"> </v>
      </c>
      <c r="E1003" s="13"/>
      <c r="F1003" s="13"/>
      <c r="G1003" s="10" t="str">
        <f t="shared" si="32"/>
        <v xml:space="preserve"> </v>
      </c>
      <c r="H1003" s="13"/>
      <c r="I1003" s="24"/>
      <c r="J1003" s="13">
        <f>IFERROR(FundManager[[#This Row],[Current Value]]-FundManager[[#This Row],[Amount Invested]]," ")</f>
        <v>0</v>
      </c>
      <c r="K1003" s="14" t="str">
        <f t="shared" si="33"/>
        <v xml:space="preserve"> </v>
      </c>
      <c r="L1003" s="15" t="str" cm="1">
        <f t="array" ref="L1003">IFERROR(ROUND(_FV(B1003,"Change (%)",TRUE),3) &amp; "%"," ")</f>
        <v xml:space="preserve"> </v>
      </c>
    </row>
    <row r="1004" spans="1:12" x14ac:dyDescent="0.25">
      <c r="A1004" s="19"/>
      <c r="C1004" s="10" t="str" cm="1">
        <f t="array" ref="C1004">IFERROR(_FV(FundManager[[#This Row],[Name]],"Ticker symbol",TRUE)," ")</f>
        <v xml:space="preserve"> </v>
      </c>
      <c r="E1004" s="13"/>
      <c r="F1004" s="13"/>
      <c r="G1004" s="10" t="str">
        <f t="shared" si="32"/>
        <v xml:space="preserve"> </v>
      </c>
      <c r="H1004" s="13"/>
      <c r="I1004" s="24"/>
      <c r="J1004" s="13">
        <f>IFERROR(FundManager[[#This Row],[Current Value]]-FundManager[[#This Row],[Amount Invested]]," ")</f>
        <v>0</v>
      </c>
      <c r="K1004" s="14" t="str">
        <f t="shared" si="33"/>
        <v xml:space="preserve"> </v>
      </c>
      <c r="L1004" s="15" t="str" cm="1">
        <f t="array" ref="L1004">IFERROR(ROUND(_FV(B1004,"Change (%)",TRUE),3) &amp; "%"," ")</f>
        <v xml:space="preserve"> </v>
      </c>
    </row>
    <row r="1005" spans="1:12" x14ac:dyDescent="0.25">
      <c r="A1005" s="19"/>
      <c r="C1005" s="10" t="str" cm="1">
        <f t="array" ref="C1005">IFERROR(_FV(FundManager[[#This Row],[Name]],"Ticker symbol",TRUE)," ")</f>
        <v xml:space="preserve"> </v>
      </c>
      <c r="E1005" s="13"/>
      <c r="F1005" s="13"/>
      <c r="G1005" s="10" t="str">
        <f t="shared" si="32"/>
        <v xml:space="preserve"> </v>
      </c>
      <c r="H1005" s="13"/>
      <c r="I1005" s="24"/>
      <c r="J1005" s="13">
        <f>IFERROR(FundManager[[#This Row],[Current Value]]-FundManager[[#This Row],[Amount Invested]]," ")</f>
        <v>0</v>
      </c>
      <c r="K1005" s="14" t="str">
        <f t="shared" si="33"/>
        <v xml:space="preserve"> </v>
      </c>
      <c r="L1005" s="15" t="str" cm="1">
        <f t="array" ref="L1005">IFERROR(ROUND(_FV(B1005,"Change (%)",TRUE),3) &amp; "%"," ")</f>
        <v xml:space="preserve"> </v>
      </c>
    </row>
    <row r="1006" spans="1:12" x14ac:dyDescent="0.25">
      <c r="A1006" s="19"/>
      <c r="E1006" s="13"/>
      <c r="F1006" s="13"/>
      <c r="G1006" s="10" t="str">
        <f t="shared" si="32"/>
        <v xml:space="preserve"> </v>
      </c>
      <c r="H1006" s="13"/>
      <c r="I1006" s="24"/>
      <c r="J1006" s="13"/>
      <c r="K1006" s="14"/>
      <c r="L1006" s="15"/>
    </row>
    <row r="1048575" ht="13.5" customHeight="1" x14ac:dyDescent="0.25"/>
  </sheetData>
  <mergeCells count="4">
    <mergeCell ref="I20:K20"/>
    <mergeCell ref="A1:K3"/>
    <mergeCell ref="J6:M6"/>
    <mergeCell ref="H21:K21"/>
  </mergeCells>
  <conditionalFormatting sqref="L20:M20">
    <cfRule type="cellIs" dxfId="2" priority="4" operator="greaterThan">
      <formula>0</formula>
    </cfRule>
  </conditionalFormatting>
  <conditionalFormatting sqref="J23:J1005">
    <cfRule type="cellIs" dxfId="1" priority="2" operator="lessThan">
      <formula>0</formula>
    </cfRule>
    <cfRule type="cellIs" dxfId="0" priority="3" operator="greaterThan">
      <formula>0</formula>
    </cfRule>
  </conditionalFormatting>
  <dataValidations count="3">
    <dataValidation type="list" allowBlank="1" showInputMessage="1" showErrorMessage="1" sqref="D20:D21 D23:D1048576" xr:uid="{12EEE894-8D85-46E1-B02E-14BEBB4935E5}">
      <formula1>$AB$14:$AB$18</formula1>
    </dataValidation>
    <dataValidation type="list" allowBlank="1" showInputMessage="1" showErrorMessage="1" sqref="J5" xr:uid="{129C98EC-AC07-48D4-8F96-B2C33215BAB3}">
      <formula1>"1,2,3,6,12"</formula1>
    </dataValidation>
    <dataValidation type="list" allowBlank="1" showInputMessage="1" showErrorMessage="1" sqref="M5" xr:uid="{DF559A1A-07F8-4569-9C18-71CBED4AD166}">
      <formula1>$C$23:$C$1006</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2FAE9-6FCE-49C4-9B72-A1C967D4715E}">
  <sheetPr codeName="Sheet4"/>
  <dimension ref="A3:R255"/>
  <sheetViews>
    <sheetView topLeftCell="A23" workbookViewId="0">
      <selection activeCell="B40" sqref="B40"/>
    </sheetView>
  </sheetViews>
  <sheetFormatPr defaultRowHeight="15" x14ac:dyDescent="0.25"/>
  <cols>
    <col min="1" max="1" width="14.85546875" bestFit="1" customWidth="1"/>
    <col min="2" max="2" width="17.7109375" bestFit="1" customWidth="1"/>
    <col min="13" max="13" width="19.42578125" bestFit="1" customWidth="1"/>
    <col min="14" max="14" width="10.42578125" bestFit="1" customWidth="1"/>
    <col min="18" max="18" width="10.5703125" bestFit="1" customWidth="1"/>
  </cols>
  <sheetData>
    <row r="3" spans="1:18" x14ac:dyDescent="0.25">
      <c r="A3" s="8" t="s">
        <v>27</v>
      </c>
      <c r="B3" t="s">
        <v>29</v>
      </c>
      <c r="M3" s="6" t="s">
        <v>34</v>
      </c>
      <c r="N3" s="18" t="str">
        <f>Dashboard!M5</f>
        <v>TTWO</v>
      </c>
    </row>
    <row r="4" spans="1:18" x14ac:dyDescent="0.25">
      <c r="A4" s="9" t="s">
        <v>21</v>
      </c>
      <c r="B4" s="33">
        <v>1</v>
      </c>
      <c r="M4" t="s">
        <v>35</v>
      </c>
      <c r="N4" s="17">
        <f>Dashboard!J5</f>
        <v>3</v>
      </c>
    </row>
    <row r="5" spans="1:18" x14ac:dyDescent="0.25">
      <c r="A5" s="9" t="s">
        <v>23</v>
      </c>
      <c r="B5" s="33">
        <v>5</v>
      </c>
    </row>
    <row r="6" spans="1:18" x14ac:dyDescent="0.25">
      <c r="A6" s="9" t="s">
        <v>20</v>
      </c>
      <c r="B6" s="33">
        <v>1</v>
      </c>
      <c r="N6" t="str" cm="1">
        <f t="array" aca="1" ref="N6:O69" ca="1">_xlfn.STOCKHISTORY(N3,EDATE(TODAY(),-'Rough but Essential'!N4),TODAY(),0)</f>
        <v>Date</v>
      </c>
      <c r="O6" t="str">
        <f ca="1"/>
        <v>Close</v>
      </c>
      <c r="P6" t="s">
        <v>37</v>
      </c>
      <c r="Q6" t="s">
        <v>38</v>
      </c>
      <c r="R6" t="s">
        <v>36</v>
      </c>
    </row>
    <row r="7" spans="1:18" x14ac:dyDescent="0.25">
      <c r="A7" s="9" t="s">
        <v>24</v>
      </c>
      <c r="B7" s="33">
        <v>1</v>
      </c>
      <c r="N7" s="1" vm="9">
        <f ca="1"/>
        <v>45929</v>
      </c>
      <c r="O7" vm="10">
        <f ca="1"/>
        <v>259.95999999999998</v>
      </c>
      <c r="P7" s="20" cm="1">
        <f t="array" aca="1" ref="P7" ca="1">O7-IF(
  SUMPRODUCT((FundManager[Ticker]=$N$3)*(FundManager[Date]&lt;=N7)*FundManager[Amount Invested]) = 0,
  NA(),
  SUMPRODUCT((FundManager[Ticker]=$N$3)*(FundManager[Date]&lt;=N7)*(FundManager[Entry Price]*FundManager[Amount Invested])) /
  SUMPRODUCT((FundManager[Ticker]=$N$3)*(FundManager[Date]&lt;=N7)*FundManager[Amount Invested])
)</f>
        <v>69.95999999999998</v>
      </c>
      <c r="Q7">
        <f ca="1">SUMIFS(FundManager[Units Held], FundManager[Ticker], $N$3, FundManager[Date], "&lt;=" &amp; N7)</f>
        <v>2.1052631578947367</v>
      </c>
      <c r="R7" s="20">
        <f ca="1">_xlfn.IFNA(P7*Q7,0)</f>
        <v>147.28421052631575</v>
      </c>
    </row>
    <row r="8" spans="1:18" x14ac:dyDescent="0.25">
      <c r="A8" s="9" t="s">
        <v>22</v>
      </c>
      <c r="B8" s="33">
        <v>2</v>
      </c>
      <c r="N8" s="1" vm="11">
        <f ca="1"/>
        <v>45930</v>
      </c>
      <c r="O8" vm="12">
        <f ca="1"/>
        <v>258.36</v>
      </c>
      <c r="P8" s="20" cm="1">
        <f t="array" aca="1" ref="P8" ca="1">O8-IF(
  SUMPRODUCT((FundManager[Ticker]=$N$3)*(FundManager[Date]&lt;=N8)*FundManager[Amount Invested]) = 0,
  NA(),
  SUMPRODUCT((FundManager[Ticker]=$N$3)*(FundManager[Date]&lt;=N8)*(FundManager[Entry Price]*FundManager[Amount Invested])) /
  SUMPRODUCT((FundManager[Ticker]=$N$3)*(FundManager[Date]&lt;=N8)*FundManager[Amount Invested])
)</f>
        <v>68.360000000000014</v>
      </c>
      <c r="Q8">
        <f ca="1">SUMIFS(FundManager[Units Held], FundManager[Ticker], $N$3, FundManager[Date], "&lt;=" &amp; N8)</f>
        <v>2.1052631578947367</v>
      </c>
      <c r="R8" s="20">
        <f t="shared" ref="R8:R71" ca="1" si="0">_xlfn.IFNA(P8*Q8,0)</f>
        <v>143.91578947368424</v>
      </c>
    </row>
    <row r="9" spans="1:18" x14ac:dyDescent="0.25">
      <c r="A9" s="9" t="s">
        <v>28</v>
      </c>
      <c r="B9" s="33">
        <v>10</v>
      </c>
      <c r="N9" s="1" vm="13">
        <f ca="1"/>
        <v>45931</v>
      </c>
      <c r="O9" vm="14">
        <f ca="1"/>
        <v>255.4</v>
      </c>
      <c r="P9" s="20" cm="1">
        <f t="array" aca="1" ref="P9" ca="1">O9-IF(
  SUMPRODUCT((FundManager[Ticker]=$N$3)*(FundManager[Date]&lt;=N9)*FundManager[Amount Invested]) = 0,
  NA(),
  SUMPRODUCT((FundManager[Ticker]=$N$3)*(FundManager[Date]&lt;=N9)*(FundManager[Entry Price]*FundManager[Amount Invested])) /
  SUMPRODUCT((FundManager[Ticker]=$N$3)*(FundManager[Date]&lt;=N9)*FundManager[Amount Invested])
)</f>
        <v>65.400000000000006</v>
      </c>
      <c r="Q9">
        <f ca="1">SUMIFS(FundManager[Units Held], FundManager[Ticker], $N$3, FundManager[Date], "&lt;=" &amp; N9)</f>
        <v>2.1052631578947367</v>
      </c>
      <c r="R9" s="20">
        <f t="shared" ca="1" si="0"/>
        <v>137.68421052631578</v>
      </c>
    </row>
    <row r="10" spans="1:18" x14ac:dyDescent="0.25">
      <c r="N10" s="1" vm="15">
        <f ca="1"/>
        <v>45932</v>
      </c>
      <c r="O10" vm="16">
        <f ca="1"/>
        <v>256.94</v>
      </c>
      <c r="P10" s="20" cm="1">
        <f t="array" aca="1" ref="P10" ca="1">O10-IF(
  SUMPRODUCT((FundManager[Ticker]=$N$3)*(FundManager[Date]&lt;=N10)*FundManager[Amount Invested]) = 0,
  NA(),
  SUMPRODUCT((FundManager[Ticker]=$N$3)*(FundManager[Date]&lt;=N10)*(FundManager[Entry Price]*FundManager[Amount Invested])) /
  SUMPRODUCT((FundManager[Ticker]=$N$3)*(FundManager[Date]&lt;=N10)*FundManager[Amount Invested])
)</f>
        <v>66.94</v>
      </c>
      <c r="Q10">
        <f ca="1">SUMIFS(FundManager[Units Held], FundManager[Ticker], $N$3, FundManager[Date], "&lt;=" &amp; N10)</f>
        <v>2.1052631578947367</v>
      </c>
      <c r="R10" s="20">
        <f t="shared" ca="1" si="0"/>
        <v>140.92631578947368</v>
      </c>
    </row>
    <row r="11" spans="1:18" x14ac:dyDescent="0.25">
      <c r="N11" s="1" vm="17">
        <f ca="1"/>
        <v>45933</v>
      </c>
      <c r="O11" vm="18">
        <f ca="1"/>
        <v>257.68</v>
      </c>
      <c r="P11" s="20" cm="1">
        <f t="array" aca="1" ref="P11" ca="1">O11-IF(
  SUMPRODUCT((FundManager[Ticker]=$N$3)*(FundManager[Date]&lt;=N11)*FundManager[Amount Invested]) = 0,
  NA(),
  SUMPRODUCT((FundManager[Ticker]=$N$3)*(FundManager[Date]&lt;=N11)*(FundManager[Entry Price]*FundManager[Amount Invested])) /
  SUMPRODUCT((FundManager[Ticker]=$N$3)*(FundManager[Date]&lt;=N11)*FundManager[Amount Invested])
)</f>
        <v>67.680000000000007</v>
      </c>
      <c r="Q11">
        <f ca="1">SUMIFS(FundManager[Units Held], FundManager[Ticker], $N$3, FundManager[Date], "&lt;=" &amp; N11)</f>
        <v>2.1052631578947367</v>
      </c>
      <c r="R11" s="20">
        <f t="shared" ca="1" si="0"/>
        <v>142.48421052631579</v>
      </c>
    </row>
    <row r="12" spans="1:18" x14ac:dyDescent="0.25">
      <c r="N12" s="1" vm="19">
        <f ca="1"/>
        <v>45936</v>
      </c>
      <c r="O12" vm="20">
        <f ca="1"/>
        <v>256.98</v>
      </c>
      <c r="P12" s="20" cm="1">
        <f t="array" aca="1" ref="P12" ca="1">O12-IF(
  SUMPRODUCT((FundManager[Ticker]=$N$3)*(FundManager[Date]&lt;=N12)*FundManager[Amount Invested]) = 0,
  NA(),
  SUMPRODUCT((FundManager[Ticker]=$N$3)*(FundManager[Date]&lt;=N12)*(FundManager[Entry Price]*FundManager[Amount Invested])) /
  SUMPRODUCT((FundManager[Ticker]=$N$3)*(FundManager[Date]&lt;=N12)*FundManager[Amount Invested])
)</f>
        <v>66.980000000000018</v>
      </c>
      <c r="Q12">
        <f ca="1">SUMIFS(FundManager[Units Held], FundManager[Ticker], $N$3, FundManager[Date], "&lt;=" &amp; N12)</f>
        <v>2.1052631578947367</v>
      </c>
      <c r="R12" s="20">
        <f t="shared" ca="1" si="0"/>
        <v>141.01052631578949</v>
      </c>
    </row>
    <row r="13" spans="1:18" x14ac:dyDescent="0.25">
      <c r="N13" s="1" vm="21">
        <f ca="1"/>
        <v>45937</v>
      </c>
      <c r="O13" vm="22">
        <f ca="1"/>
        <v>260.5</v>
      </c>
      <c r="P13" s="20" cm="1">
        <f t="array" aca="1" ref="P13" ca="1">O13-IF(
  SUMPRODUCT((FundManager[Ticker]=$N$3)*(FundManager[Date]&lt;=N13)*FundManager[Amount Invested]) = 0,
  NA(),
  SUMPRODUCT((FundManager[Ticker]=$N$3)*(FundManager[Date]&lt;=N13)*(FundManager[Entry Price]*FundManager[Amount Invested])) /
  SUMPRODUCT((FundManager[Ticker]=$N$3)*(FundManager[Date]&lt;=N13)*FundManager[Amount Invested])
)</f>
        <v>70.5</v>
      </c>
      <c r="Q13">
        <f ca="1">SUMIFS(FundManager[Units Held], FundManager[Ticker], $N$3, FundManager[Date], "&lt;=" &amp; N13)</f>
        <v>2.1052631578947367</v>
      </c>
      <c r="R13" s="20">
        <f t="shared" ca="1" si="0"/>
        <v>148.42105263157893</v>
      </c>
    </row>
    <row r="14" spans="1:18" x14ac:dyDescent="0.25">
      <c r="N14" s="1" vm="23">
        <f ca="1"/>
        <v>45938</v>
      </c>
      <c r="O14" vm="24">
        <f ca="1"/>
        <v>258.07</v>
      </c>
      <c r="P14" s="20" cm="1">
        <f t="array" aca="1" ref="P14" ca="1">O14-IF(
  SUMPRODUCT((FundManager[Ticker]=$N$3)*(FundManager[Date]&lt;=N14)*FundManager[Amount Invested]) = 0,
  NA(),
  SUMPRODUCT((FundManager[Ticker]=$N$3)*(FundManager[Date]&lt;=N14)*(FundManager[Entry Price]*FundManager[Amount Invested])) /
  SUMPRODUCT((FundManager[Ticker]=$N$3)*(FundManager[Date]&lt;=N14)*FundManager[Amount Invested])
)</f>
        <v>68.069999999999993</v>
      </c>
      <c r="Q14">
        <f ca="1">SUMIFS(FundManager[Units Held], FundManager[Ticker], $N$3, FundManager[Date], "&lt;=" &amp; N14)</f>
        <v>2.1052631578947367</v>
      </c>
      <c r="R14" s="20">
        <f t="shared" ca="1" si="0"/>
        <v>143.30526315789473</v>
      </c>
    </row>
    <row r="15" spans="1:18" x14ac:dyDescent="0.25">
      <c r="N15" s="1" vm="25">
        <f ca="1"/>
        <v>45939</v>
      </c>
      <c r="O15" vm="26">
        <f ca="1"/>
        <v>256.69</v>
      </c>
      <c r="P15" s="20" cm="1">
        <f t="array" aca="1" ref="P15" ca="1">O15-IF(
  SUMPRODUCT((FundManager[Ticker]=$N$3)*(FundManager[Date]&lt;=N15)*FundManager[Amount Invested]) = 0,
  NA(),
  SUMPRODUCT((FundManager[Ticker]=$N$3)*(FundManager[Date]&lt;=N15)*(FundManager[Entry Price]*FundManager[Amount Invested])) /
  SUMPRODUCT((FundManager[Ticker]=$N$3)*(FundManager[Date]&lt;=N15)*FundManager[Amount Invested])
)</f>
        <v>66.69</v>
      </c>
      <c r="Q15">
        <f ca="1">SUMIFS(FundManager[Units Held], FundManager[Ticker], $N$3, FundManager[Date], "&lt;=" &amp; N15)</f>
        <v>2.1052631578947367</v>
      </c>
      <c r="R15" s="20">
        <f t="shared" ca="1" si="0"/>
        <v>140.39999999999998</v>
      </c>
    </row>
    <row r="16" spans="1:18" x14ac:dyDescent="0.25">
      <c r="N16" s="1" vm="27">
        <f ca="1"/>
        <v>45940</v>
      </c>
      <c r="O16" vm="28">
        <f ca="1"/>
        <v>251.97</v>
      </c>
      <c r="P16" s="20" cm="1">
        <f t="array" aca="1" ref="P16" ca="1">O16-IF(
  SUMPRODUCT((FundManager[Ticker]=$N$3)*(FundManager[Date]&lt;=N16)*FundManager[Amount Invested]) = 0,
  NA(),
  SUMPRODUCT((FundManager[Ticker]=$N$3)*(FundManager[Date]&lt;=N16)*(FundManager[Entry Price]*FundManager[Amount Invested])) /
  SUMPRODUCT((FundManager[Ticker]=$N$3)*(FundManager[Date]&lt;=N16)*FundManager[Amount Invested])
)</f>
        <v>61.97</v>
      </c>
      <c r="Q16">
        <f ca="1">SUMIFS(FundManager[Units Held], FundManager[Ticker], $N$3, FundManager[Date], "&lt;=" &amp; N16)</f>
        <v>2.1052631578947367</v>
      </c>
      <c r="R16" s="20">
        <f t="shared" ca="1" si="0"/>
        <v>130.46315789473684</v>
      </c>
    </row>
    <row r="17" spans="1:18" x14ac:dyDescent="0.25">
      <c r="N17" s="1" vm="29">
        <f ca="1"/>
        <v>45943</v>
      </c>
      <c r="O17" vm="30">
        <f ca="1"/>
        <v>256.68</v>
      </c>
      <c r="P17" s="20" cm="1">
        <f t="array" aca="1" ref="P17" ca="1">O17-IF(
  SUMPRODUCT((FundManager[Ticker]=$N$3)*(FundManager[Date]&lt;=N17)*FundManager[Amount Invested]) = 0,
  NA(),
  SUMPRODUCT((FundManager[Ticker]=$N$3)*(FundManager[Date]&lt;=N17)*(FundManager[Entry Price]*FundManager[Amount Invested])) /
  SUMPRODUCT((FundManager[Ticker]=$N$3)*(FundManager[Date]&lt;=N17)*FundManager[Amount Invested])
)</f>
        <v>66.680000000000007</v>
      </c>
      <c r="Q17">
        <f ca="1">SUMIFS(FundManager[Units Held], FundManager[Ticker], $N$3, FundManager[Date], "&lt;=" &amp; N17)</f>
        <v>2.1052631578947367</v>
      </c>
      <c r="R17" s="20">
        <f t="shared" ca="1" si="0"/>
        <v>140.37894736842105</v>
      </c>
    </row>
    <row r="18" spans="1:18" x14ac:dyDescent="0.25">
      <c r="N18" s="1" vm="31">
        <f ca="1"/>
        <v>45944</v>
      </c>
      <c r="O18" vm="32">
        <f ca="1"/>
        <v>257.72000000000003</v>
      </c>
      <c r="P18" s="20" cm="1">
        <f t="array" aca="1" ref="P18" ca="1">O18-IF(
  SUMPRODUCT((FundManager[Ticker]=$N$3)*(FundManager[Date]&lt;=N18)*FundManager[Amount Invested]) = 0,
  NA(),
  SUMPRODUCT((FundManager[Ticker]=$N$3)*(FundManager[Date]&lt;=N18)*(FundManager[Entry Price]*FundManager[Amount Invested])) /
  SUMPRODUCT((FundManager[Ticker]=$N$3)*(FundManager[Date]&lt;=N18)*FundManager[Amount Invested])
)</f>
        <v>67.720000000000027</v>
      </c>
      <c r="Q18">
        <f ca="1">SUMIFS(FundManager[Units Held], FundManager[Ticker], $N$3, FundManager[Date], "&lt;=" &amp; N18)</f>
        <v>2.1052631578947367</v>
      </c>
      <c r="R18" s="20">
        <f t="shared" ca="1" si="0"/>
        <v>142.56842105263163</v>
      </c>
    </row>
    <row r="19" spans="1:18" x14ac:dyDescent="0.25">
      <c r="N19" s="1" vm="33">
        <f ca="1"/>
        <v>45945</v>
      </c>
      <c r="O19" vm="34">
        <f ca="1"/>
        <v>261.5</v>
      </c>
      <c r="P19" s="20" cm="1">
        <f t="array" aca="1" ref="P19" ca="1">O19-IF(
  SUMPRODUCT((FundManager[Ticker]=$N$3)*(FundManager[Date]&lt;=N19)*FundManager[Amount Invested]) = 0,
  NA(),
  SUMPRODUCT((FundManager[Ticker]=$N$3)*(FundManager[Date]&lt;=N19)*(FundManager[Entry Price]*FundManager[Amount Invested])) /
  SUMPRODUCT((FundManager[Ticker]=$N$3)*(FundManager[Date]&lt;=N19)*FundManager[Amount Invested])
)</f>
        <v>71.5</v>
      </c>
      <c r="Q19">
        <f ca="1">SUMIFS(FundManager[Units Held], FundManager[Ticker], $N$3, FundManager[Date], "&lt;=" &amp; N19)</f>
        <v>2.1052631578947367</v>
      </c>
      <c r="R19" s="20">
        <f t="shared" ca="1" si="0"/>
        <v>150.52631578947367</v>
      </c>
    </row>
    <row r="20" spans="1:18" x14ac:dyDescent="0.25">
      <c r="N20" s="1" vm="35">
        <f ca="1"/>
        <v>45946</v>
      </c>
      <c r="O20" vm="36">
        <f ca="1"/>
        <v>259.23</v>
      </c>
      <c r="P20" s="20" cm="1">
        <f t="array" aca="1" ref="P20" ca="1">O20-IF(
  SUMPRODUCT((FundManager[Ticker]=$N$3)*(FundManager[Date]&lt;=N20)*FundManager[Amount Invested]) = 0,
  NA(),
  SUMPRODUCT((FundManager[Ticker]=$N$3)*(FundManager[Date]&lt;=N20)*(FundManager[Entry Price]*FundManager[Amount Invested])) /
  SUMPRODUCT((FundManager[Ticker]=$N$3)*(FundManager[Date]&lt;=N20)*FundManager[Amount Invested])
)</f>
        <v>69.230000000000018</v>
      </c>
      <c r="Q20">
        <f ca="1">SUMIFS(FundManager[Units Held], FundManager[Ticker], $N$3, FundManager[Date], "&lt;=" &amp; N20)</f>
        <v>2.1052631578947367</v>
      </c>
      <c r="R20" s="20">
        <f t="shared" ca="1" si="0"/>
        <v>145.74736842105267</v>
      </c>
    </row>
    <row r="21" spans="1:18" x14ac:dyDescent="0.25">
      <c r="N21" s="1" vm="37">
        <f ca="1"/>
        <v>45947</v>
      </c>
      <c r="O21" vm="38">
        <f ca="1"/>
        <v>261.35000000000002</v>
      </c>
      <c r="P21" s="20" cm="1">
        <f t="array" aca="1" ref="P21" ca="1">O21-IF(
  SUMPRODUCT((FundManager[Ticker]=$N$3)*(FundManager[Date]&lt;=N21)*FundManager[Amount Invested]) = 0,
  NA(),
  SUMPRODUCT((FundManager[Ticker]=$N$3)*(FundManager[Date]&lt;=N21)*(FundManager[Entry Price]*FundManager[Amount Invested])) /
  SUMPRODUCT((FundManager[Ticker]=$N$3)*(FundManager[Date]&lt;=N21)*FundManager[Amount Invested])
)</f>
        <v>71.350000000000023</v>
      </c>
      <c r="Q21">
        <f ca="1">SUMIFS(FundManager[Units Held], FundManager[Ticker], $N$3, FundManager[Date], "&lt;=" &amp; N21)</f>
        <v>2.1052631578947367</v>
      </c>
      <c r="R21" s="20">
        <f t="shared" ca="1" si="0"/>
        <v>150.21052631578951</v>
      </c>
    </row>
    <row r="22" spans="1:18" x14ac:dyDescent="0.25">
      <c r="N22" s="1" vm="39">
        <f ca="1"/>
        <v>45950</v>
      </c>
      <c r="O22" vm="40">
        <f ca="1"/>
        <v>262.29000000000002</v>
      </c>
      <c r="P22" s="20" cm="1">
        <f t="array" aca="1" ref="P22" ca="1">O22-IF(
  SUMPRODUCT((FundManager[Ticker]=$N$3)*(FundManager[Date]&lt;=N22)*FundManager[Amount Invested]) = 0,
  NA(),
  SUMPRODUCT((FundManager[Ticker]=$N$3)*(FundManager[Date]&lt;=N22)*(FundManager[Entry Price]*FundManager[Amount Invested])) /
  SUMPRODUCT((FundManager[Ticker]=$N$3)*(FundManager[Date]&lt;=N22)*FundManager[Amount Invested])
)</f>
        <v>72.29000000000002</v>
      </c>
      <c r="Q22">
        <f ca="1">SUMIFS(FundManager[Units Held], FundManager[Ticker], $N$3, FundManager[Date], "&lt;=" &amp; N22)</f>
        <v>2.1052631578947367</v>
      </c>
      <c r="R22" s="20">
        <f t="shared" ca="1" si="0"/>
        <v>152.18947368421055</v>
      </c>
    </row>
    <row r="23" spans="1:18" x14ac:dyDescent="0.25">
      <c r="N23" s="1" vm="41">
        <f ca="1"/>
        <v>45951</v>
      </c>
      <c r="O23" vm="42">
        <f ca="1"/>
        <v>260.27999999999997</v>
      </c>
      <c r="P23" s="20" cm="1">
        <f t="array" aca="1" ref="P23" ca="1">O23-IF(
  SUMPRODUCT((FundManager[Ticker]=$N$3)*(FundManager[Date]&lt;=N23)*FundManager[Amount Invested]) = 0,
  NA(),
  SUMPRODUCT((FundManager[Ticker]=$N$3)*(FundManager[Date]&lt;=N23)*(FundManager[Entry Price]*FundManager[Amount Invested])) /
  SUMPRODUCT((FundManager[Ticker]=$N$3)*(FundManager[Date]&lt;=N23)*FundManager[Amount Invested])
)</f>
        <v>70.279999999999973</v>
      </c>
      <c r="Q23">
        <f ca="1">SUMIFS(FundManager[Units Held], FundManager[Ticker], $N$3, FundManager[Date], "&lt;=" &amp; N23)</f>
        <v>2.1052631578947367</v>
      </c>
      <c r="R23" s="20">
        <f t="shared" ca="1" si="0"/>
        <v>147.95789473684204</v>
      </c>
    </row>
    <row r="24" spans="1:18" x14ac:dyDescent="0.25">
      <c r="N24" s="1" vm="43">
        <f ca="1"/>
        <v>45952</v>
      </c>
      <c r="O24" vm="44">
        <f ca="1"/>
        <v>255.56</v>
      </c>
      <c r="P24" s="20" cm="1">
        <f t="array" aca="1" ref="P24" ca="1">O24-IF(
  SUMPRODUCT((FundManager[Ticker]=$N$3)*(FundManager[Date]&lt;=N24)*FundManager[Amount Invested]) = 0,
  NA(),
  SUMPRODUCT((FundManager[Ticker]=$N$3)*(FundManager[Date]&lt;=N24)*(FundManager[Entry Price]*FundManager[Amount Invested])) /
  SUMPRODUCT((FundManager[Ticker]=$N$3)*(FundManager[Date]&lt;=N24)*FundManager[Amount Invested])
)</f>
        <v>65.56</v>
      </c>
      <c r="Q24">
        <f ca="1">SUMIFS(FundManager[Units Held], FundManager[Ticker], $N$3, FundManager[Date], "&lt;=" &amp; N24)</f>
        <v>2.1052631578947367</v>
      </c>
      <c r="R24" s="20">
        <f t="shared" ca="1" si="0"/>
        <v>138.02105263157895</v>
      </c>
    </row>
    <row r="25" spans="1:18" x14ac:dyDescent="0.25">
      <c r="N25" s="1" vm="45">
        <f ca="1"/>
        <v>45953</v>
      </c>
      <c r="O25" vm="46">
        <f ca="1"/>
        <v>254.53</v>
      </c>
      <c r="P25" s="20" cm="1">
        <f t="array" aca="1" ref="P25" ca="1">O25-IF(
  SUMPRODUCT((FundManager[Ticker]=$N$3)*(FundManager[Date]&lt;=N25)*FundManager[Amount Invested]) = 0,
  NA(),
  SUMPRODUCT((FundManager[Ticker]=$N$3)*(FundManager[Date]&lt;=N25)*(FundManager[Entry Price]*FundManager[Amount Invested])) /
  SUMPRODUCT((FundManager[Ticker]=$N$3)*(FundManager[Date]&lt;=N25)*FundManager[Amount Invested])
)</f>
        <v>64.53</v>
      </c>
      <c r="Q25">
        <f ca="1">SUMIFS(FundManager[Units Held], FundManager[Ticker], $N$3, FundManager[Date], "&lt;=" &amp; N25)</f>
        <v>2.1052631578947367</v>
      </c>
      <c r="R25" s="20">
        <f t="shared" ca="1" si="0"/>
        <v>135.85263157894735</v>
      </c>
    </row>
    <row r="26" spans="1:18" x14ac:dyDescent="0.25">
      <c r="N26" s="1" vm="47">
        <f ca="1"/>
        <v>45954</v>
      </c>
      <c r="O26" vm="48">
        <f ca="1"/>
        <v>255.12</v>
      </c>
      <c r="P26" s="20" cm="1">
        <f t="array" aca="1" ref="P26" ca="1">O26-IF(
  SUMPRODUCT((FundManager[Ticker]=$N$3)*(FundManager[Date]&lt;=N26)*FundManager[Amount Invested]) = 0,
  NA(),
  SUMPRODUCT((FundManager[Ticker]=$N$3)*(FundManager[Date]&lt;=N26)*(FundManager[Entry Price]*FundManager[Amount Invested])) /
  SUMPRODUCT((FundManager[Ticker]=$N$3)*(FundManager[Date]&lt;=N26)*FundManager[Amount Invested])
)</f>
        <v>65.12</v>
      </c>
      <c r="Q26">
        <f ca="1">SUMIFS(FundManager[Units Held], FundManager[Ticker], $N$3, FundManager[Date], "&lt;=" &amp; N26)</f>
        <v>2.1052631578947367</v>
      </c>
      <c r="R26" s="20">
        <f t="shared" ca="1" si="0"/>
        <v>137.09473684210528</v>
      </c>
    </row>
    <row r="27" spans="1:18" x14ac:dyDescent="0.25">
      <c r="A27" s="8" t="s">
        <v>27</v>
      </c>
      <c r="B27" t="s">
        <v>32</v>
      </c>
      <c r="N27" s="1" vm="49">
        <f ca="1"/>
        <v>45957</v>
      </c>
      <c r="O27" vm="50">
        <f ca="1"/>
        <v>254.27</v>
      </c>
      <c r="P27" s="20" cm="1">
        <f t="array" aca="1" ref="P27" ca="1">O27-IF(
  SUMPRODUCT((FundManager[Ticker]=$N$3)*(FundManager[Date]&lt;=N27)*FundManager[Amount Invested]) = 0,
  NA(),
  SUMPRODUCT((FundManager[Ticker]=$N$3)*(FundManager[Date]&lt;=N27)*(FundManager[Entry Price]*FundManager[Amount Invested])) /
  SUMPRODUCT((FundManager[Ticker]=$N$3)*(FundManager[Date]&lt;=N27)*FundManager[Amount Invested])
)</f>
        <v>64.27000000000001</v>
      </c>
      <c r="Q27">
        <f ca="1">SUMIFS(FundManager[Units Held], FundManager[Ticker], $N$3, FundManager[Date], "&lt;=" &amp; N27)</f>
        <v>2.1052631578947367</v>
      </c>
      <c r="R27" s="20">
        <f t="shared" ca="1" si="0"/>
        <v>135.30526315789476</v>
      </c>
    </row>
    <row r="28" spans="1:18" x14ac:dyDescent="0.25">
      <c r="A28" s="9" t="s">
        <v>22</v>
      </c>
      <c r="B28" s="4">
        <v>-292.49999999999989</v>
      </c>
      <c r="N28" s="1" vm="51">
        <f ca="1"/>
        <v>45958</v>
      </c>
      <c r="O28" vm="52">
        <f ca="1"/>
        <v>251.57</v>
      </c>
      <c r="P28" s="20" cm="1">
        <f t="array" aca="1" ref="P28" ca="1">O28-IF(
  SUMPRODUCT((FundManager[Ticker]=$N$3)*(FundManager[Date]&lt;=N28)*FundManager[Amount Invested]) = 0,
  NA(),
  SUMPRODUCT((FundManager[Ticker]=$N$3)*(FundManager[Date]&lt;=N28)*(FundManager[Entry Price]*FundManager[Amount Invested])) /
  SUMPRODUCT((FundManager[Ticker]=$N$3)*(FundManager[Date]&lt;=N28)*FundManager[Amount Invested])
)</f>
        <v>61.569999999999993</v>
      </c>
      <c r="Q28">
        <f ca="1">SUMIFS(FundManager[Units Held], FundManager[Ticker], $N$3, FundManager[Date], "&lt;=" &amp; N28)</f>
        <v>2.1052631578947367</v>
      </c>
      <c r="R28" s="20">
        <f t="shared" ca="1" si="0"/>
        <v>129.62105263157892</v>
      </c>
    </row>
    <row r="29" spans="1:18" x14ac:dyDescent="0.25">
      <c r="A29" s="9" t="s">
        <v>24</v>
      </c>
      <c r="B29" s="4">
        <v>61.111111111111086</v>
      </c>
      <c r="N29" s="1" vm="53">
        <f ca="1"/>
        <v>45959</v>
      </c>
      <c r="O29" vm="54">
        <f ca="1"/>
        <v>251.73</v>
      </c>
      <c r="P29" s="20" cm="1">
        <f t="array" aca="1" ref="P29" ca="1">O29-IF(
  SUMPRODUCT((FundManager[Ticker]=$N$3)*(FundManager[Date]&lt;=N29)*FundManager[Amount Invested]) = 0,
  NA(),
  SUMPRODUCT((FundManager[Ticker]=$N$3)*(FundManager[Date]&lt;=N29)*(FundManager[Entry Price]*FundManager[Amount Invested])) /
  SUMPRODUCT((FundManager[Ticker]=$N$3)*(FundManager[Date]&lt;=N29)*FundManager[Amount Invested])
)</f>
        <v>61.72999999999999</v>
      </c>
      <c r="Q29">
        <f ca="1">SUMIFS(FundManager[Units Held], FundManager[Ticker], $N$3, FundManager[Date], "&lt;=" &amp; N29)</f>
        <v>2.1052631578947367</v>
      </c>
      <c r="R29" s="20">
        <f t="shared" ca="1" si="0"/>
        <v>129.95789473684206</v>
      </c>
    </row>
    <row r="30" spans="1:18" x14ac:dyDescent="0.25">
      <c r="A30" s="9" t="s">
        <v>20</v>
      </c>
      <c r="B30" s="4">
        <v>210.66666666666674</v>
      </c>
      <c r="N30" s="1" vm="55">
        <f ca="1"/>
        <v>45960</v>
      </c>
      <c r="O30" vm="56">
        <f ca="1"/>
        <v>252.78</v>
      </c>
      <c r="P30" s="20" cm="1">
        <f t="array" aca="1" ref="P30" ca="1">O30-IF(
  SUMPRODUCT((FundManager[Ticker]=$N$3)*(FundManager[Date]&lt;=N30)*FundManager[Amount Invested]) = 0,
  NA(),
  SUMPRODUCT((FundManager[Ticker]=$N$3)*(FundManager[Date]&lt;=N30)*(FundManager[Entry Price]*FundManager[Amount Invested])) /
  SUMPRODUCT((FundManager[Ticker]=$N$3)*(FundManager[Date]&lt;=N30)*FundManager[Amount Invested])
)</f>
        <v>62.78</v>
      </c>
      <c r="Q30">
        <f ca="1">SUMIFS(FundManager[Units Held], FundManager[Ticker], $N$3, FundManager[Date], "&lt;=" &amp; N30)</f>
        <v>2.1052631578947367</v>
      </c>
      <c r="R30" s="20">
        <f t="shared" ca="1" si="0"/>
        <v>132.16842105263157</v>
      </c>
    </row>
    <row r="31" spans="1:18" x14ac:dyDescent="0.25">
      <c r="A31" s="9" t="s">
        <v>21</v>
      </c>
      <c r="B31" s="4">
        <v>354.28571428571433</v>
      </c>
      <c r="N31" s="1" vm="57">
        <f ca="1"/>
        <v>45961</v>
      </c>
      <c r="O31" vm="58">
        <f ca="1"/>
        <v>256.37</v>
      </c>
      <c r="P31" s="20" cm="1">
        <f t="array" aca="1" ref="P31" ca="1">O31-IF(
  SUMPRODUCT((FundManager[Ticker]=$N$3)*(FundManager[Date]&lt;=N31)*FundManager[Amount Invested]) = 0,
  NA(),
  SUMPRODUCT((FundManager[Ticker]=$N$3)*(FundManager[Date]&lt;=N31)*(FundManager[Entry Price]*FundManager[Amount Invested])) /
  SUMPRODUCT((FundManager[Ticker]=$N$3)*(FundManager[Date]&lt;=N31)*FundManager[Amount Invested])
)</f>
        <v>66.37</v>
      </c>
      <c r="Q31">
        <f ca="1">SUMIFS(FundManager[Units Held], FundManager[Ticker], $N$3, FundManager[Date], "&lt;=" &amp; N31)</f>
        <v>2.1052631578947367</v>
      </c>
      <c r="R31" s="20">
        <f t="shared" ca="1" si="0"/>
        <v>139.72631578947369</v>
      </c>
    </row>
    <row r="32" spans="1:18" x14ac:dyDescent="0.25">
      <c r="A32" s="9" t="s">
        <v>23</v>
      </c>
      <c r="B32" s="4">
        <v>4247.8919134944526</v>
      </c>
      <c r="N32" s="1" vm="59">
        <f ca="1"/>
        <v>45964</v>
      </c>
      <c r="O32" vm="60">
        <f ca="1"/>
        <v>255.65</v>
      </c>
      <c r="P32" s="20" cm="1">
        <f t="array" aca="1" ref="P32" ca="1">O32-IF(
  SUMPRODUCT((FundManager[Ticker]=$N$3)*(FundManager[Date]&lt;=N32)*FundManager[Amount Invested]) = 0,
  NA(),
  SUMPRODUCT((FundManager[Ticker]=$N$3)*(FundManager[Date]&lt;=N32)*(FundManager[Entry Price]*FundManager[Amount Invested])) /
  SUMPRODUCT((FundManager[Ticker]=$N$3)*(FundManager[Date]&lt;=N32)*FundManager[Amount Invested])
)</f>
        <v>65.650000000000006</v>
      </c>
      <c r="Q32">
        <f ca="1">SUMIFS(FundManager[Units Held], FundManager[Ticker], $N$3, FundManager[Date], "&lt;=" &amp; N32)</f>
        <v>2.1052631578947367</v>
      </c>
      <c r="R32" s="20">
        <f t="shared" ca="1" si="0"/>
        <v>138.21052631578948</v>
      </c>
    </row>
    <row r="33" spans="1:18" x14ac:dyDescent="0.25">
      <c r="A33" s="9" t="s">
        <v>28</v>
      </c>
      <c r="B33" s="4">
        <v>4581.4554055579447</v>
      </c>
      <c r="N33" s="1" vm="61">
        <f ca="1"/>
        <v>45965</v>
      </c>
      <c r="O33" vm="62">
        <f ca="1"/>
        <v>252.43</v>
      </c>
      <c r="P33" s="20" cm="1">
        <f t="array" aca="1" ref="P33" ca="1">O33-IF(
  SUMPRODUCT((FundManager[Ticker]=$N$3)*(FundManager[Date]&lt;=N33)*FundManager[Amount Invested]) = 0,
  NA(),
  SUMPRODUCT((FundManager[Ticker]=$N$3)*(FundManager[Date]&lt;=N33)*(FundManager[Entry Price]*FundManager[Amount Invested])) /
  SUMPRODUCT((FundManager[Ticker]=$N$3)*(FundManager[Date]&lt;=N33)*FundManager[Amount Invested])
)</f>
        <v>62.430000000000007</v>
      </c>
      <c r="Q33">
        <f ca="1">SUMIFS(FundManager[Units Held], FundManager[Ticker], $N$3, FundManager[Date], "&lt;=" &amp; N33)</f>
        <v>2.1052631578947367</v>
      </c>
      <c r="R33" s="20">
        <f t="shared" ca="1" si="0"/>
        <v>131.43157894736842</v>
      </c>
    </row>
    <row r="34" spans="1:18" x14ac:dyDescent="0.25">
      <c r="N34" s="1" vm="63">
        <f ca="1"/>
        <v>45966</v>
      </c>
      <c r="O34" vm="64">
        <f ca="1"/>
        <v>254.76</v>
      </c>
      <c r="P34" s="20" cm="1">
        <f t="array" aca="1" ref="P34" ca="1">O34-IF(
  SUMPRODUCT((FundManager[Ticker]=$N$3)*(FundManager[Date]&lt;=N34)*FundManager[Amount Invested]) = 0,
  NA(),
  SUMPRODUCT((FundManager[Ticker]=$N$3)*(FundManager[Date]&lt;=N34)*(FundManager[Entry Price]*FundManager[Amount Invested])) /
  SUMPRODUCT((FundManager[Ticker]=$N$3)*(FundManager[Date]&lt;=N34)*FundManager[Amount Invested])
)</f>
        <v>64.759999999999991</v>
      </c>
      <c r="Q34">
        <f ca="1">SUMIFS(FundManager[Units Held], FundManager[Ticker], $N$3, FundManager[Date], "&lt;=" &amp; N34)</f>
        <v>2.1052631578947367</v>
      </c>
      <c r="R34" s="20">
        <f t="shared" ca="1" si="0"/>
        <v>136.33684210526314</v>
      </c>
    </row>
    <row r="35" spans="1:18" x14ac:dyDescent="0.25">
      <c r="N35" s="1" vm="65">
        <f ca="1"/>
        <v>45967</v>
      </c>
      <c r="O35" vm="66">
        <f ca="1"/>
        <v>252.4</v>
      </c>
      <c r="P35" s="20" cm="1">
        <f t="array" aca="1" ref="P35" ca="1">O35-IF(
  SUMPRODUCT((FundManager[Ticker]=$N$3)*(FundManager[Date]&lt;=N35)*FundManager[Amount Invested]) = 0,
  NA(),
  SUMPRODUCT((FundManager[Ticker]=$N$3)*(FundManager[Date]&lt;=N35)*(FundManager[Entry Price]*FundManager[Amount Invested])) /
  SUMPRODUCT((FundManager[Ticker]=$N$3)*(FundManager[Date]&lt;=N35)*FundManager[Amount Invested])
)</f>
        <v>62.400000000000006</v>
      </c>
      <c r="Q35">
        <f ca="1">SUMIFS(FundManager[Units Held], FundManager[Ticker], $N$3, FundManager[Date], "&lt;=" &amp; N35)</f>
        <v>2.1052631578947367</v>
      </c>
      <c r="R35" s="20">
        <f t="shared" ca="1" si="0"/>
        <v>131.36842105263159</v>
      </c>
    </row>
    <row r="36" spans="1:18" x14ac:dyDescent="0.25">
      <c r="N36" s="1" vm="67">
        <f ca="1"/>
        <v>45968</v>
      </c>
      <c r="O36" vm="68">
        <f ca="1"/>
        <v>232</v>
      </c>
      <c r="P36" s="20" cm="1">
        <f t="array" aca="1" ref="P36" ca="1">O36-IF(
  SUMPRODUCT((FundManager[Ticker]=$N$3)*(FundManager[Date]&lt;=N36)*FundManager[Amount Invested]) = 0,
  NA(),
  SUMPRODUCT((FundManager[Ticker]=$N$3)*(FundManager[Date]&lt;=N36)*(FundManager[Entry Price]*FundManager[Amount Invested])) /
  SUMPRODUCT((FundManager[Ticker]=$N$3)*(FundManager[Date]&lt;=N36)*FundManager[Amount Invested])
)</f>
        <v>42</v>
      </c>
      <c r="Q36">
        <f ca="1">SUMIFS(FundManager[Units Held], FundManager[Ticker], $N$3, FundManager[Date], "&lt;=" &amp; N36)</f>
        <v>2.1052631578947367</v>
      </c>
      <c r="R36" s="20">
        <f t="shared" ca="1" si="0"/>
        <v>88.421052631578945</v>
      </c>
    </row>
    <row r="37" spans="1:18" x14ac:dyDescent="0.25">
      <c r="N37" s="1" vm="69">
        <f ca="1"/>
        <v>45971</v>
      </c>
      <c r="O37" vm="70">
        <f ca="1"/>
        <v>234.06</v>
      </c>
      <c r="P37" s="20" cm="1">
        <f t="array" aca="1" ref="P37" ca="1">O37-IF(
  SUMPRODUCT((FundManager[Ticker]=$N$3)*(FundManager[Date]&lt;=N37)*FundManager[Amount Invested]) = 0,
  NA(),
  SUMPRODUCT((FundManager[Ticker]=$N$3)*(FundManager[Date]&lt;=N37)*(FundManager[Entry Price]*FundManager[Amount Invested])) /
  SUMPRODUCT((FundManager[Ticker]=$N$3)*(FundManager[Date]&lt;=N37)*FundManager[Amount Invested])
)</f>
        <v>44.06</v>
      </c>
      <c r="Q37">
        <f ca="1">SUMIFS(FundManager[Units Held], FundManager[Ticker], $N$3, FundManager[Date], "&lt;=" &amp; N37)</f>
        <v>2.1052631578947367</v>
      </c>
      <c r="R37" s="20">
        <f t="shared" ca="1" si="0"/>
        <v>92.757894736842104</v>
      </c>
    </row>
    <row r="38" spans="1:18" x14ac:dyDescent="0.25">
      <c r="N38" s="1" vm="71">
        <f ca="1"/>
        <v>45972</v>
      </c>
      <c r="O38" vm="72">
        <f ca="1"/>
        <v>240.7</v>
      </c>
      <c r="P38" s="20" cm="1">
        <f t="array" aca="1" ref="P38" ca="1">O38-IF(
  SUMPRODUCT((FundManager[Ticker]=$N$3)*(FundManager[Date]&lt;=N38)*FundManager[Amount Invested]) = 0,
  NA(),
  SUMPRODUCT((FundManager[Ticker]=$N$3)*(FundManager[Date]&lt;=N38)*(FundManager[Entry Price]*FundManager[Amount Invested])) /
  SUMPRODUCT((FundManager[Ticker]=$N$3)*(FundManager[Date]&lt;=N38)*FundManager[Amount Invested])
)</f>
        <v>50.699999999999989</v>
      </c>
      <c r="Q38">
        <f ca="1">SUMIFS(FundManager[Units Held], FundManager[Ticker], $N$3, FundManager[Date], "&lt;=" &amp; N38)</f>
        <v>2.1052631578947367</v>
      </c>
      <c r="R38" s="20">
        <f t="shared" ca="1" si="0"/>
        <v>106.73684210526312</v>
      </c>
    </row>
    <row r="39" spans="1:18" x14ac:dyDescent="0.25">
      <c r="N39" s="1" vm="73">
        <f ca="1"/>
        <v>45973</v>
      </c>
      <c r="O39" vm="74">
        <f ca="1"/>
        <v>240.34</v>
      </c>
      <c r="P39" s="20" cm="1">
        <f t="array" aca="1" ref="P39" ca="1">O39-IF(
  SUMPRODUCT((FundManager[Ticker]=$N$3)*(FundManager[Date]&lt;=N39)*FundManager[Amount Invested]) = 0,
  NA(),
  SUMPRODUCT((FundManager[Ticker]=$N$3)*(FundManager[Date]&lt;=N39)*(FundManager[Entry Price]*FundManager[Amount Invested])) /
  SUMPRODUCT((FundManager[Ticker]=$N$3)*(FundManager[Date]&lt;=N39)*FundManager[Amount Invested])
)</f>
        <v>50.34</v>
      </c>
      <c r="Q39">
        <f ca="1">SUMIFS(FundManager[Units Held], FundManager[Ticker], $N$3, FundManager[Date], "&lt;=" &amp; N39)</f>
        <v>2.1052631578947367</v>
      </c>
      <c r="R39" s="20">
        <f t="shared" ca="1" si="0"/>
        <v>105.97894736842106</v>
      </c>
    </row>
    <row r="40" spans="1:18" x14ac:dyDescent="0.25">
      <c r="N40" s="1" vm="75">
        <f ca="1"/>
        <v>45974</v>
      </c>
      <c r="O40" vm="76">
        <f ca="1"/>
        <v>237.55</v>
      </c>
      <c r="P40" s="20" cm="1">
        <f t="array" aca="1" ref="P40" ca="1">O40-IF(
  SUMPRODUCT((FundManager[Ticker]=$N$3)*(FundManager[Date]&lt;=N40)*FundManager[Amount Invested]) = 0,
  NA(),
  SUMPRODUCT((FundManager[Ticker]=$N$3)*(FundManager[Date]&lt;=N40)*(FundManager[Entry Price]*FundManager[Amount Invested])) /
  SUMPRODUCT((FundManager[Ticker]=$N$3)*(FundManager[Date]&lt;=N40)*FundManager[Amount Invested])
)</f>
        <v>47.550000000000011</v>
      </c>
      <c r="Q40">
        <f ca="1">SUMIFS(FundManager[Units Held], FundManager[Ticker], $N$3, FundManager[Date], "&lt;=" &amp; N40)</f>
        <v>2.1052631578947367</v>
      </c>
      <c r="R40" s="20">
        <f t="shared" ca="1" si="0"/>
        <v>100.10526315789475</v>
      </c>
    </row>
    <row r="41" spans="1:18" x14ac:dyDescent="0.25">
      <c r="N41" s="1" vm="77">
        <f ca="1"/>
        <v>45975</v>
      </c>
      <c r="O41" vm="78">
        <f ca="1"/>
        <v>235.03</v>
      </c>
      <c r="P41" s="20" cm="1">
        <f t="array" aca="1" ref="P41" ca="1">O41-IF(
  SUMPRODUCT((FundManager[Ticker]=$N$3)*(FundManager[Date]&lt;=N41)*FundManager[Amount Invested]) = 0,
  NA(),
  SUMPRODUCT((FundManager[Ticker]=$N$3)*(FundManager[Date]&lt;=N41)*(FundManager[Entry Price]*FundManager[Amount Invested])) /
  SUMPRODUCT((FundManager[Ticker]=$N$3)*(FundManager[Date]&lt;=N41)*FundManager[Amount Invested])
)</f>
        <v>45.03</v>
      </c>
      <c r="Q41">
        <f ca="1">SUMIFS(FundManager[Units Held], FundManager[Ticker], $N$3, FundManager[Date], "&lt;=" &amp; N41)</f>
        <v>2.1052631578947367</v>
      </c>
      <c r="R41" s="20">
        <f t="shared" ca="1" si="0"/>
        <v>94.8</v>
      </c>
    </row>
    <row r="42" spans="1:18" x14ac:dyDescent="0.25">
      <c r="N42" s="1" vm="79">
        <f ca="1"/>
        <v>45978</v>
      </c>
      <c r="O42" vm="80">
        <f ca="1"/>
        <v>233.58</v>
      </c>
      <c r="P42" s="20" cm="1">
        <f t="array" aca="1" ref="P42" ca="1">O42-IF(
  SUMPRODUCT((FundManager[Ticker]=$N$3)*(FundManager[Date]&lt;=N42)*FundManager[Amount Invested]) = 0,
  NA(),
  SUMPRODUCT((FundManager[Ticker]=$N$3)*(FundManager[Date]&lt;=N42)*(FundManager[Entry Price]*FundManager[Amount Invested])) /
  SUMPRODUCT((FundManager[Ticker]=$N$3)*(FundManager[Date]&lt;=N42)*FundManager[Amount Invested])
)</f>
        <v>43.580000000000013</v>
      </c>
      <c r="Q42">
        <f ca="1">SUMIFS(FundManager[Units Held], FundManager[Ticker], $N$3, FundManager[Date], "&lt;=" &amp; N42)</f>
        <v>2.1052631578947367</v>
      </c>
      <c r="R42" s="20">
        <f t="shared" ca="1" si="0"/>
        <v>91.747368421052656</v>
      </c>
    </row>
    <row r="43" spans="1:18" x14ac:dyDescent="0.25">
      <c r="N43" s="1" vm="81">
        <f ca="1"/>
        <v>45979</v>
      </c>
      <c r="O43" vm="82">
        <f ca="1"/>
        <v>239.09</v>
      </c>
      <c r="P43" s="20" cm="1">
        <f t="array" aca="1" ref="P43" ca="1">O43-IF(
  SUMPRODUCT((FundManager[Ticker]=$N$3)*(FundManager[Date]&lt;=N43)*FundManager[Amount Invested]) = 0,
  NA(),
  SUMPRODUCT((FundManager[Ticker]=$N$3)*(FundManager[Date]&lt;=N43)*(FundManager[Entry Price]*FundManager[Amount Invested])) /
  SUMPRODUCT((FundManager[Ticker]=$N$3)*(FundManager[Date]&lt;=N43)*FundManager[Amount Invested])
)</f>
        <v>49.09</v>
      </c>
      <c r="Q43">
        <f ca="1">SUMIFS(FundManager[Units Held], FundManager[Ticker], $N$3, FundManager[Date], "&lt;=" &amp; N43)</f>
        <v>2.1052631578947367</v>
      </c>
      <c r="R43" s="20">
        <f t="shared" ca="1" si="0"/>
        <v>103.34736842105264</v>
      </c>
    </row>
    <row r="44" spans="1:18" x14ac:dyDescent="0.25">
      <c r="N44" s="1" vm="83">
        <f ca="1"/>
        <v>45980</v>
      </c>
      <c r="O44" vm="84">
        <f ca="1"/>
        <v>240.46</v>
      </c>
      <c r="P44" s="20" cm="1">
        <f t="array" aca="1" ref="P44" ca="1">O44-IF(
  SUMPRODUCT((FundManager[Ticker]=$N$3)*(FundManager[Date]&lt;=N44)*FundManager[Amount Invested]) = 0,
  NA(),
  SUMPRODUCT((FundManager[Ticker]=$N$3)*(FundManager[Date]&lt;=N44)*(FundManager[Entry Price]*FundManager[Amount Invested])) /
  SUMPRODUCT((FundManager[Ticker]=$N$3)*(FundManager[Date]&lt;=N44)*FundManager[Amount Invested])
)</f>
        <v>50.460000000000008</v>
      </c>
      <c r="Q44">
        <f ca="1">SUMIFS(FundManager[Units Held], FundManager[Ticker], $N$3, FundManager[Date], "&lt;=" &amp; N44)</f>
        <v>2.1052631578947367</v>
      </c>
      <c r="R44" s="20">
        <f t="shared" ca="1" si="0"/>
        <v>106.23157894736843</v>
      </c>
    </row>
    <row r="45" spans="1:18" x14ac:dyDescent="0.25">
      <c r="N45" s="1" vm="85">
        <f ca="1"/>
        <v>45981</v>
      </c>
      <c r="O45" vm="86">
        <f ca="1"/>
        <v>235.37</v>
      </c>
      <c r="P45" s="20" cm="1">
        <f t="array" aca="1" ref="P45" ca="1">O45-IF(
  SUMPRODUCT((FundManager[Ticker]=$N$3)*(FundManager[Date]&lt;=N45)*FundManager[Amount Invested]) = 0,
  NA(),
  SUMPRODUCT((FundManager[Ticker]=$N$3)*(FundManager[Date]&lt;=N45)*(FundManager[Entry Price]*FundManager[Amount Invested])) /
  SUMPRODUCT((FundManager[Ticker]=$N$3)*(FundManager[Date]&lt;=N45)*FundManager[Amount Invested])
)</f>
        <v>45.370000000000005</v>
      </c>
      <c r="Q45">
        <f ca="1">SUMIFS(FundManager[Units Held], FundManager[Ticker], $N$3, FundManager[Date], "&lt;=" &amp; N45)</f>
        <v>2.1052631578947367</v>
      </c>
      <c r="R45" s="20">
        <f t="shared" ca="1" si="0"/>
        <v>95.515789473684208</v>
      </c>
    </row>
    <row r="46" spans="1:18" x14ac:dyDescent="0.25">
      <c r="N46" s="1" vm="87">
        <f ca="1"/>
        <v>45982</v>
      </c>
      <c r="O46" vm="88">
        <f ca="1"/>
        <v>235.47</v>
      </c>
      <c r="P46" s="20" cm="1">
        <f t="array" aca="1" ref="P46" ca="1">O46-IF(
  SUMPRODUCT((FundManager[Ticker]=$N$3)*(FundManager[Date]&lt;=N46)*FundManager[Amount Invested]) = 0,
  NA(),
  SUMPRODUCT((FundManager[Ticker]=$N$3)*(FundManager[Date]&lt;=N46)*(FundManager[Entry Price]*FundManager[Amount Invested])) /
  SUMPRODUCT((FundManager[Ticker]=$N$3)*(FundManager[Date]&lt;=N46)*FundManager[Amount Invested])
)</f>
        <v>45.47</v>
      </c>
      <c r="Q46">
        <f ca="1">SUMIFS(FundManager[Units Held], FundManager[Ticker], $N$3, FundManager[Date], "&lt;=" &amp; N46)</f>
        <v>2.1052631578947367</v>
      </c>
      <c r="R46" s="20">
        <f t="shared" ca="1" si="0"/>
        <v>95.726315789473674</v>
      </c>
    </row>
    <row r="47" spans="1:18" x14ac:dyDescent="0.25">
      <c r="N47" s="1" vm="89">
        <f ca="1"/>
        <v>45985</v>
      </c>
      <c r="O47" vm="90">
        <f ca="1"/>
        <v>239.07</v>
      </c>
      <c r="P47" s="20" cm="1">
        <f t="array" aca="1" ref="P47" ca="1">O47-IF(
  SUMPRODUCT((FundManager[Ticker]=$N$3)*(FundManager[Date]&lt;=N47)*FundManager[Amount Invested]) = 0,
  NA(),
  SUMPRODUCT((FundManager[Ticker]=$N$3)*(FundManager[Date]&lt;=N47)*(FundManager[Entry Price]*FundManager[Amount Invested])) /
  SUMPRODUCT((FundManager[Ticker]=$N$3)*(FundManager[Date]&lt;=N47)*FundManager[Amount Invested])
)</f>
        <v>49.069999999999993</v>
      </c>
      <c r="Q47">
        <f ca="1">SUMIFS(FundManager[Units Held], FundManager[Ticker], $N$3, FundManager[Date], "&lt;=" &amp; N47)</f>
        <v>2.1052631578947367</v>
      </c>
      <c r="R47" s="20">
        <f t="shared" ca="1" si="0"/>
        <v>103.30526315789471</v>
      </c>
    </row>
    <row r="48" spans="1:18" x14ac:dyDescent="0.25">
      <c r="N48" s="1" vm="91">
        <f ca="1"/>
        <v>45986</v>
      </c>
      <c r="O48" vm="92">
        <f ca="1"/>
        <v>241.84</v>
      </c>
      <c r="P48" s="20" cm="1">
        <f t="array" aca="1" ref="P48" ca="1">O48-IF(
  SUMPRODUCT((FundManager[Ticker]=$N$3)*(FundManager[Date]&lt;=N48)*FundManager[Amount Invested]) = 0,
  NA(),
  SUMPRODUCT((FundManager[Ticker]=$N$3)*(FundManager[Date]&lt;=N48)*(FundManager[Entry Price]*FundManager[Amount Invested])) /
  SUMPRODUCT((FundManager[Ticker]=$N$3)*(FundManager[Date]&lt;=N48)*FundManager[Amount Invested])
)</f>
        <v>51.84</v>
      </c>
      <c r="Q48">
        <f ca="1">SUMIFS(FundManager[Units Held], FundManager[Ticker], $N$3, FundManager[Date], "&lt;=" &amp; N48)</f>
        <v>2.1052631578947367</v>
      </c>
      <c r="R48" s="20">
        <f t="shared" ca="1" si="0"/>
        <v>109.13684210526316</v>
      </c>
    </row>
    <row r="49" spans="1:18" x14ac:dyDescent="0.25">
      <c r="N49" vm="93">
        <f ca="1"/>
        <v>45987</v>
      </c>
      <c r="O49" vm="94">
        <f ca="1"/>
        <v>243.63</v>
      </c>
      <c r="P49" s="20" cm="1">
        <f t="array" aca="1" ref="P49" ca="1">O49-IF(
  SUMPRODUCT((FundManager[Ticker]=$N$3)*(FundManager[Date]&lt;=N49)*FundManager[Amount Invested]) = 0,
  NA(),
  SUMPRODUCT((FundManager[Ticker]=$N$3)*(FundManager[Date]&lt;=N49)*(FundManager[Entry Price]*FundManager[Amount Invested])) /
  SUMPRODUCT((FundManager[Ticker]=$N$3)*(FundManager[Date]&lt;=N49)*FundManager[Amount Invested])
)</f>
        <v>53.629999999999995</v>
      </c>
      <c r="Q49">
        <f ca="1">SUMIFS(FundManager[Units Held], FundManager[Ticker], $N$3, FundManager[Date], "&lt;=" &amp; N49)</f>
        <v>2.1052631578947367</v>
      </c>
      <c r="R49" s="20">
        <f t="shared" ca="1" si="0"/>
        <v>112.90526315789472</v>
      </c>
    </row>
    <row r="50" spans="1:18" x14ac:dyDescent="0.25">
      <c r="N50" vm="95">
        <f ca="1"/>
        <v>45989</v>
      </c>
      <c r="O50" vm="96">
        <f ca="1"/>
        <v>246.07</v>
      </c>
      <c r="P50" s="20" cm="1">
        <f t="array" aca="1" ref="P50" ca="1">O50-IF(
  SUMPRODUCT((FundManager[Ticker]=$N$3)*(FundManager[Date]&lt;=N50)*FundManager[Amount Invested]) = 0,
  NA(),
  SUMPRODUCT((FundManager[Ticker]=$N$3)*(FundManager[Date]&lt;=N50)*(FundManager[Entry Price]*FundManager[Amount Invested])) /
  SUMPRODUCT((FundManager[Ticker]=$N$3)*(FundManager[Date]&lt;=N50)*FundManager[Amount Invested])
)</f>
        <v>56.069999999999993</v>
      </c>
      <c r="Q50">
        <f ca="1">SUMIFS(FundManager[Units Held], FundManager[Ticker], $N$3, FundManager[Date], "&lt;=" &amp; N50)</f>
        <v>2.1052631578947367</v>
      </c>
      <c r="R50" s="20">
        <f t="shared" ca="1" si="0"/>
        <v>118.04210526315788</v>
      </c>
    </row>
    <row r="51" spans="1:18" x14ac:dyDescent="0.25">
      <c r="N51" vm="97">
        <f ca="1"/>
        <v>45992</v>
      </c>
      <c r="O51" vm="98">
        <f ca="1"/>
        <v>249.34</v>
      </c>
      <c r="P51" s="20" cm="1">
        <f t="array" aca="1" ref="P51" ca="1">O51-IF(
  SUMPRODUCT((FundManager[Ticker]=$N$3)*(FundManager[Date]&lt;=N51)*FundManager[Amount Invested]) = 0,
  NA(),
  SUMPRODUCT((FundManager[Ticker]=$N$3)*(FundManager[Date]&lt;=N51)*(FundManager[Entry Price]*FundManager[Amount Invested])) /
  SUMPRODUCT((FundManager[Ticker]=$N$3)*(FundManager[Date]&lt;=N51)*FundManager[Amount Invested])
)</f>
        <v>59.34</v>
      </c>
      <c r="Q51">
        <f ca="1">SUMIFS(FundManager[Units Held], FundManager[Ticker], $N$3, FundManager[Date], "&lt;=" &amp; N51)</f>
        <v>2.1052631578947367</v>
      </c>
      <c r="R51" s="20">
        <f t="shared" ca="1" si="0"/>
        <v>124.92631578947369</v>
      </c>
    </row>
    <row r="52" spans="1:18" x14ac:dyDescent="0.25">
      <c r="N52" vm="99">
        <f ca="1"/>
        <v>45993</v>
      </c>
      <c r="O52" vm="100">
        <f ca="1"/>
        <v>246.83</v>
      </c>
      <c r="P52" s="20" cm="1">
        <f t="array" aca="1" ref="P52" ca="1">O52-IF(
  SUMPRODUCT((FundManager[Ticker]=$N$3)*(FundManager[Date]&lt;=N52)*FundManager[Amount Invested]) = 0,
  NA(),
  SUMPRODUCT((FundManager[Ticker]=$N$3)*(FundManager[Date]&lt;=N52)*(FundManager[Entry Price]*FundManager[Amount Invested])) /
  SUMPRODUCT((FundManager[Ticker]=$N$3)*(FundManager[Date]&lt;=N52)*FundManager[Amount Invested])
)</f>
        <v>56.830000000000013</v>
      </c>
      <c r="Q52">
        <f ca="1">SUMIFS(FundManager[Units Held], FundManager[Ticker], $N$3, FundManager[Date], "&lt;=" &amp; N52)</f>
        <v>2.1052631578947367</v>
      </c>
      <c r="R52" s="20">
        <f t="shared" ca="1" si="0"/>
        <v>119.64210526315792</v>
      </c>
    </row>
    <row r="53" spans="1:18" x14ac:dyDescent="0.25">
      <c r="N53" vm="101">
        <f ca="1"/>
        <v>45994</v>
      </c>
      <c r="O53" vm="102">
        <f ca="1"/>
        <v>244.95</v>
      </c>
      <c r="P53" s="20" cm="1">
        <f t="array" aca="1" ref="P53" ca="1">O53-IF(
  SUMPRODUCT((FundManager[Ticker]=$N$3)*(FundManager[Date]&lt;=N53)*FundManager[Amount Invested]) = 0,
  NA(),
  SUMPRODUCT((FundManager[Ticker]=$N$3)*(FundManager[Date]&lt;=N53)*(FundManager[Entry Price]*FundManager[Amount Invested])) /
  SUMPRODUCT((FundManager[Ticker]=$N$3)*(FundManager[Date]&lt;=N53)*FundManager[Amount Invested])
)</f>
        <v>54.949999999999989</v>
      </c>
      <c r="Q53">
        <f ca="1">SUMIFS(FundManager[Units Held], FundManager[Ticker], $N$3, FundManager[Date], "&lt;=" &amp; N53)</f>
        <v>2.1052631578947367</v>
      </c>
      <c r="R53" s="20">
        <f t="shared" ca="1" si="0"/>
        <v>115.68421052631575</v>
      </c>
    </row>
    <row r="54" spans="1:18" x14ac:dyDescent="0.25">
      <c r="N54" vm="103">
        <f ca="1"/>
        <v>45995</v>
      </c>
      <c r="O54" vm="104">
        <f ca="1"/>
        <v>247.51</v>
      </c>
      <c r="P54" s="20" cm="1">
        <f t="array" aca="1" ref="P54" ca="1">O54-IF(
  SUMPRODUCT((FundManager[Ticker]=$N$3)*(FundManager[Date]&lt;=N54)*FundManager[Amount Invested]) = 0,
  NA(),
  SUMPRODUCT((FundManager[Ticker]=$N$3)*(FundManager[Date]&lt;=N54)*(FundManager[Entry Price]*FundManager[Amount Invested])) /
  SUMPRODUCT((FundManager[Ticker]=$N$3)*(FundManager[Date]&lt;=N54)*FundManager[Amount Invested])
)</f>
        <v>57.509999999999991</v>
      </c>
      <c r="Q54">
        <f ca="1">SUMIFS(FundManager[Units Held], FundManager[Ticker], $N$3, FundManager[Date], "&lt;=" &amp; N54)</f>
        <v>2.1052631578947367</v>
      </c>
      <c r="R54" s="20">
        <f t="shared" ca="1" si="0"/>
        <v>121.0736842105263</v>
      </c>
    </row>
    <row r="55" spans="1:18" x14ac:dyDescent="0.25">
      <c r="A55" s="2"/>
      <c r="D55">
        <f>Entries!D6+'Rough but Essential'!C55</f>
        <v>5000000</v>
      </c>
      <c r="N55" vm="105">
        <f ca="1"/>
        <v>45996</v>
      </c>
      <c r="O55" vm="106">
        <f ca="1"/>
        <v>247.88</v>
      </c>
      <c r="P55" s="20" cm="1">
        <f t="array" aca="1" ref="P55" ca="1">O55-IF(
  SUMPRODUCT((FundManager[Ticker]=$N$3)*(FundManager[Date]&lt;=N55)*FundManager[Amount Invested]) = 0,
  NA(),
  SUMPRODUCT((FundManager[Ticker]=$N$3)*(FundManager[Date]&lt;=N55)*(FundManager[Entry Price]*FundManager[Amount Invested])) /
  SUMPRODUCT((FundManager[Ticker]=$N$3)*(FundManager[Date]&lt;=N55)*FundManager[Amount Invested])
)</f>
        <v>57.879999999999995</v>
      </c>
      <c r="Q55">
        <f ca="1">SUMIFS(FundManager[Units Held], FundManager[Ticker], $N$3, FundManager[Date], "&lt;=" &amp; N55)</f>
        <v>2.1052631578947367</v>
      </c>
      <c r="R55" s="20">
        <f t="shared" ca="1" si="0"/>
        <v>121.85263157894735</v>
      </c>
    </row>
    <row r="56" spans="1:18" x14ac:dyDescent="0.25">
      <c r="N56" vm="107">
        <f ca="1"/>
        <v>45999</v>
      </c>
      <c r="O56" vm="108">
        <f ca="1"/>
        <v>247.28</v>
      </c>
      <c r="P56" s="20" cm="1">
        <f t="array" aca="1" ref="P56" ca="1">O56-IF(
  SUMPRODUCT((FundManager[Ticker]=$N$3)*(FundManager[Date]&lt;=N56)*FundManager[Amount Invested]) = 0,
  NA(),
  SUMPRODUCT((FundManager[Ticker]=$N$3)*(FundManager[Date]&lt;=N56)*(FundManager[Entry Price]*FundManager[Amount Invested])) /
  SUMPRODUCT((FundManager[Ticker]=$N$3)*(FundManager[Date]&lt;=N56)*FundManager[Amount Invested])
)</f>
        <v>57.28</v>
      </c>
      <c r="Q56">
        <f ca="1">SUMIFS(FundManager[Units Held], FundManager[Ticker], $N$3, FundManager[Date], "&lt;=" &amp; N56)</f>
        <v>2.1052631578947367</v>
      </c>
      <c r="R56" s="20">
        <f t="shared" ca="1" si="0"/>
        <v>120.58947368421052</v>
      </c>
    </row>
    <row r="57" spans="1:18" x14ac:dyDescent="0.25">
      <c r="N57" vm="109">
        <f ca="1"/>
        <v>46000</v>
      </c>
      <c r="O57" vm="110">
        <f ca="1"/>
        <v>248.73</v>
      </c>
      <c r="P57" s="20" cm="1">
        <f t="array" aca="1" ref="P57" ca="1">O57-IF(
  SUMPRODUCT((FundManager[Ticker]=$N$3)*(FundManager[Date]&lt;=N57)*FundManager[Amount Invested]) = 0,
  NA(),
  SUMPRODUCT((FundManager[Ticker]=$N$3)*(FundManager[Date]&lt;=N57)*(FundManager[Entry Price]*FundManager[Amount Invested])) /
  SUMPRODUCT((FundManager[Ticker]=$N$3)*(FundManager[Date]&lt;=N57)*FundManager[Amount Invested])
)</f>
        <v>58.72999999999999</v>
      </c>
      <c r="Q57">
        <f ca="1">SUMIFS(FundManager[Units Held], FundManager[Ticker], $N$3, FundManager[Date], "&lt;=" &amp; N57)</f>
        <v>2.1052631578947367</v>
      </c>
      <c r="R57" s="20">
        <f t="shared" ca="1" si="0"/>
        <v>123.64210526315787</v>
      </c>
    </row>
    <row r="58" spans="1:18" x14ac:dyDescent="0.25">
      <c r="N58" vm="111">
        <f ca="1"/>
        <v>46001</v>
      </c>
      <c r="O58" vm="112">
        <f ca="1"/>
        <v>246.02</v>
      </c>
      <c r="P58" s="20" cm="1">
        <f t="array" aca="1" ref="P58" ca="1">O58-IF(
  SUMPRODUCT((FundManager[Ticker]=$N$3)*(FundManager[Date]&lt;=N58)*FundManager[Amount Invested]) = 0,
  NA(),
  SUMPRODUCT((FundManager[Ticker]=$N$3)*(FundManager[Date]&lt;=N58)*(FundManager[Entry Price]*FundManager[Amount Invested])) /
  SUMPRODUCT((FundManager[Ticker]=$N$3)*(FundManager[Date]&lt;=N58)*FundManager[Amount Invested])
)</f>
        <v>56.02000000000001</v>
      </c>
      <c r="Q58">
        <f ca="1">SUMIFS(FundManager[Units Held], FundManager[Ticker], $N$3, FundManager[Date], "&lt;=" &amp; N58)</f>
        <v>2.1052631578947367</v>
      </c>
      <c r="R58" s="20">
        <f t="shared" ca="1" si="0"/>
        <v>117.93684210526317</v>
      </c>
    </row>
    <row r="59" spans="1:18" x14ac:dyDescent="0.25">
      <c r="N59" vm="113">
        <f ca="1"/>
        <v>46002</v>
      </c>
      <c r="O59" vm="114">
        <f ca="1"/>
        <v>242.41</v>
      </c>
      <c r="P59" s="20" cm="1">
        <f t="array" aca="1" ref="P59" ca="1">O59-IF(
  SUMPRODUCT((FundManager[Ticker]=$N$3)*(FundManager[Date]&lt;=N59)*FundManager[Amount Invested]) = 0,
  NA(),
  SUMPRODUCT((FundManager[Ticker]=$N$3)*(FundManager[Date]&lt;=N59)*(FundManager[Entry Price]*FundManager[Amount Invested])) /
  SUMPRODUCT((FundManager[Ticker]=$N$3)*(FundManager[Date]&lt;=N59)*FundManager[Amount Invested])
)</f>
        <v>52.41</v>
      </c>
      <c r="Q59">
        <f ca="1">SUMIFS(FundManager[Units Held], FundManager[Ticker], $N$3, FundManager[Date], "&lt;=" &amp; N59)</f>
        <v>2.1052631578947367</v>
      </c>
      <c r="R59" s="20">
        <f t="shared" ca="1" si="0"/>
        <v>110.33684210526314</v>
      </c>
    </row>
    <row r="60" spans="1:18" x14ac:dyDescent="0.25">
      <c r="N60" vm="115">
        <f ca="1"/>
        <v>46003</v>
      </c>
      <c r="O60" vm="116">
        <f ca="1"/>
        <v>241.47</v>
      </c>
      <c r="P60" s="20" cm="1">
        <f t="array" aca="1" ref="P60" ca="1">O60-IF(
  SUMPRODUCT((FundManager[Ticker]=$N$3)*(FundManager[Date]&lt;=N60)*FundManager[Amount Invested]) = 0,
  NA(),
  SUMPRODUCT((FundManager[Ticker]=$N$3)*(FundManager[Date]&lt;=N60)*(FundManager[Entry Price]*FundManager[Amount Invested])) /
  SUMPRODUCT((FundManager[Ticker]=$N$3)*(FundManager[Date]&lt;=N60)*FundManager[Amount Invested])
)</f>
        <v>51.47</v>
      </c>
      <c r="Q60">
        <f ca="1">SUMIFS(FundManager[Units Held], FundManager[Ticker], $N$3, FundManager[Date], "&lt;=" &amp; N60)</f>
        <v>2.1052631578947367</v>
      </c>
      <c r="R60" s="20">
        <f t="shared" ca="1" si="0"/>
        <v>108.3578947368421</v>
      </c>
    </row>
    <row r="61" spans="1:18" x14ac:dyDescent="0.25">
      <c r="N61" vm="117">
        <f ca="1"/>
        <v>46006</v>
      </c>
      <c r="O61" vm="118">
        <f ca="1"/>
        <v>244.56</v>
      </c>
      <c r="P61" s="20" cm="1">
        <f t="array" aca="1" ref="P61" ca="1">O61-IF(
  SUMPRODUCT((FundManager[Ticker]=$N$3)*(FundManager[Date]&lt;=N61)*FundManager[Amount Invested]) = 0,
  NA(),
  SUMPRODUCT((FundManager[Ticker]=$N$3)*(FundManager[Date]&lt;=N61)*(FundManager[Entry Price]*FundManager[Amount Invested])) /
  SUMPRODUCT((FundManager[Ticker]=$N$3)*(FundManager[Date]&lt;=N61)*FundManager[Amount Invested])
)</f>
        <v>54.56</v>
      </c>
      <c r="Q61">
        <f ca="1">SUMIFS(FundManager[Units Held], FundManager[Ticker], $N$3, FundManager[Date], "&lt;=" &amp; N61)</f>
        <v>2.1052631578947367</v>
      </c>
      <c r="R61" s="20">
        <f t="shared" ca="1" si="0"/>
        <v>114.86315789473684</v>
      </c>
    </row>
    <row r="62" spans="1:18" x14ac:dyDescent="0.25">
      <c r="N62" vm="119">
        <f ca="1"/>
        <v>46007</v>
      </c>
      <c r="O62" vm="120">
        <f ca="1"/>
        <v>244.53</v>
      </c>
      <c r="P62" s="20" cm="1">
        <f t="array" aca="1" ref="P62" ca="1">O62-IF(
  SUMPRODUCT((FundManager[Ticker]=$N$3)*(FundManager[Date]&lt;=N62)*FundManager[Amount Invested]) = 0,
  NA(),
  SUMPRODUCT((FundManager[Ticker]=$N$3)*(FundManager[Date]&lt;=N62)*(FundManager[Entry Price]*FundManager[Amount Invested])) /
  SUMPRODUCT((FundManager[Ticker]=$N$3)*(FundManager[Date]&lt;=N62)*FundManager[Amount Invested])
)</f>
        <v>54.53</v>
      </c>
      <c r="Q62">
        <f ca="1">SUMIFS(FundManager[Units Held], FundManager[Ticker], $N$3, FundManager[Date], "&lt;=" &amp; N62)</f>
        <v>2.1052631578947367</v>
      </c>
      <c r="R62" s="20">
        <f t="shared" ca="1" si="0"/>
        <v>114.8</v>
      </c>
    </row>
    <row r="63" spans="1:18" x14ac:dyDescent="0.25">
      <c r="N63" vm="121">
        <f ca="1"/>
        <v>46008</v>
      </c>
      <c r="O63" vm="122">
        <f ca="1"/>
        <v>240.55</v>
      </c>
      <c r="P63" s="20" cm="1">
        <f t="array" aca="1" ref="P63" ca="1">O63-IF(
  SUMPRODUCT((FundManager[Ticker]=$N$3)*(FundManager[Date]&lt;=N63)*FundManager[Amount Invested]) = 0,
  NA(),
  SUMPRODUCT((FundManager[Ticker]=$N$3)*(FundManager[Date]&lt;=N63)*(FundManager[Entry Price]*FundManager[Amount Invested])) /
  SUMPRODUCT((FundManager[Ticker]=$N$3)*(FundManager[Date]&lt;=N63)*FundManager[Amount Invested])
)</f>
        <v>50.550000000000011</v>
      </c>
      <c r="Q63">
        <f ca="1">SUMIFS(FundManager[Units Held], FundManager[Ticker], $N$3, FundManager[Date], "&lt;=" &amp; N63)</f>
        <v>2.1052631578947367</v>
      </c>
      <c r="R63" s="20">
        <f t="shared" ca="1" si="0"/>
        <v>106.42105263157896</v>
      </c>
    </row>
    <row r="64" spans="1:18" x14ac:dyDescent="0.25">
      <c r="N64" vm="123">
        <f ca="1"/>
        <v>46009</v>
      </c>
      <c r="O64" vm="124">
        <f ca="1"/>
        <v>246.65</v>
      </c>
      <c r="P64" s="20" cm="1">
        <f t="array" aca="1" ref="P64" ca="1">O64-IF(
  SUMPRODUCT((FundManager[Ticker]=$N$3)*(FundManager[Date]&lt;=N64)*FundManager[Amount Invested]) = 0,
  NA(),
  SUMPRODUCT((FundManager[Ticker]=$N$3)*(FundManager[Date]&lt;=N64)*(FundManager[Entry Price]*FundManager[Amount Invested])) /
  SUMPRODUCT((FundManager[Ticker]=$N$3)*(FundManager[Date]&lt;=N64)*FundManager[Amount Invested])
)</f>
        <v>56.650000000000006</v>
      </c>
      <c r="Q64">
        <f ca="1">SUMIFS(FundManager[Units Held], FundManager[Ticker], $N$3, FundManager[Date], "&lt;=" &amp; N64)</f>
        <v>2.1052631578947367</v>
      </c>
      <c r="R64" s="20">
        <f t="shared" ca="1" si="0"/>
        <v>119.26315789473685</v>
      </c>
    </row>
    <row r="65" spans="14:18" x14ac:dyDescent="0.25">
      <c r="N65" vm="125">
        <f ca="1"/>
        <v>46010</v>
      </c>
      <c r="O65" vm="126">
        <f ca="1"/>
        <v>247.4</v>
      </c>
      <c r="P65" s="20" cm="1">
        <f t="array" aca="1" ref="P65" ca="1">O65-IF(
  SUMPRODUCT((FundManager[Ticker]=$N$3)*(FundManager[Date]&lt;=N65)*FundManager[Amount Invested]) = 0,
  NA(),
  SUMPRODUCT((FundManager[Ticker]=$N$3)*(FundManager[Date]&lt;=N65)*(FundManager[Entry Price]*FundManager[Amount Invested])) /
  SUMPRODUCT((FundManager[Ticker]=$N$3)*(FundManager[Date]&lt;=N65)*FundManager[Amount Invested])
)</f>
        <v>57.400000000000006</v>
      </c>
      <c r="Q65">
        <f ca="1">SUMIFS(FundManager[Units Held], FundManager[Ticker], $N$3, FundManager[Date], "&lt;=" &amp; N65)</f>
        <v>2.1052631578947367</v>
      </c>
      <c r="R65" s="20">
        <f t="shared" ca="1" si="0"/>
        <v>120.8421052631579</v>
      </c>
    </row>
    <row r="66" spans="14:18" x14ac:dyDescent="0.25">
      <c r="N66" vm="127">
        <f ca="1"/>
        <v>46013</v>
      </c>
      <c r="O66" vm="128">
        <f ca="1"/>
        <v>248.58</v>
      </c>
      <c r="P66" s="20" cm="1">
        <f t="array" aca="1" ref="P66" ca="1">O66-IF(
  SUMPRODUCT((FundManager[Ticker]=$N$3)*(FundManager[Date]&lt;=N66)*FundManager[Amount Invested]) = 0,
  NA(),
  SUMPRODUCT((FundManager[Ticker]=$N$3)*(FundManager[Date]&lt;=N66)*(FundManager[Entry Price]*FundManager[Amount Invested])) /
  SUMPRODUCT((FundManager[Ticker]=$N$3)*(FundManager[Date]&lt;=N66)*FundManager[Amount Invested])
)</f>
        <v>58.580000000000013</v>
      </c>
      <c r="Q66">
        <f ca="1">SUMIFS(FundManager[Units Held], FundManager[Ticker], $N$3, FundManager[Date], "&lt;=" &amp; N66)</f>
        <v>2.1052631578947367</v>
      </c>
      <c r="R66" s="20">
        <f t="shared" ca="1" si="0"/>
        <v>123.32631578947371</v>
      </c>
    </row>
    <row r="67" spans="14:18" x14ac:dyDescent="0.25">
      <c r="N67" vm="129">
        <f ca="1"/>
        <v>46014</v>
      </c>
      <c r="O67" vm="130">
        <f ca="1"/>
        <v>249.23</v>
      </c>
      <c r="P67" s="20" cm="1">
        <f t="array" aca="1" ref="P67" ca="1">O67-IF(
  SUMPRODUCT((FundManager[Ticker]=$N$3)*(FundManager[Date]&lt;=N67)*FundManager[Amount Invested]) = 0,
  NA(),
  SUMPRODUCT((FundManager[Ticker]=$N$3)*(FundManager[Date]&lt;=N67)*(FundManager[Entry Price]*FundManager[Amount Invested])) /
  SUMPRODUCT((FundManager[Ticker]=$N$3)*(FundManager[Date]&lt;=N67)*FundManager[Amount Invested])
)</f>
        <v>59.22999999999999</v>
      </c>
      <c r="Q67">
        <f ca="1">SUMIFS(FundManager[Units Held], FundManager[Ticker], $N$3, FundManager[Date], "&lt;=" &amp; N67)</f>
        <v>2.1052631578947367</v>
      </c>
      <c r="R67" s="20">
        <f t="shared" ca="1" si="0"/>
        <v>124.69473684210523</v>
      </c>
    </row>
    <row r="68" spans="14:18" x14ac:dyDescent="0.25">
      <c r="N68" vm="131">
        <f ca="1"/>
        <v>46015</v>
      </c>
      <c r="O68" vm="132">
        <f ca="1"/>
        <v>251.6</v>
      </c>
      <c r="P68" s="20" cm="1">
        <f t="array" aca="1" ref="P68" ca="1">O68-IF(
  SUMPRODUCT((FundManager[Ticker]=$N$3)*(FundManager[Date]&lt;=N68)*FundManager[Amount Invested]) = 0,
  NA(),
  SUMPRODUCT((FundManager[Ticker]=$N$3)*(FundManager[Date]&lt;=N68)*(FundManager[Entry Price]*FundManager[Amount Invested])) /
  SUMPRODUCT((FundManager[Ticker]=$N$3)*(FundManager[Date]&lt;=N68)*FundManager[Amount Invested])
)</f>
        <v>61.599999999999994</v>
      </c>
      <c r="Q68">
        <f ca="1">SUMIFS(FundManager[Units Held], FundManager[Ticker], $N$3, FundManager[Date], "&lt;=" &amp; N68)</f>
        <v>2.1052631578947367</v>
      </c>
      <c r="R68" s="20">
        <f t="shared" ca="1" si="0"/>
        <v>129.68421052631578</v>
      </c>
    </row>
    <row r="69" spans="14:18" x14ac:dyDescent="0.25">
      <c r="N69" vm="133">
        <f ca="1"/>
        <v>46017</v>
      </c>
      <c r="O69" vm="134">
        <f ca="1"/>
        <v>256.08999999999997</v>
      </c>
      <c r="P69" s="20" cm="1">
        <f t="array" aca="1" ref="P69" ca="1">O69-IF(
  SUMPRODUCT((FundManager[Ticker]=$N$3)*(FundManager[Date]&lt;=N69)*FundManager[Amount Invested]) = 0,
  NA(),
  SUMPRODUCT((FundManager[Ticker]=$N$3)*(FundManager[Date]&lt;=N69)*(FundManager[Entry Price]*FundManager[Amount Invested])) /
  SUMPRODUCT((FundManager[Ticker]=$N$3)*(FundManager[Date]&lt;=N69)*FundManager[Amount Invested])
)</f>
        <v>66.089999999999975</v>
      </c>
      <c r="Q69">
        <f ca="1">SUMIFS(FundManager[Units Held], FundManager[Ticker], $N$3, FundManager[Date], "&lt;=" &amp; N69)</f>
        <v>2.1052631578947367</v>
      </c>
      <c r="R69" s="20">
        <f t="shared" ca="1" si="0"/>
        <v>139.1368421052631</v>
      </c>
    </row>
    <row r="70" spans="14:18" x14ac:dyDescent="0.25">
      <c r="P70" s="20" t="e" cm="1">
        <f t="array" aca="1" ref="P70" ca="1">O70-IF(
  SUMPRODUCT((FundManager[Ticker]=$N$3)*(FundManager[Date]&lt;=N70)*FundManager[Amount Invested]) = 0,
  NA(),
  SUMPRODUCT((FundManager[Ticker]=$N$3)*(FundManager[Date]&lt;=N70)*(FundManager[Entry Price]*FundManager[Amount Invested])) /
  SUMPRODUCT((FundManager[Ticker]=$N$3)*(FundManager[Date]&lt;=N70)*FundManager[Amount Invested])
)</f>
        <v>#N/A</v>
      </c>
      <c r="Q70">
        <f>SUMIFS(FundManager[Units Held], FundManager[Ticker], $N$3, FundManager[Date], "&lt;=" &amp; N70)</f>
        <v>0</v>
      </c>
      <c r="R70" s="20">
        <f t="shared" ca="1" si="0"/>
        <v>0</v>
      </c>
    </row>
    <row r="71" spans="14:18" x14ac:dyDescent="0.25">
      <c r="P71" s="20" t="e" cm="1">
        <f t="array" aca="1" ref="P71" ca="1">O71-IF(
  SUMPRODUCT((FundManager[Ticker]=$N$3)*(FundManager[Date]&lt;=N71)*FundManager[Amount Invested]) = 0,
  NA(),
  SUMPRODUCT((FundManager[Ticker]=$N$3)*(FundManager[Date]&lt;=N71)*(FundManager[Entry Price]*FundManager[Amount Invested])) /
  SUMPRODUCT((FundManager[Ticker]=$N$3)*(FundManager[Date]&lt;=N71)*FundManager[Amount Invested])
)</f>
        <v>#N/A</v>
      </c>
      <c r="Q71">
        <f>SUMIFS(FundManager[Units Held], FundManager[Ticker], $N$3, FundManager[Date], "&lt;=" &amp; N71)</f>
        <v>0</v>
      </c>
      <c r="R71" s="20">
        <f t="shared" ca="1" si="0"/>
        <v>0</v>
      </c>
    </row>
    <row r="72" spans="14:18" x14ac:dyDescent="0.25">
      <c r="P72" s="20" t="e" cm="1">
        <f t="array" aca="1" ref="P72" ca="1">O72-IF(
  SUMPRODUCT((FundManager[Ticker]=$N$3)*(FundManager[Date]&lt;=N72)*FundManager[Amount Invested]) = 0,
  NA(),
  SUMPRODUCT((FundManager[Ticker]=$N$3)*(FundManager[Date]&lt;=N72)*(FundManager[Entry Price]*FundManager[Amount Invested])) /
  SUMPRODUCT((FundManager[Ticker]=$N$3)*(FundManager[Date]&lt;=N72)*FundManager[Amount Invested])
)</f>
        <v>#N/A</v>
      </c>
      <c r="Q72">
        <f>SUMIFS(FundManager[Units Held], FundManager[Ticker], $N$3, FundManager[Date], "&lt;=" &amp; N72)</f>
        <v>0</v>
      </c>
      <c r="R72" s="20">
        <f t="shared" ref="R72:R135" ca="1" si="1">_xlfn.IFNA(P72*Q72,0)</f>
        <v>0</v>
      </c>
    </row>
    <row r="73" spans="14:18" x14ac:dyDescent="0.25">
      <c r="P73" s="20" t="e" cm="1">
        <f t="array" aca="1" ref="P73" ca="1">O73-IF(
  SUMPRODUCT((FundManager[Ticker]=$N$3)*(FundManager[Date]&lt;=N73)*FundManager[Amount Invested]) = 0,
  NA(),
  SUMPRODUCT((FundManager[Ticker]=$N$3)*(FundManager[Date]&lt;=N73)*(FundManager[Entry Price]*FundManager[Amount Invested])) /
  SUMPRODUCT((FundManager[Ticker]=$N$3)*(FundManager[Date]&lt;=N73)*FundManager[Amount Invested])
)</f>
        <v>#N/A</v>
      </c>
      <c r="Q73">
        <f>SUMIFS(FundManager[Units Held], FundManager[Ticker], $N$3, FundManager[Date], "&lt;=" &amp; N73)</f>
        <v>0</v>
      </c>
      <c r="R73" s="20">
        <f t="shared" ca="1" si="1"/>
        <v>0</v>
      </c>
    </row>
    <row r="74" spans="14:18" x14ac:dyDescent="0.25">
      <c r="P74" s="20" t="e" cm="1">
        <f t="array" aca="1" ref="P74" ca="1">O74-IF(
  SUMPRODUCT((FundManager[Ticker]=$N$3)*(FundManager[Date]&lt;=N74)*FundManager[Amount Invested]) = 0,
  NA(),
  SUMPRODUCT((FundManager[Ticker]=$N$3)*(FundManager[Date]&lt;=N74)*(FundManager[Entry Price]*FundManager[Amount Invested])) /
  SUMPRODUCT((FundManager[Ticker]=$N$3)*(FundManager[Date]&lt;=N74)*FundManager[Amount Invested])
)</f>
        <v>#N/A</v>
      </c>
      <c r="Q74">
        <f ca="1">SUMIFS(FundManager[Units Held], FundManager[Ticker], $N$3, FundManager[Date], "&lt;=" &amp; N74)</f>
        <v>0</v>
      </c>
      <c r="R74" s="20">
        <f t="shared" ca="1" si="1"/>
        <v>0</v>
      </c>
    </row>
    <row r="75" spans="14:18" x14ac:dyDescent="0.25">
      <c r="P75" s="20" t="e" cm="1">
        <f t="array" aca="1" ref="P75" ca="1">O75-IF(
  SUMPRODUCT((FundManager[Ticker]=$N$3)*(FundManager[Date]&lt;=N75)*FundManager[Amount Invested]) = 0,
  NA(),
  SUMPRODUCT((FundManager[Ticker]=$N$3)*(FundManager[Date]&lt;=N75)*(FundManager[Entry Price]*FundManager[Amount Invested])) /
  SUMPRODUCT((FundManager[Ticker]=$N$3)*(FundManager[Date]&lt;=N75)*FundManager[Amount Invested])
)</f>
        <v>#N/A</v>
      </c>
      <c r="Q75">
        <f>SUMIFS(FundManager[Units Held], FundManager[Ticker], $N$3, FundManager[Date], "&lt;=" &amp; N75)</f>
        <v>0</v>
      </c>
      <c r="R75" s="20">
        <f t="shared" ca="1" si="1"/>
        <v>0</v>
      </c>
    </row>
    <row r="76" spans="14:18" x14ac:dyDescent="0.25">
      <c r="P76" s="20" t="e" cm="1">
        <f t="array" aca="1" ref="P76" ca="1">O76-IF(
  SUMPRODUCT((FundManager[Ticker]=$N$3)*(FundManager[Date]&lt;=N76)*FundManager[Amount Invested]) = 0,
  NA(),
  SUMPRODUCT((FundManager[Ticker]=$N$3)*(FundManager[Date]&lt;=N76)*(FundManager[Entry Price]*FundManager[Amount Invested])) /
  SUMPRODUCT((FundManager[Ticker]=$N$3)*(FundManager[Date]&lt;=N76)*FundManager[Amount Invested])
)</f>
        <v>#N/A</v>
      </c>
      <c r="Q76">
        <f>SUMIFS(FundManager[Units Held], FundManager[Ticker], $N$3, FundManager[Date], "&lt;=" &amp; N76)</f>
        <v>0</v>
      </c>
      <c r="R76" s="20">
        <f t="shared" ca="1" si="1"/>
        <v>0</v>
      </c>
    </row>
    <row r="77" spans="14:18" x14ac:dyDescent="0.25">
      <c r="P77" s="20" t="e" cm="1">
        <f t="array" aca="1" ref="P77" ca="1">O77-IF(
  SUMPRODUCT((FundManager[Ticker]=$N$3)*(FundManager[Date]&lt;=N77)*FundManager[Amount Invested]) = 0,
  NA(),
  SUMPRODUCT((FundManager[Ticker]=$N$3)*(FundManager[Date]&lt;=N77)*(FundManager[Entry Price]*FundManager[Amount Invested])) /
  SUMPRODUCT((FundManager[Ticker]=$N$3)*(FundManager[Date]&lt;=N77)*FundManager[Amount Invested])
)</f>
        <v>#N/A</v>
      </c>
      <c r="Q77">
        <f>SUMIFS(FundManager[Units Held], FundManager[Ticker], $N$3, FundManager[Date], "&lt;=" &amp; N77)</f>
        <v>0</v>
      </c>
      <c r="R77" s="20">
        <f t="shared" ca="1" si="1"/>
        <v>0</v>
      </c>
    </row>
    <row r="78" spans="14:18" x14ac:dyDescent="0.25">
      <c r="P78" s="20" t="e" cm="1">
        <f t="array" aca="1" ref="P78" ca="1">O78-IF(
  SUMPRODUCT((FundManager[Ticker]=$N$3)*(FundManager[Date]&lt;=N78)*FundManager[Amount Invested]) = 0,
  NA(),
  SUMPRODUCT((FundManager[Ticker]=$N$3)*(FundManager[Date]&lt;=N78)*(FundManager[Entry Price]*FundManager[Amount Invested])) /
  SUMPRODUCT((FundManager[Ticker]=$N$3)*(FundManager[Date]&lt;=N78)*FundManager[Amount Invested])
)</f>
        <v>#N/A</v>
      </c>
      <c r="Q78">
        <f>SUMIFS(FundManager[Units Held], FundManager[Ticker], $N$3, FundManager[Date], "&lt;=" &amp; N78)</f>
        <v>0</v>
      </c>
      <c r="R78" s="20">
        <f t="shared" ca="1" si="1"/>
        <v>0</v>
      </c>
    </row>
    <row r="79" spans="14:18" x14ac:dyDescent="0.25">
      <c r="P79" s="20" t="e" cm="1">
        <f t="array" aca="1" ref="P79" ca="1">O79-IF(
  SUMPRODUCT((FundManager[Ticker]=$N$3)*(FundManager[Date]&lt;=N79)*FundManager[Amount Invested]) = 0,
  NA(),
  SUMPRODUCT((FundManager[Ticker]=$N$3)*(FundManager[Date]&lt;=N79)*(FundManager[Entry Price]*FundManager[Amount Invested])) /
  SUMPRODUCT((FundManager[Ticker]=$N$3)*(FundManager[Date]&lt;=N79)*FundManager[Amount Invested])
)</f>
        <v>#N/A</v>
      </c>
      <c r="Q79">
        <f>SUMIFS(FundManager[Units Held], FundManager[Ticker], $N$3, FundManager[Date], "&lt;=" &amp; N79)</f>
        <v>0</v>
      </c>
      <c r="R79" s="20">
        <f t="shared" ca="1" si="1"/>
        <v>0</v>
      </c>
    </row>
    <row r="80" spans="14:18" x14ac:dyDescent="0.25">
      <c r="P80" s="20" t="e" cm="1">
        <f t="array" aca="1" ref="P80" ca="1">O80-IF(
  SUMPRODUCT((FundManager[Ticker]=$N$3)*(FundManager[Date]&lt;=N80)*FundManager[Amount Invested]) = 0,
  NA(),
  SUMPRODUCT((FundManager[Ticker]=$N$3)*(FundManager[Date]&lt;=N80)*(FundManager[Entry Price]*FundManager[Amount Invested])) /
  SUMPRODUCT((FundManager[Ticker]=$N$3)*(FundManager[Date]&lt;=N80)*FundManager[Amount Invested])
)</f>
        <v>#N/A</v>
      </c>
      <c r="Q80">
        <f>SUMIFS(FundManager[Units Held], FundManager[Ticker], $N$3, FundManager[Date], "&lt;=" &amp; N80)</f>
        <v>0</v>
      </c>
      <c r="R80" s="20">
        <f t="shared" ca="1" si="1"/>
        <v>0</v>
      </c>
    </row>
    <row r="81" spans="16:18" x14ac:dyDescent="0.25">
      <c r="P81" s="20" t="e" cm="1">
        <f t="array" aca="1" ref="P81" ca="1">O81-IF(
  SUMPRODUCT((FundManager[Ticker]=$N$3)*(FundManager[Date]&lt;=N81)*FundManager[Amount Invested]) = 0,
  NA(),
  SUMPRODUCT((FundManager[Ticker]=$N$3)*(FundManager[Date]&lt;=N81)*(FundManager[Entry Price]*FundManager[Amount Invested])) /
  SUMPRODUCT((FundManager[Ticker]=$N$3)*(FundManager[Date]&lt;=N81)*FundManager[Amount Invested])
)</f>
        <v>#N/A</v>
      </c>
      <c r="Q81">
        <f>SUMIFS(FundManager[Units Held], FundManager[Ticker], $N$3, FundManager[Date], "&lt;=" &amp; N81)</f>
        <v>0</v>
      </c>
      <c r="R81" s="20">
        <f t="shared" ca="1" si="1"/>
        <v>0</v>
      </c>
    </row>
    <row r="82" spans="16:18" x14ac:dyDescent="0.25">
      <c r="P82" s="20" t="e" cm="1">
        <f t="array" aca="1" ref="P82" ca="1">O82-IF(
  SUMPRODUCT((FundManager[Ticker]=$N$3)*(FundManager[Date]&lt;=N82)*FundManager[Amount Invested]) = 0,
  NA(),
  SUMPRODUCT((FundManager[Ticker]=$N$3)*(FundManager[Date]&lt;=N82)*(FundManager[Entry Price]*FundManager[Amount Invested])) /
  SUMPRODUCT((FundManager[Ticker]=$N$3)*(FundManager[Date]&lt;=N82)*FundManager[Amount Invested])
)</f>
        <v>#N/A</v>
      </c>
      <c r="Q82">
        <f>SUMIFS(FundManager[Units Held], FundManager[Ticker], $N$3, FundManager[Date], "&lt;=" &amp; N82)</f>
        <v>0</v>
      </c>
      <c r="R82" s="20">
        <f t="shared" ca="1" si="1"/>
        <v>0</v>
      </c>
    </row>
    <row r="83" spans="16:18" x14ac:dyDescent="0.25">
      <c r="P83" s="20" t="e" cm="1">
        <f t="array" aca="1" ref="P83" ca="1">O83-IF(
  SUMPRODUCT((FundManager[Ticker]=$N$3)*(FundManager[Date]&lt;=N83)*FundManager[Amount Invested]) = 0,
  NA(),
  SUMPRODUCT((FundManager[Ticker]=$N$3)*(FundManager[Date]&lt;=N83)*(FundManager[Entry Price]*FundManager[Amount Invested])) /
  SUMPRODUCT((FundManager[Ticker]=$N$3)*(FundManager[Date]&lt;=N83)*FundManager[Amount Invested])
)</f>
        <v>#N/A</v>
      </c>
      <c r="Q83">
        <f>SUMIFS(FundManager[Units Held], FundManager[Ticker], $N$3, FundManager[Date], "&lt;=" &amp; N83)</f>
        <v>0</v>
      </c>
      <c r="R83" s="20">
        <f t="shared" ca="1" si="1"/>
        <v>0</v>
      </c>
    </row>
    <row r="84" spans="16:18" x14ac:dyDescent="0.25">
      <c r="P84" s="20" t="e" cm="1">
        <f t="array" aca="1" ref="P84" ca="1">O84-IF(
  SUMPRODUCT((FundManager[Ticker]=$N$3)*(FundManager[Date]&lt;=N84)*FundManager[Amount Invested]) = 0,
  NA(),
  SUMPRODUCT((FundManager[Ticker]=$N$3)*(FundManager[Date]&lt;=N84)*(FundManager[Entry Price]*FundManager[Amount Invested])) /
  SUMPRODUCT((FundManager[Ticker]=$N$3)*(FundManager[Date]&lt;=N84)*FundManager[Amount Invested])
)</f>
        <v>#N/A</v>
      </c>
      <c r="Q84">
        <f>SUMIFS(FundManager[Units Held], FundManager[Ticker], $N$3, FundManager[Date], "&lt;=" &amp; N84)</f>
        <v>0</v>
      </c>
      <c r="R84" s="20">
        <f t="shared" ca="1" si="1"/>
        <v>0</v>
      </c>
    </row>
    <row r="85" spans="16:18" x14ac:dyDescent="0.25">
      <c r="P85" s="20" t="e" cm="1">
        <f t="array" aca="1" ref="P85" ca="1">O85-IF(
  SUMPRODUCT((FundManager[Ticker]=$N$3)*(FundManager[Date]&lt;=N85)*FundManager[Amount Invested]) = 0,
  NA(),
  SUMPRODUCT((FundManager[Ticker]=$N$3)*(FundManager[Date]&lt;=N85)*(FundManager[Entry Price]*FundManager[Amount Invested])) /
  SUMPRODUCT((FundManager[Ticker]=$N$3)*(FundManager[Date]&lt;=N85)*FundManager[Amount Invested])
)</f>
        <v>#N/A</v>
      </c>
      <c r="Q85">
        <f>SUMIFS(FundManager[Units Held], FundManager[Ticker], $N$3, FundManager[Date], "&lt;=" &amp; N85)</f>
        <v>0</v>
      </c>
      <c r="R85" s="20">
        <f t="shared" ca="1" si="1"/>
        <v>0</v>
      </c>
    </row>
    <row r="86" spans="16:18" x14ac:dyDescent="0.25">
      <c r="P86" s="20" t="e" cm="1">
        <f t="array" aca="1" ref="P86" ca="1">O86-IF(
  SUMPRODUCT((FundManager[Ticker]=$N$3)*(FundManager[Date]&lt;=N86)*FundManager[Amount Invested]) = 0,
  NA(),
  SUMPRODUCT((FundManager[Ticker]=$N$3)*(FundManager[Date]&lt;=N86)*(FundManager[Entry Price]*FundManager[Amount Invested])) /
  SUMPRODUCT((FundManager[Ticker]=$N$3)*(FundManager[Date]&lt;=N86)*FundManager[Amount Invested])
)</f>
        <v>#N/A</v>
      </c>
      <c r="Q86">
        <f>SUMIFS(FundManager[Units Held], FundManager[Ticker], $N$3, FundManager[Date], "&lt;=" &amp; N86)</f>
        <v>0</v>
      </c>
      <c r="R86" s="20">
        <f t="shared" ca="1" si="1"/>
        <v>0</v>
      </c>
    </row>
    <row r="87" spans="16:18" x14ac:dyDescent="0.25">
      <c r="P87" s="20" t="e" cm="1">
        <f t="array" aca="1" ref="P87" ca="1">O87-IF(
  SUMPRODUCT((FundManager[Ticker]=$N$3)*(FundManager[Date]&lt;=N87)*FundManager[Amount Invested]) = 0,
  NA(),
  SUMPRODUCT((FundManager[Ticker]=$N$3)*(FundManager[Date]&lt;=N87)*(FundManager[Entry Price]*FundManager[Amount Invested])) /
  SUMPRODUCT((FundManager[Ticker]=$N$3)*(FundManager[Date]&lt;=N87)*FundManager[Amount Invested])
)</f>
        <v>#N/A</v>
      </c>
      <c r="Q87">
        <f>SUMIFS(FundManager[Units Held], FundManager[Ticker], $N$3, FundManager[Date], "&lt;=" &amp; N87)</f>
        <v>0</v>
      </c>
      <c r="R87" s="20">
        <f t="shared" ca="1" si="1"/>
        <v>0</v>
      </c>
    </row>
    <row r="88" spans="16:18" x14ac:dyDescent="0.25">
      <c r="P88" s="20" t="e" cm="1">
        <f t="array" aca="1" ref="P88" ca="1">O88-IF(
  SUMPRODUCT((FundManager[Ticker]=$N$3)*(FundManager[Date]&lt;=N88)*FundManager[Amount Invested]) = 0,
  NA(),
  SUMPRODUCT((FundManager[Ticker]=$N$3)*(FundManager[Date]&lt;=N88)*(FundManager[Entry Price]*FundManager[Amount Invested])) /
  SUMPRODUCT((FundManager[Ticker]=$N$3)*(FundManager[Date]&lt;=N88)*FundManager[Amount Invested])
)</f>
        <v>#N/A</v>
      </c>
      <c r="Q88">
        <f>SUMIFS(FundManager[Units Held], FundManager[Ticker], $N$3, FundManager[Date], "&lt;=" &amp; N88)</f>
        <v>0</v>
      </c>
      <c r="R88" s="20">
        <f t="shared" ca="1" si="1"/>
        <v>0</v>
      </c>
    </row>
    <row r="89" spans="16:18" x14ac:dyDescent="0.25">
      <c r="P89" s="20" t="e" cm="1">
        <f t="array" aca="1" ref="P89" ca="1">O89-IF(
  SUMPRODUCT((FundManager[Ticker]=$N$3)*(FundManager[Date]&lt;=N89)*FundManager[Amount Invested]) = 0,
  NA(),
  SUMPRODUCT((FundManager[Ticker]=$N$3)*(FundManager[Date]&lt;=N89)*(FundManager[Entry Price]*FundManager[Amount Invested])) /
  SUMPRODUCT((FundManager[Ticker]=$N$3)*(FundManager[Date]&lt;=N89)*FundManager[Amount Invested])
)</f>
        <v>#N/A</v>
      </c>
      <c r="Q89">
        <f ca="1">SUMIFS(FundManager[Units Held], FundManager[Ticker], $N$3, FundManager[Date], "&lt;=" &amp; N89)</f>
        <v>0</v>
      </c>
      <c r="R89" s="20">
        <f t="shared" ca="1" si="1"/>
        <v>0</v>
      </c>
    </row>
    <row r="90" spans="16:18" x14ac:dyDescent="0.25">
      <c r="P90" s="20" t="e" cm="1">
        <f t="array" aca="1" ref="P90" ca="1">O90-IF(
  SUMPRODUCT((FundManager[Ticker]=$N$3)*(FundManager[Date]&lt;=N90)*FundManager[Amount Invested]) = 0,
  NA(),
  SUMPRODUCT((FundManager[Ticker]=$N$3)*(FundManager[Date]&lt;=N90)*(FundManager[Entry Price]*FundManager[Amount Invested])) /
  SUMPRODUCT((FundManager[Ticker]=$N$3)*(FundManager[Date]&lt;=N90)*FundManager[Amount Invested])
)</f>
        <v>#N/A</v>
      </c>
      <c r="Q90">
        <f>SUMIFS(FundManager[Units Held], FundManager[Ticker], $N$3, FundManager[Date], "&lt;=" &amp; N90)</f>
        <v>0</v>
      </c>
      <c r="R90" s="20">
        <f t="shared" ca="1" si="1"/>
        <v>0</v>
      </c>
    </row>
    <row r="91" spans="16:18" x14ac:dyDescent="0.25">
      <c r="P91" s="20" t="e" cm="1">
        <f t="array" aca="1" ref="P91" ca="1">O91-IF(
  SUMPRODUCT((FundManager[Ticker]=$N$3)*(FundManager[Date]&lt;=N91)*FundManager[Amount Invested]) = 0,
  NA(),
  SUMPRODUCT((FundManager[Ticker]=$N$3)*(FundManager[Date]&lt;=N91)*(FundManager[Entry Price]*FundManager[Amount Invested])) /
  SUMPRODUCT((FundManager[Ticker]=$N$3)*(FundManager[Date]&lt;=N91)*FundManager[Amount Invested])
)</f>
        <v>#N/A</v>
      </c>
      <c r="Q91">
        <f>SUMIFS(FundManager[Units Held], FundManager[Ticker], $N$3, FundManager[Date], "&lt;=" &amp; N91)</f>
        <v>0</v>
      </c>
      <c r="R91" s="20">
        <f t="shared" ca="1" si="1"/>
        <v>0</v>
      </c>
    </row>
    <row r="92" spans="16:18" x14ac:dyDescent="0.25">
      <c r="P92" s="20" t="e" cm="1">
        <f t="array" aca="1" ref="P92" ca="1">O92-IF(
  SUMPRODUCT((FundManager[Ticker]=$N$3)*(FundManager[Date]&lt;=N92)*FundManager[Amount Invested]) = 0,
  NA(),
  SUMPRODUCT((FundManager[Ticker]=$N$3)*(FundManager[Date]&lt;=N92)*(FundManager[Entry Price]*FundManager[Amount Invested])) /
  SUMPRODUCT((FundManager[Ticker]=$N$3)*(FundManager[Date]&lt;=N92)*FundManager[Amount Invested])
)</f>
        <v>#N/A</v>
      </c>
      <c r="Q92">
        <f>SUMIFS(FundManager[Units Held], FundManager[Ticker], $N$3, FundManager[Date], "&lt;=" &amp; N92)</f>
        <v>0</v>
      </c>
      <c r="R92" s="20">
        <f t="shared" ca="1" si="1"/>
        <v>0</v>
      </c>
    </row>
    <row r="93" spans="16:18" x14ac:dyDescent="0.25">
      <c r="P93" s="20" t="e" cm="1">
        <f t="array" aca="1" ref="P93" ca="1">O93-IF(
  SUMPRODUCT((FundManager[Ticker]=$N$3)*(FundManager[Date]&lt;=N93)*FundManager[Amount Invested]) = 0,
  NA(),
  SUMPRODUCT((FundManager[Ticker]=$N$3)*(FundManager[Date]&lt;=N93)*(FundManager[Entry Price]*FundManager[Amount Invested])) /
  SUMPRODUCT((FundManager[Ticker]=$N$3)*(FundManager[Date]&lt;=N93)*FundManager[Amount Invested])
)</f>
        <v>#N/A</v>
      </c>
      <c r="Q93">
        <f>SUMIFS(FundManager[Units Held], FundManager[Ticker], $N$3, FundManager[Date], "&lt;=" &amp; N93)</f>
        <v>0</v>
      </c>
      <c r="R93" s="20">
        <f t="shared" ca="1" si="1"/>
        <v>0</v>
      </c>
    </row>
    <row r="94" spans="16:18" x14ac:dyDescent="0.25">
      <c r="P94" s="20" t="e" cm="1">
        <f t="array" aca="1" ref="P94" ca="1">O94-IF(
  SUMPRODUCT((FundManager[Ticker]=$N$3)*(FundManager[Date]&lt;=N94)*FundManager[Amount Invested]) = 0,
  NA(),
  SUMPRODUCT((FundManager[Ticker]=$N$3)*(FundManager[Date]&lt;=N94)*(FundManager[Entry Price]*FundManager[Amount Invested])) /
  SUMPRODUCT((FundManager[Ticker]=$N$3)*(FundManager[Date]&lt;=N94)*FundManager[Amount Invested])
)</f>
        <v>#N/A</v>
      </c>
      <c r="Q94">
        <f>SUMIFS(FundManager[Units Held], FundManager[Ticker], $N$3, FundManager[Date], "&lt;=" &amp; N94)</f>
        <v>0</v>
      </c>
      <c r="R94" s="20">
        <f t="shared" ca="1" si="1"/>
        <v>0</v>
      </c>
    </row>
    <row r="95" spans="16:18" x14ac:dyDescent="0.25">
      <c r="P95" s="20" t="e" cm="1">
        <f t="array" aca="1" ref="P95" ca="1">O95-IF(
  SUMPRODUCT((FundManager[Ticker]=$N$3)*(FundManager[Date]&lt;=N95)*FundManager[Amount Invested]) = 0,
  NA(),
  SUMPRODUCT((FundManager[Ticker]=$N$3)*(FundManager[Date]&lt;=N95)*(FundManager[Entry Price]*FundManager[Amount Invested])) /
  SUMPRODUCT((FundManager[Ticker]=$N$3)*(FundManager[Date]&lt;=N95)*FundManager[Amount Invested])
)</f>
        <v>#N/A</v>
      </c>
      <c r="Q95">
        <f>SUMIFS(FundManager[Units Held], FundManager[Ticker], $N$3, FundManager[Date], "&lt;=" &amp; N95)</f>
        <v>0</v>
      </c>
      <c r="R95" s="20">
        <f t="shared" ca="1" si="1"/>
        <v>0</v>
      </c>
    </row>
    <row r="96" spans="16:18" x14ac:dyDescent="0.25">
      <c r="P96" s="20" t="e" cm="1">
        <f t="array" aca="1" ref="P96" ca="1">O96-IF(
  SUMPRODUCT((FundManager[Ticker]=$N$3)*(FundManager[Date]&lt;=N96)*FundManager[Amount Invested]) = 0,
  NA(),
  SUMPRODUCT((FundManager[Ticker]=$N$3)*(FundManager[Date]&lt;=N96)*(FundManager[Entry Price]*FundManager[Amount Invested])) /
  SUMPRODUCT((FundManager[Ticker]=$N$3)*(FundManager[Date]&lt;=N96)*FundManager[Amount Invested])
)</f>
        <v>#N/A</v>
      </c>
      <c r="Q96">
        <f>SUMIFS(FundManager[Units Held], FundManager[Ticker], $N$3, FundManager[Date], "&lt;=" &amp; N96)</f>
        <v>0</v>
      </c>
      <c r="R96" s="20">
        <f t="shared" ca="1" si="1"/>
        <v>0</v>
      </c>
    </row>
    <row r="97" spans="16:18" x14ac:dyDescent="0.25">
      <c r="P97" s="20" t="e" cm="1">
        <f t="array" aca="1" ref="P97" ca="1">O97-IF(
  SUMPRODUCT((FundManager[Ticker]=$N$3)*(FundManager[Date]&lt;=N97)*FundManager[Amount Invested]) = 0,
  NA(),
  SUMPRODUCT((FundManager[Ticker]=$N$3)*(FundManager[Date]&lt;=N97)*(FundManager[Entry Price]*FundManager[Amount Invested])) /
  SUMPRODUCT((FundManager[Ticker]=$N$3)*(FundManager[Date]&lt;=N97)*FundManager[Amount Invested])
)</f>
        <v>#N/A</v>
      </c>
      <c r="Q97">
        <f>SUMIFS(FundManager[Units Held], FundManager[Ticker], $N$3, FundManager[Date], "&lt;=" &amp; N97)</f>
        <v>0</v>
      </c>
      <c r="R97" s="20">
        <f t="shared" ca="1" si="1"/>
        <v>0</v>
      </c>
    </row>
    <row r="98" spans="16:18" x14ac:dyDescent="0.25">
      <c r="P98" s="20" t="e" cm="1">
        <f t="array" aca="1" ref="P98" ca="1">O98-IF(
  SUMPRODUCT((FundManager[Ticker]=$N$3)*(FundManager[Date]&lt;=N98)*FundManager[Amount Invested]) = 0,
  NA(),
  SUMPRODUCT((FundManager[Ticker]=$N$3)*(FundManager[Date]&lt;=N98)*(FundManager[Entry Price]*FundManager[Amount Invested])) /
  SUMPRODUCT((FundManager[Ticker]=$N$3)*(FundManager[Date]&lt;=N98)*FundManager[Amount Invested])
)</f>
        <v>#N/A</v>
      </c>
      <c r="Q98">
        <f>SUMIFS(FundManager[Units Held], FundManager[Ticker], $N$3, FundManager[Date], "&lt;=" &amp; N98)</f>
        <v>0</v>
      </c>
      <c r="R98" s="20">
        <f t="shared" ca="1" si="1"/>
        <v>0</v>
      </c>
    </row>
    <row r="99" spans="16:18" x14ac:dyDescent="0.25">
      <c r="P99" s="20" t="e" cm="1">
        <f t="array" aca="1" ref="P99" ca="1">O99-IF(
  SUMPRODUCT((FundManager[Ticker]=$N$3)*(FundManager[Date]&lt;=N99)*FundManager[Amount Invested]) = 0,
  NA(),
  SUMPRODUCT((FundManager[Ticker]=$N$3)*(FundManager[Date]&lt;=N99)*(FundManager[Entry Price]*FundManager[Amount Invested])) /
  SUMPRODUCT((FundManager[Ticker]=$N$3)*(FundManager[Date]&lt;=N99)*FundManager[Amount Invested])
)</f>
        <v>#N/A</v>
      </c>
      <c r="Q99">
        <f>SUMIFS(FundManager[Units Held], FundManager[Ticker], $N$3, FundManager[Date], "&lt;=" &amp; N99)</f>
        <v>0</v>
      </c>
      <c r="R99" s="20">
        <f t="shared" ca="1" si="1"/>
        <v>0</v>
      </c>
    </row>
    <row r="100" spans="16:18" x14ac:dyDescent="0.25">
      <c r="P100" s="20" t="e" cm="1">
        <f t="array" aca="1" ref="P100" ca="1">O100-IF(
  SUMPRODUCT((FundManager[Ticker]=$N$3)*(FundManager[Date]&lt;=N100)*FundManager[Amount Invested]) = 0,
  NA(),
  SUMPRODUCT((FundManager[Ticker]=$N$3)*(FundManager[Date]&lt;=N100)*(FundManager[Entry Price]*FundManager[Amount Invested])) /
  SUMPRODUCT((FundManager[Ticker]=$N$3)*(FundManager[Date]&lt;=N100)*FundManager[Amount Invested])
)</f>
        <v>#N/A</v>
      </c>
      <c r="Q100">
        <f>SUMIFS(FundManager[Units Held], FundManager[Ticker], $N$3, FundManager[Date], "&lt;=" &amp; N100)</f>
        <v>0</v>
      </c>
      <c r="R100" s="20">
        <f t="shared" ca="1" si="1"/>
        <v>0</v>
      </c>
    </row>
    <row r="101" spans="16:18" x14ac:dyDescent="0.25">
      <c r="P101" s="20" t="e" cm="1">
        <f t="array" aca="1" ref="P101" ca="1">O101-IF(
  SUMPRODUCT((FundManager[Ticker]=$N$3)*(FundManager[Date]&lt;=N101)*FundManager[Amount Invested]) = 0,
  NA(),
  SUMPRODUCT((FundManager[Ticker]=$N$3)*(FundManager[Date]&lt;=N101)*(FundManager[Entry Price]*FundManager[Amount Invested])) /
  SUMPRODUCT((FundManager[Ticker]=$N$3)*(FundManager[Date]&lt;=N101)*FundManager[Amount Invested])
)</f>
        <v>#N/A</v>
      </c>
      <c r="Q101">
        <f>SUMIFS(FundManager[Units Held], FundManager[Ticker], $N$3, FundManager[Date], "&lt;=" &amp; N101)</f>
        <v>0</v>
      </c>
      <c r="R101" s="20">
        <f t="shared" ca="1" si="1"/>
        <v>0</v>
      </c>
    </row>
    <row r="102" spans="16:18" x14ac:dyDescent="0.25">
      <c r="P102" s="20" t="e" cm="1">
        <f t="array" aca="1" ref="P102" ca="1">O102-IF(
  SUMPRODUCT((FundManager[Ticker]=$N$3)*(FundManager[Date]&lt;=N102)*FundManager[Amount Invested]) = 0,
  NA(),
  SUMPRODUCT((FundManager[Ticker]=$N$3)*(FundManager[Date]&lt;=N102)*(FundManager[Entry Price]*FundManager[Amount Invested])) /
  SUMPRODUCT((FundManager[Ticker]=$N$3)*(FundManager[Date]&lt;=N102)*FundManager[Amount Invested])
)</f>
        <v>#N/A</v>
      </c>
      <c r="Q102">
        <f>SUMIFS(FundManager[Units Held], FundManager[Ticker], $N$3, FundManager[Date], "&lt;=" &amp; N102)</f>
        <v>0</v>
      </c>
      <c r="R102" s="20">
        <f t="shared" ca="1" si="1"/>
        <v>0</v>
      </c>
    </row>
    <row r="103" spans="16:18" x14ac:dyDescent="0.25">
      <c r="P103" s="20" t="e" cm="1">
        <f t="array" aca="1" ref="P103" ca="1">O103-IF(
  SUMPRODUCT((FundManager[Ticker]=$N$3)*(FundManager[Date]&lt;=N103)*FundManager[Amount Invested]) = 0,
  NA(),
  SUMPRODUCT((FundManager[Ticker]=$N$3)*(FundManager[Date]&lt;=N103)*(FundManager[Entry Price]*FundManager[Amount Invested])) /
  SUMPRODUCT((FundManager[Ticker]=$N$3)*(FundManager[Date]&lt;=N103)*FundManager[Amount Invested])
)</f>
        <v>#N/A</v>
      </c>
      <c r="Q103">
        <f>SUMIFS(FundManager[Units Held], FundManager[Ticker], $N$3, FundManager[Date], "&lt;=" &amp; N103)</f>
        <v>0</v>
      </c>
      <c r="R103" s="20">
        <f t="shared" ca="1" si="1"/>
        <v>0</v>
      </c>
    </row>
    <row r="104" spans="16:18" x14ac:dyDescent="0.25">
      <c r="P104" s="20" t="e" cm="1">
        <f t="array" aca="1" ref="P104" ca="1">O104-IF(
  SUMPRODUCT((FundManager[Ticker]=$N$3)*(FundManager[Date]&lt;=N104)*FundManager[Amount Invested]) = 0,
  NA(),
  SUMPRODUCT((FundManager[Ticker]=$N$3)*(FundManager[Date]&lt;=N104)*(FundManager[Entry Price]*FundManager[Amount Invested])) /
  SUMPRODUCT((FundManager[Ticker]=$N$3)*(FundManager[Date]&lt;=N104)*FundManager[Amount Invested])
)</f>
        <v>#N/A</v>
      </c>
      <c r="Q104">
        <f>SUMIFS(FundManager[Units Held], FundManager[Ticker], $N$3, FundManager[Date], "&lt;=" &amp; N104)</f>
        <v>0</v>
      </c>
      <c r="R104" s="20">
        <f t="shared" ca="1" si="1"/>
        <v>0</v>
      </c>
    </row>
    <row r="105" spans="16:18" x14ac:dyDescent="0.25">
      <c r="P105" s="20" t="e" cm="1">
        <f t="array" aca="1" ref="P105" ca="1">O105-IF(
  SUMPRODUCT((FundManager[Ticker]=$N$3)*(FundManager[Date]&lt;=N105)*FundManager[Amount Invested]) = 0,
  NA(),
  SUMPRODUCT((FundManager[Ticker]=$N$3)*(FundManager[Date]&lt;=N105)*(FundManager[Entry Price]*FundManager[Amount Invested])) /
  SUMPRODUCT((FundManager[Ticker]=$N$3)*(FundManager[Date]&lt;=N105)*FundManager[Amount Invested])
)</f>
        <v>#N/A</v>
      </c>
      <c r="Q105">
        <f>SUMIFS(FundManager[Units Held], FundManager[Ticker], $N$3, FundManager[Date], "&lt;=" &amp; N105)</f>
        <v>0</v>
      </c>
      <c r="R105" s="20">
        <f t="shared" ca="1" si="1"/>
        <v>0</v>
      </c>
    </row>
    <row r="106" spans="16:18" x14ac:dyDescent="0.25">
      <c r="P106" s="20" t="e" cm="1">
        <f t="array" aca="1" ref="P106" ca="1">O106-IF(
  SUMPRODUCT((FundManager[Ticker]=$N$3)*(FundManager[Date]&lt;=N106)*FundManager[Amount Invested]) = 0,
  NA(),
  SUMPRODUCT((FundManager[Ticker]=$N$3)*(FundManager[Date]&lt;=N106)*(FundManager[Entry Price]*FundManager[Amount Invested])) /
  SUMPRODUCT((FundManager[Ticker]=$N$3)*(FundManager[Date]&lt;=N106)*FundManager[Amount Invested])
)</f>
        <v>#N/A</v>
      </c>
      <c r="Q106">
        <f>SUMIFS(FundManager[Units Held], FundManager[Ticker], $N$3, FundManager[Date], "&lt;=" &amp; N106)</f>
        <v>0</v>
      </c>
      <c r="R106" s="20">
        <f t="shared" ca="1" si="1"/>
        <v>0</v>
      </c>
    </row>
    <row r="107" spans="16:18" x14ac:dyDescent="0.25">
      <c r="P107" s="20" t="e" cm="1">
        <f t="array" aca="1" ref="P107" ca="1">O107-IF(
  SUMPRODUCT((FundManager[Ticker]=$N$3)*(FundManager[Date]&lt;=N107)*FundManager[Amount Invested]) = 0,
  NA(),
  SUMPRODUCT((FundManager[Ticker]=$N$3)*(FundManager[Date]&lt;=N107)*(FundManager[Entry Price]*FundManager[Amount Invested])) /
  SUMPRODUCT((FundManager[Ticker]=$N$3)*(FundManager[Date]&lt;=N107)*FundManager[Amount Invested])
)</f>
        <v>#N/A</v>
      </c>
      <c r="Q107">
        <f>SUMIFS(FundManager[Units Held], FundManager[Ticker], $N$3, FundManager[Date], "&lt;=" &amp; N107)</f>
        <v>0</v>
      </c>
      <c r="R107" s="20">
        <f t="shared" ca="1" si="1"/>
        <v>0</v>
      </c>
    </row>
    <row r="108" spans="16:18" x14ac:dyDescent="0.25">
      <c r="P108" s="20" t="e" cm="1">
        <f t="array" aca="1" ref="P108" ca="1">O108-IF(
  SUMPRODUCT((FundManager[Ticker]=$N$3)*(FundManager[Date]&lt;=N108)*FundManager[Amount Invested]) = 0,
  NA(),
  SUMPRODUCT((FundManager[Ticker]=$N$3)*(FundManager[Date]&lt;=N108)*(FundManager[Entry Price]*FundManager[Amount Invested])) /
  SUMPRODUCT((FundManager[Ticker]=$N$3)*(FundManager[Date]&lt;=N108)*FundManager[Amount Invested])
)</f>
        <v>#N/A</v>
      </c>
      <c r="Q108">
        <f>SUMIFS(FundManager[Units Held], FundManager[Ticker], $N$3, FundManager[Date], "&lt;=" &amp; N108)</f>
        <v>0</v>
      </c>
      <c r="R108" s="20">
        <f t="shared" ca="1" si="1"/>
        <v>0</v>
      </c>
    </row>
    <row r="109" spans="16:18" x14ac:dyDescent="0.25">
      <c r="P109" s="20" t="e" cm="1">
        <f t="array" aca="1" ref="P109" ca="1">O109-IF(
  SUMPRODUCT((FundManager[Ticker]=$N$3)*(FundManager[Date]&lt;=N109)*FundManager[Amount Invested]) = 0,
  NA(),
  SUMPRODUCT((FundManager[Ticker]=$N$3)*(FundManager[Date]&lt;=N109)*(FundManager[Entry Price]*FundManager[Amount Invested])) /
  SUMPRODUCT((FundManager[Ticker]=$N$3)*(FundManager[Date]&lt;=N109)*FundManager[Amount Invested])
)</f>
        <v>#N/A</v>
      </c>
      <c r="Q109">
        <f>SUMIFS(FundManager[Units Held], FundManager[Ticker], $N$3, FundManager[Date], "&lt;=" &amp; N109)</f>
        <v>0</v>
      </c>
      <c r="R109" s="20">
        <f t="shared" ca="1" si="1"/>
        <v>0</v>
      </c>
    </row>
    <row r="110" spans="16:18" x14ac:dyDescent="0.25">
      <c r="P110" s="20" t="e" cm="1">
        <f t="array" aca="1" ref="P110" ca="1">O110-IF(
  SUMPRODUCT((FundManager[Ticker]=$N$3)*(FundManager[Date]&lt;=N110)*FundManager[Amount Invested]) = 0,
  NA(),
  SUMPRODUCT((FundManager[Ticker]=$N$3)*(FundManager[Date]&lt;=N110)*(FundManager[Entry Price]*FundManager[Amount Invested])) /
  SUMPRODUCT((FundManager[Ticker]=$N$3)*(FundManager[Date]&lt;=N110)*FundManager[Amount Invested])
)</f>
        <v>#N/A</v>
      </c>
      <c r="Q110">
        <f>SUMIFS(FundManager[Units Held], FundManager[Ticker], $N$3, FundManager[Date], "&lt;=" &amp; N110)</f>
        <v>0</v>
      </c>
      <c r="R110" s="20">
        <f t="shared" ca="1" si="1"/>
        <v>0</v>
      </c>
    </row>
    <row r="111" spans="16:18" x14ac:dyDescent="0.25">
      <c r="P111" s="20" t="e" cm="1">
        <f t="array" aca="1" ref="P111" ca="1">O111-IF(
  SUMPRODUCT((FundManager[Ticker]=$N$3)*(FundManager[Date]&lt;=N111)*FundManager[Amount Invested]) = 0,
  NA(),
  SUMPRODUCT((FundManager[Ticker]=$N$3)*(FundManager[Date]&lt;=N111)*(FundManager[Entry Price]*FundManager[Amount Invested])) /
  SUMPRODUCT((FundManager[Ticker]=$N$3)*(FundManager[Date]&lt;=N111)*FundManager[Amount Invested])
)</f>
        <v>#N/A</v>
      </c>
      <c r="Q111">
        <f>SUMIFS(FundManager[Units Held], FundManager[Ticker], $N$3, FundManager[Date], "&lt;=" &amp; N111)</f>
        <v>0</v>
      </c>
      <c r="R111" s="20">
        <f t="shared" ca="1" si="1"/>
        <v>0</v>
      </c>
    </row>
    <row r="112" spans="16:18" x14ac:dyDescent="0.25">
      <c r="P112" s="20" t="e" cm="1">
        <f t="array" aca="1" ref="P112" ca="1">O112-IF(
  SUMPRODUCT((FundManager[Ticker]=$N$3)*(FundManager[Date]&lt;=N112)*FundManager[Amount Invested]) = 0,
  NA(),
  SUMPRODUCT((FundManager[Ticker]=$N$3)*(FundManager[Date]&lt;=N112)*(FundManager[Entry Price]*FundManager[Amount Invested])) /
  SUMPRODUCT((FundManager[Ticker]=$N$3)*(FundManager[Date]&lt;=N112)*FundManager[Amount Invested])
)</f>
        <v>#N/A</v>
      </c>
      <c r="Q112">
        <f>SUMIFS(FundManager[Units Held], FundManager[Ticker], $N$3, FundManager[Date], "&lt;=" &amp; N112)</f>
        <v>0</v>
      </c>
      <c r="R112" s="20">
        <f t="shared" ca="1" si="1"/>
        <v>0</v>
      </c>
    </row>
    <row r="113" spans="16:18" x14ac:dyDescent="0.25">
      <c r="P113" s="20" t="e" cm="1">
        <f t="array" aca="1" ref="P113" ca="1">O113-IF(
  SUMPRODUCT((FundManager[Ticker]=$N$3)*(FundManager[Date]&lt;=N113)*FundManager[Amount Invested]) = 0,
  NA(),
  SUMPRODUCT((FundManager[Ticker]=$N$3)*(FundManager[Date]&lt;=N113)*(FundManager[Entry Price]*FundManager[Amount Invested])) /
  SUMPRODUCT((FundManager[Ticker]=$N$3)*(FundManager[Date]&lt;=N113)*FundManager[Amount Invested])
)</f>
        <v>#N/A</v>
      </c>
      <c r="Q113">
        <f>SUMIFS(FundManager[Units Held], FundManager[Ticker], $N$3, FundManager[Date], "&lt;=" &amp; N113)</f>
        <v>0</v>
      </c>
      <c r="R113" s="20">
        <f t="shared" ca="1" si="1"/>
        <v>0</v>
      </c>
    </row>
    <row r="114" spans="16:18" x14ac:dyDescent="0.25">
      <c r="P114" s="20" t="e" cm="1">
        <f t="array" aca="1" ref="P114" ca="1">O114-IF(
  SUMPRODUCT((FundManager[Ticker]=$N$3)*(FundManager[Date]&lt;=N114)*FundManager[Amount Invested]) = 0,
  NA(),
  SUMPRODUCT((FundManager[Ticker]=$N$3)*(FundManager[Date]&lt;=N114)*(FundManager[Entry Price]*FundManager[Amount Invested])) /
  SUMPRODUCT((FundManager[Ticker]=$N$3)*(FundManager[Date]&lt;=N114)*FundManager[Amount Invested])
)</f>
        <v>#N/A</v>
      </c>
      <c r="Q114">
        <f>SUMIFS(FundManager[Units Held], FundManager[Ticker], $N$3, FundManager[Date], "&lt;=" &amp; N114)</f>
        <v>0</v>
      </c>
      <c r="R114" s="20">
        <f t="shared" ca="1" si="1"/>
        <v>0</v>
      </c>
    </row>
    <row r="115" spans="16:18" x14ac:dyDescent="0.25">
      <c r="P115" s="20" t="e" cm="1">
        <f t="array" aca="1" ref="P115" ca="1">O115-IF(
  SUMPRODUCT((FundManager[Ticker]=$N$3)*(FundManager[Date]&lt;=N115)*FundManager[Amount Invested]) = 0,
  NA(),
  SUMPRODUCT((FundManager[Ticker]=$N$3)*(FundManager[Date]&lt;=N115)*(FundManager[Entry Price]*FundManager[Amount Invested])) /
  SUMPRODUCT((FundManager[Ticker]=$N$3)*(FundManager[Date]&lt;=N115)*FundManager[Amount Invested])
)</f>
        <v>#N/A</v>
      </c>
      <c r="Q115">
        <f>SUMIFS(FundManager[Units Held], FundManager[Ticker], $N$3, FundManager[Date], "&lt;=" &amp; N115)</f>
        <v>0</v>
      </c>
      <c r="R115" s="20">
        <f t="shared" ca="1" si="1"/>
        <v>0</v>
      </c>
    </row>
    <row r="116" spans="16:18" x14ac:dyDescent="0.25">
      <c r="P116" s="20" t="e" cm="1">
        <f t="array" aca="1" ref="P116" ca="1">O116-IF(
  SUMPRODUCT((FundManager[Ticker]=$N$3)*(FundManager[Date]&lt;=N116)*FundManager[Amount Invested]) = 0,
  NA(),
  SUMPRODUCT((FundManager[Ticker]=$N$3)*(FundManager[Date]&lt;=N116)*(FundManager[Entry Price]*FundManager[Amount Invested])) /
  SUMPRODUCT((FundManager[Ticker]=$N$3)*(FundManager[Date]&lt;=N116)*FundManager[Amount Invested])
)</f>
        <v>#N/A</v>
      </c>
      <c r="Q116">
        <f>SUMIFS(FundManager[Units Held], FundManager[Ticker], $N$3, FundManager[Date], "&lt;=" &amp; N116)</f>
        <v>0</v>
      </c>
      <c r="R116" s="20">
        <f t="shared" ca="1" si="1"/>
        <v>0</v>
      </c>
    </row>
    <row r="117" spans="16:18" x14ac:dyDescent="0.25">
      <c r="P117" s="20" t="e" cm="1">
        <f t="array" aca="1" ref="P117" ca="1">O117-IF(
  SUMPRODUCT((FundManager[Ticker]=$N$3)*(FundManager[Date]&lt;=N117)*FundManager[Amount Invested]) = 0,
  NA(),
  SUMPRODUCT((FundManager[Ticker]=$N$3)*(FundManager[Date]&lt;=N117)*(FundManager[Entry Price]*FundManager[Amount Invested])) /
  SUMPRODUCT((FundManager[Ticker]=$N$3)*(FundManager[Date]&lt;=N117)*FundManager[Amount Invested])
)</f>
        <v>#N/A</v>
      </c>
      <c r="Q117">
        <f>SUMIFS(FundManager[Units Held], FundManager[Ticker], $N$3, FundManager[Date], "&lt;=" &amp; N117)</f>
        <v>0</v>
      </c>
      <c r="R117" s="20">
        <f t="shared" ca="1" si="1"/>
        <v>0</v>
      </c>
    </row>
    <row r="118" spans="16:18" x14ac:dyDescent="0.25">
      <c r="P118" s="20" t="e" cm="1">
        <f t="array" aca="1" ref="P118" ca="1">O118-IF(
  SUMPRODUCT((FundManager[Ticker]=$N$3)*(FundManager[Date]&lt;=N118)*FundManager[Amount Invested]) = 0,
  NA(),
  SUMPRODUCT((FundManager[Ticker]=$N$3)*(FundManager[Date]&lt;=N118)*(FundManager[Entry Price]*FundManager[Amount Invested])) /
  SUMPRODUCT((FundManager[Ticker]=$N$3)*(FundManager[Date]&lt;=N118)*FundManager[Amount Invested])
)</f>
        <v>#N/A</v>
      </c>
      <c r="Q118">
        <f>SUMIFS(FundManager[Units Held], FundManager[Ticker], $N$3, FundManager[Date], "&lt;=" &amp; N118)</f>
        <v>0</v>
      </c>
      <c r="R118" s="20">
        <f t="shared" ca="1" si="1"/>
        <v>0</v>
      </c>
    </row>
    <row r="119" spans="16:18" x14ac:dyDescent="0.25">
      <c r="P119" s="20" t="e" cm="1">
        <f t="array" aca="1" ref="P119" ca="1">O119-IF(
  SUMPRODUCT((FundManager[Ticker]=$N$3)*(FundManager[Date]&lt;=N119)*FundManager[Amount Invested]) = 0,
  NA(),
  SUMPRODUCT((FundManager[Ticker]=$N$3)*(FundManager[Date]&lt;=N119)*(FundManager[Entry Price]*FundManager[Amount Invested])) /
  SUMPRODUCT((FundManager[Ticker]=$N$3)*(FundManager[Date]&lt;=N119)*FundManager[Amount Invested])
)</f>
        <v>#N/A</v>
      </c>
      <c r="Q119">
        <f>SUMIFS(FundManager[Units Held], FundManager[Ticker], $N$3, FundManager[Date], "&lt;=" &amp; N119)</f>
        <v>0</v>
      </c>
      <c r="R119" s="20">
        <f t="shared" ca="1" si="1"/>
        <v>0</v>
      </c>
    </row>
    <row r="120" spans="16:18" x14ac:dyDescent="0.25">
      <c r="P120" s="20" t="e" cm="1">
        <f t="array" aca="1" ref="P120" ca="1">O120-IF(
  SUMPRODUCT((FundManager[Ticker]=$N$3)*(FundManager[Date]&lt;=N120)*FundManager[Amount Invested]) = 0,
  NA(),
  SUMPRODUCT((FundManager[Ticker]=$N$3)*(FundManager[Date]&lt;=N120)*(FundManager[Entry Price]*FundManager[Amount Invested])) /
  SUMPRODUCT((FundManager[Ticker]=$N$3)*(FundManager[Date]&lt;=N120)*FundManager[Amount Invested])
)</f>
        <v>#N/A</v>
      </c>
      <c r="Q120">
        <f>SUMIFS(FundManager[Units Held], FundManager[Ticker], $N$3, FundManager[Date], "&lt;=" &amp; N120)</f>
        <v>0</v>
      </c>
      <c r="R120" s="20">
        <f t="shared" ca="1" si="1"/>
        <v>0</v>
      </c>
    </row>
    <row r="121" spans="16:18" x14ac:dyDescent="0.25">
      <c r="P121" s="20" t="e" cm="1">
        <f t="array" aca="1" ref="P121" ca="1">O121-IF(
  SUMPRODUCT((FundManager[Ticker]=$N$3)*(FundManager[Date]&lt;=N121)*FundManager[Amount Invested]) = 0,
  NA(),
  SUMPRODUCT((FundManager[Ticker]=$N$3)*(FundManager[Date]&lt;=N121)*(FundManager[Entry Price]*FundManager[Amount Invested])) /
  SUMPRODUCT((FundManager[Ticker]=$N$3)*(FundManager[Date]&lt;=N121)*FundManager[Amount Invested])
)</f>
        <v>#N/A</v>
      </c>
      <c r="Q121">
        <f>SUMIFS(FundManager[Units Held], FundManager[Ticker], $N$3, FundManager[Date], "&lt;=" &amp; N121)</f>
        <v>0</v>
      </c>
      <c r="R121" s="20">
        <f t="shared" ca="1" si="1"/>
        <v>0</v>
      </c>
    </row>
    <row r="122" spans="16:18" x14ac:dyDescent="0.25">
      <c r="P122" s="20" t="e" cm="1">
        <f t="array" aca="1" ref="P122" ca="1">O122-IF(
  SUMPRODUCT((FundManager[Ticker]=$N$3)*(FundManager[Date]&lt;=N122)*FundManager[Amount Invested]) = 0,
  NA(),
  SUMPRODUCT((FundManager[Ticker]=$N$3)*(FundManager[Date]&lt;=N122)*(FundManager[Entry Price]*FundManager[Amount Invested])) /
  SUMPRODUCT((FundManager[Ticker]=$N$3)*(FundManager[Date]&lt;=N122)*FundManager[Amount Invested])
)</f>
        <v>#N/A</v>
      </c>
      <c r="Q122">
        <f>SUMIFS(FundManager[Units Held], FundManager[Ticker], $N$3, FundManager[Date], "&lt;=" &amp; N122)</f>
        <v>0</v>
      </c>
      <c r="R122" s="20">
        <f t="shared" ca="1" si="1"/>
        <v>0</v>
      </c>
    </row>
    <row r="123" spans="16:18" x14ac:dyDescent="0.25">
      <c r="P123" s="20" t="e" cm="1">
        <f t="array" aca="1" ref="P123" ca="1">O123-IF(
  SUMPRODUCT((FundManager[Ticker]=$N$3)*(FundManager[Date]&lt;=N123)*FundManager[Amount Invested]) = 0,
  NA(),
  SUMPRODUCT((FundManager[Ticker]=$N$3)*(FundManager[Date]&lt;=N123)*(FundManager[Entry Price]*FundManager[Amount Invested])) /
  SUMPRODUCT((FundManager[Ticker]=$N$3)*(FundManager[Date]&lt;=N123)*FundManager[Amount Invested])
)</f>
        <v>#N/A</v>
      </c>
      <c r="Q123">
        <f>SUMIFS(FundManager[Units Held], FundManager[Ticker], $N$3, FundManager[Date], "&lt;=" &amp; N123)</f>
        <v>0</v>
      </c>
      <c r="R123" s="20">
        <f t="shared" ca="1" si="1"/>
        <v>0</v>
      </c>
    </row>
    <row r="124" spans="16:18" x14ac:dyDescent="0.25">
      <c r="P124" s="20" t="e" cm="1">
        <f t="array" aca="1" ref="P124" ca="1">O124-IF(
  SUMPRODUCT((FundManager[Ticker]=$N$3)*(FundManager[Date]&lt;=N124)*FundManager[Amount Invested]) = 0,
  NA(),
  SUMPRODUCT((FundManager[Ticker]=$N$3)*(FundManager[Date]&lt;=N124)*(FundManager[Entry Price]*FundManager[Amount Invested])) /
  SUMPRODUCT((FundManager[Ticker]=$N$3)*(FundManager[Date]&lt;=N124)*FundManager[Amount Invested])
)</f>
        <v>#N/A</v>
      </c>
      <c r="Q124">
        <f>SUMIFS(FundManager[Units Held], FundManager[Ticker], $N$3, FundManager[Date], "&lt;=" &amp; N124)</f>
        <v>0</v>
      </c>
      <c r="R124" s="20">
        <f t="shared" ca="1" si="1"/>
        <v>0</v>
      </c>
    </row>
    <row r="125" spans="16:18" x14ac:dyDescent="0.25">
      <c r="P125" s="20" t="e" cm="1">
        <f t="array" aca="1" ref="P125" ca="1">O125-IF(
  SUMPRODUCT((FundManager[Ticker]=$N$3)*(FundManager[Date]&lt;=N125)*FundManager[Amount Invested]) = 0,
  NA(),
  SUMPRODUCT((FundManager[Ticker]=$N$3)*(FundManager[Date]&lt;=N125)*(FundManager[Entry Price]*FundManager[Amount Invested])) /
  SUMPRODUCT((FundManager[Ticker]=$N$3)*(FundManager[Date]&lt;=N125)*FundManager[Amount Invested])
)</f>
        <v>#N/A</v>
      </c>
      <c r="Q125">
        <f>SUMIFS(FundManager[Units Held], FundManager[Ticker], $N$3, FundManager[Date], "&lt;=" &amp; N125)</f>
        <v>0</v>
      </c>
      <c r="R125" s="20">
        <f t="shared" ca="1" si="1"/>
        <v>0</v>
      </c>
    </row>
    <row r="126" spans="16:18" x14ac:dyDescent="0.25">
      <c r="P126" s="20" t="e" cm="1">
        <f t="array" aca="1" ref="P126" ca="1">O126-IF(
  SUMPRODUCT((FundManager[Ticker]=$N$3)*(FundManager[Date]&lt;=N126)*FundManager[Amount Invested]) = 0,
  NA(),
  SUMPRODUCT((FundManager[Ticker]=$N$3)*(FundManager[Date]&lt;=N126)*(FundManager[Entry Price]*FundManager[Amount Invested])) /
  SUMPRODUCT((FundManager[Ticker]=$N$3)*(FundManager[Date]&lt;=N126)*FundManager[Amount Invested])
)</f>
        <v>#N/A</v>
      </c>
      <c r="Q126">
        <f>SUMIFS(FundManager[Units Held], FundManager[Ticker], $N$3, FundManager[Date], "&lt;=" &amp; N126)</f>
        <v>0</v>
      </c>
      <c r="R126" s="20">
        <f t="shared" ca="1" si="1"/>
        <v>0</v>
      </c>
    </row>
    <row r="127" spans="16:18" x14ac:dyDescent="0.25">
      <c r="P127" s="20" t="e" cm="1">
        <f t="array" aca="1" ref="P127" ca="1">O127-IF(
  SUMPRODUCT((FundManager[Ticker]=$N$3)*(FundManager[Date]&lt;=N127)*FundManager[Amount Invested]) = 0,
  NA(),
  SUMPRODUCT((FundManager[Ticker]=$N$3)*(FundManager[Date]&lt;=N127)*(FundManager[Entry Price]*FundManager[Amount Invested])) /
  SUMPRODUCT((FundManager[Ticker]=$N$3)*(FundManager[Date]&lt;=N127)*FundManager[Amount Invested])
)</f>
        <v>#N/A</v>
      </c>
      <c r="Q127">
        <f>SUMIFS(FundManager[Units Held], FundManager[Ticker], $N$3, FundManager[Date], "&lt;=" &amp; N127)</f>
        <v>0</v>
      </c>
      <c r="R127" s="20">
        <f t="shared" ca="1" si="1"/>
        <v>0</v>
      </c>
    </row>
    <row r="128" spans="16:18" x14ac:dyDescent="0.25">
      <c r="P128" s="20" t="e" cm="1">
        <f t="array" aca="1" ref="P128" ca="1">O128-IF(
  SUMPRODUCT((FundManager[Ticker]=$N$3)*(FundManager[Date]&lt;=N128)*FundManager[Amount Invested]) = 0,
  NA(),
  SUMPRODUCT((FundManager[Ticker]=$N$3)*(FundManager[Date]&lt;=N128)*(FundManager[Entry Price]*FundManager[Amount Invested])) /
  SUMPRODUCT((FundManager[Ticker]=$N$3)*(FundManager[Date]&lt;=N128)*FundManager[Amount Invested])
)</f>
        <v>#N/A</v>
      </c>
      <c r="Q128">
        <f>SUMIFS(FundManager[Units Held], FundManager[Ticker], $N$3, FundManager[Date], "&lt;=" &amp; N128)</f>
        <v>0</v>
      </c>
      <c r="R128" s="20">
        <f t="shared" ca="1" si="1"/>
        <v>0</v>
      </c>
    </row>
    <row r="129" spans="16:18" x14ac:dyDescent="0.25">
      <c r="P129" s="20" t="e" cm="1">
        <f t="array" aca="1" ref="P129" ca="1">O129-IF(
  SUMPRODUCT((FundManager[Ticker]=$N$3)*(FundManager[Date]&lt;=N129)*FundManager[Amount Invested]) = 0,
  NA(),
  SUMPRODUCT((FundManager[Ticker]=$N$3)*(FundManager[Date]&lt;=N129)*(FundManager[Entry Price]*FundManager[Amount Invested])) /
  SUMPRODUCT((FundManager[Ticker]=$N$3)*(FundManager[Date]&lt;=N129)*FundManager[Amount Invested])
)</f>
        <v>#N/A</v>
      </c>
      <c r="Q129">
        <f>SUMIFS(FundManager[Units Held], FundManager[Ticker], $N$3, FundManager[Date], "&lt;=" &amp; N129)</f>
        <v>0</v>
      </c>
      <c r="R129" s="20">
        <f t="shared" ca="1" si="1"/>
        <v>0</v>
      </c>
    </row>
    <row r="130" spans="16:18" x14ac:dyDescent="0.25">
      <c r="P130" s="20" t="e" cm="1">
        <f t="array" aca="1" ref="P130" ca="1">O130-IF(
  SUMPRODUCT((FundManager[Ticker]=$N$3)*(FundManager[Date]&lt;=N130)*FundManager[Amount Invested]) = 0,
  NA(),
  SUMPRODUCT((FundManager[Ticker]=$N$3)*(FundManager[Date]&lt;=N130)*(FundManager[Entry Price]*FundManager[Amount Invested])) /
  SUMPRODUCT((FundManager[Ticker]=$N$3)*(FundManager[Date]&lt;=N130)*FundManager[Amount Invested])
)</f>
        <v>#N/A</v>
      </c>
      <c r="Q130">
        <f>SUMIFS(FundManager[Units Held], FundManager[Ticker], $N$3, FundManager[Date], "&lt;=" &amp; N130)</f>
        <v>0</v>
      </c>
      <c r="R130" s="20">
        <f t="shared" ca="1" si="1"/>
        <v>0</v>
      </c>
    </row>
    <row r="131" spans="16:18" x14ac:dyDescent="0.25">
      <c r="P131" s="20" t="e" cm="1">
        <f t="array" aca="1" ref="P131" ca="1">O131-IF(
  SUMPRODUCT((FundManager[Ticker]=$N$3)*(FundManager[Date]&lt;=N131)*FundManager[Amount Invested]) = 0,
  NA(),
  SUMPRODUCT((FundManager[Ticker]=$N$3)*(FundManager[Date]&lt;=N131)*(FundManager[Entry Price]*FundManager[Amount Invested])) /
  SUMPRODUCT((FundManager[Ticker]=$N$3)*(FundManager[Date]&lt;=N131)*FundManager[Amount Invested])
)</f>
        <v>#N/A</v>
      </c>
      <c r="Q131">
        <f>SUMIFS(FundManager[Units Held], FundManager[Ticker], $N$3, FundManager[Date], "&lt;=" &amp; N131)</f>
        <v>0</v>
      </c>
      <c r="R131" s="20">
        <f t="shared" ca="1" si="1"/>
        <v>0</v>
      </c>
    </row>
    <row r="132" spans="16:18" x14ac:dyDescent="0.25">
      <c r="P132" s="20" t="e" cm="1">
        <f t="array" aca="1" ref="P132" ca="1">O132-IF(
  SUMPRODUCT((FundManager[Ticker]=$N$3)*(FundManager[Date]&lt;=N132)*FundManager[Amount Invested]) = 0,
  NA(),
  SUMPRODUCT((FundManager[Ticker]=$N$3)*(FundManager[Date]&lt;=N132)*(FundManager[Entry Price]*FundManager[Amount Invested])) /
  SUMPRODUCT((FundManager[Ticker]=$N$3)*(FundManager[Date]&lt;=N132)*FundManager[Amount Invested])
)</f>
        <v>#N/A</v>
      </c>
      <c r="Q132">
        <f>SUMIFS(FundManager[Units Held], FundManager[Ticker], $N$3, FundManager[Date], "&lt;=" &amp; N132)</f>
        <v>0</v>
      </c>
      <c r="R132" s="20">
        <f t="shared" ca="1" si="1"/>
        <v>0</v>
      </c>
    </row>
    <row r="133" spans="16:18" x14ac:dyDescent="0.25">
      <c r="P133" s="20" t="e" cm="1">
        <f t="array" aca="1" ref="P133" ca="1">O133-IF(
  SUMPRODUCT((FundManager[Ticker]=$N$3)*(FundManager[Date]&lt;=N133)*FundManager[Amount Invested]) = 0,
  NA(),
  SUMPRODUCT((FundManager[Ticker]=$N$3)*(FundManager[Date]&lt;=N133)*(FundManager[Entry Price]*FundManager[Amount Invested])) /
  SUMPRODUCT((FundManager[Ticker]=$N$3)*(FundManager[Date]&lt;=N133)*FundManager[Amount Invested])
)</f>
        <v>#N/A</v>
      </c>
      <c r="Q133">
        <f>SUMIFS(FundManager[Units Held], FundManager[Ticker], $N$3, FundManager[Date], "&lt;=" &amp; N133)</f>
        <v>0</v>
      </c>
      <c r="R133" s="20">
        <f t="shared" ca="1" si="1"/>
        <v>0</v>
      </c>
    </row>
    <row r="134" spans="16:18" x14ac:dyDescent="0.25">
      <c r="P134" s="20" t="e" cm="1">
        <f t="array" aca="1" ref="P134" ca="1">O134-IF(
  SUMPRODUCT((FundManager[Ticker]=$N$3)*(FundManager[Date]&lt;=N134)*FundManager[Amount Invested]) = 0,
  NA(),
  SUMPRODUCT((FundManager[Ticker]=$N$3)*(FundManager[Date]&lt;=N134)*(FundManager[Entry Price]*FundManager[Amount Invested])) /
  SUMPRODUCT((FundManager[Ticker]=$N$3)*(FundManager[Date]&lt;=N134)*FundManager[Amount Invested])
)</f>
        <v>#N/A</v>
      </c>
      <c r="Q134">
        <f>SUMIFS(FundManager[Units Held], FundManager[Ticker], $N$3, FundManager[Date], "&lt;=" &amp; N134)</f>
        <v>0</v>
      </c>
      <c r="R134" s="20">
        <f t="shared" ca="1" si="1"/>
        <v>0</v>
      </c>
    </row>
    <row r="135" spans="16:18" x14ac:dyDescent="0.25">
      <c r="P135" s="20" t="e" cm="1">
        <f t="array" aca="1" ref="P135" ca="1">O135-IF(
  SUMPRODUCT((FundManager[Ticker]=$N$3)*(FundManager[Date]&lt;=N135)*FundManager[Amount Invested]) = 0,
  NA(),
  SUMPRODUCT((FundManager[Ticker]=$N$3)*(FundManager[Date]&lt;=N135)*(FundManager[Entry Price]*FundManager[Amount Invested])) /
  SUMPRODUCT((FundManager[Ticker]=$N$3)*(FundManager[Date]&lt;=N135)*FundManager[Amount Invested])
)</f>
        <v>#N/A</v>
      </c>
      <c r="Q135">
        <f>SUMIFS(FundManager[Units Held], FundManager[Ticker], $N$3, FundManager[Date], "&lt;=" &amp; N135)</f>
        <v>0</v>
      </c>
      <c r="R135" s="20">
        <f t="shared" ca="1" si="1"/>
        <v>0</v>
      </c>
    </row>
    <row r="136" spans="16:18" x14ac:dyDescent="0.25">
      <c r="P136" s="20" t="e" cm="1">
        <f t="array" aca="1" ref="P136" ca="1">O136-IF(
  SUMPRODUCT((FundManager[Ticker]=$N$3)*(FundManager[Date]&lt;=N136)*FundManager[Amount Invested]) = 0,
  NA(),
  SUMPRODUCT((FundManager[Ticker]=$N$3)*(FundManager[Date]&lt;=N136)*(FundManager[Entry Price]*FundManager[Amount Invested])) /
  SUMPRODUCT((FundManager[Ticker]=$N$3)*(FundManager[Date]&lt;=N136)*FundManager[Amount Invested])
)</f>
        <v>#N/A</v>
      </c>
      <c r="Q136">
        <f>SUMIFS(FundManager[Units Held], FundManager[Ticker], $N$3, FundManager[Date], "&lt;=" &amp; N136)</f>
        <v>0</v>
      </c>
      <c r="R136" s="20">
        <f t="shared" ref="R136:R199" ca="1" si="2">_xlfn.IFNA(P136*Q136,0)</f>
        <v>0</v>
      </c>
    </row>
    <row r="137" spans="16:18" x14ac:dyDescent="0.25">
      <c r="P137" s="20" t="e" cm="1">
        <f t="array" aca="1" ref="P137" ca="1">O137-IF(
  SUMPRODUCT((FundManager[Ticker]=$N$3)*(FundManager[Date]&lt;=N137)*FundManager[Amount Invested]) = 0,
  NA(),
  SUMPRODUCT((FundManager[Ticker]=$N$3)*(FundManager[Date]&lt;=N137)*(FundManager[Entry Price]*FundManager[Amount Invested])) /
  SUMPRODUCT((FundManager[Ticker]=$N$3)*(FundManager[Date]&lt;=N137)*FundManager[Amount Invested])
)</f>
        <v>#N/A</v>
      </c>
      <c r="Q137">
        <f>SUMIFS(FundManager[Units Held], FundManager[Ticker], $N$3, FundManager[Date], "&lt;=" &amp; N137)</f>
        <v>0</v>
      </c>
      <c r="R137" s="20">
        <f t="shared" ca="1" si="2"/>
        <v>0</v>
      </c>
    </row>
    <row r="138" spans="16:18" x14ac:dyDescent="0.25">
      <c r="P138" s="20" t="e" cm="1">
        <f t="array" aca="1" ref="P138" ca="1">O138-IF(
  SUMPRODUCT((FundManager[Ticker]=$N$3)*(FundManager[Date]&lt;=N138)*FundManager[Amount Invested]) = 0,
  NA(),
  SUMPRODUCT((FundManager[Ticker]=$N$3)*(FundManager[Date]&lt;=N138)*(FundManager[Entry Price]*FundManager[Amount Invested])) /
  SUMPRODUCT((FundManager[Ticker]=$N$3)*(FundManager[Date]&lt;=N138)*FundManager[Amount Invested])
)</f>
        <v>#N/A</v>
      </c>
      <c r="Q138">
        <f>SUMIFS(FundManager[Units Held], FundManager[Ticker], $N$3, FundManager[Date], "&lt;=" &amp; N138)</f>
        <v>0</v>
      </c>
      <c r="R138" s="20">
        <f t="shared" ca="1" si="2"/>
        <v>0</v>
      </c>
    </row>
    <row r="139" spans="16:18" x14ac:dyDescent="0.25">
      <c r="P139" s="20" t="e" cm="1">
        <f t="array" aca="1" ref="P139" ca="1">O139-IF(
  SUMPRODUCT((FundManager[Ticker]=$N$3)*(FundManager[Date]&lt;=N139)*FundManager[Amount Invested]) = 0,
  NA(),
  SUMPRODUCT((FundManager[Ticker]=$N$3)*(FundManager[Date]&lt;=N139)*(FundManager[Entry Price]*FundManager[Amount Invested])) /
  SUMPRODUCT((FundManager[Ticker]=$N$3)*(FundManager[Date]&lt;=N139)*FundManager[Amount Invested])
)</f>
        <v>#N/A</v>
      </c>
      <c r="Q139">
        <f>SUMIFS(FundManager[Units Held], FundManager[Ticker], $N$3, FundManager[Date], "&lt;=" &amp; N139)</f>
        <v>0</v>
      </c>
      <c r="R139" s="20">
        <f t="shared" ca="1" si="2"/>
        <v>0</v>
      </c>
    </row>
    <row r="140" spans="16:18" x14ac:dyDescent="0.25">
      <c r="P140" s="20" t="e" cm="1">
        <f t="array" aca="1" ref="P140" ca="1">O140-IF(
  SUMPRODUCT((FundManager[Ticker]=$N$3)*(FundManager[Date]&lt;=N140)*FundManager[Amount Invested]) = 0,
  NA(),
  SUMPRODUCT((FundManager[Ticker]=$N$3)*(FundManager[Date]&lt;=N140)*(FundManager[Entry Price]*FundManager[Amount Invested])) /
  SUMPRODUCT((FundManager[Ticker]=$N$3)*(FundManager[Date]&lt;=N140)*FundManager[Amount Invested])
)</f>
        <v>#N/A</v>
      </c>
      <c r="Q140">
        <f>SUMIFS(FundManager[Units Held], FundManager[Ticker], $N$3, FundManager[Date], "&lt;=" &amp; N140)</f>
        <v>0</v>
      </c>
      <c r="R140" s="20">
        <f t="shared" ca="1" si="2"/>
        <v>0</v>
      </c>
    </row>
    <row r="141" spans="16:18" x14ac:dyDescent="0.25">
      <c r="P141" s="20" t="e" cm="1">
        <f t="array" aca="1" ref="P141" ca="1">O141-IF(
  SUMPRODUCT((FundManager[Ticker]=$N$3)*(FundManager[Date]&lt;=N141)*FundManager[Amount Invested]) = 0,
  NA(),
  SUMPRODUCT((FundManager[Ticker]=$N$3)*(FundManager[Date]&lt;=N141)*(FundManager[Entry Price]*FundManager[Amount Invested])) /
  SUMPRODUCT((FundManager[Ticker]=$N$3)*(FundManager[Date]&lt;=N141)*FundManager[Amount Invested])
)</f>
        <v>#N/A</v>
      </c>
      <c r="Q141">
        <f>SUMIFS(FundManager[Units Held], FundManager[Ticker], $N$3, FundManager[Date], "&lt;=" &amp; N141)</f>
        <v>0</v>
      </c>
      <c r="R141" s="20">
        <f t="shared" ca="1" si="2"/>
        <v>0</v>
      </c>
    </row>
    <row r="142" spans="16:18" x14ac:dyDescent="0.25">
      <c r="P142" s="20" t="e" cm="1">
        <f t="array" aca="1" ref="P142" ca="1">O142-IF(
  SUMPRODUCT((FundManager[Ticker]=$N$3)*(FundManager[Date]&lt;=N142)*FundManager[Amount Invested]) = 0,
  NA(),
  SUMPRODUCT((FundManager[Ticker]=$N$3)*(FundManager[Date]&lt;=N142)*(FundManager[Entry Price]*FundManager[Amount Invested])) /
  SUMPRODUCT((FundManager[Ticker]=$N$3)*(FundManager[Date]&lt;=N142)*FundManager[Amount Invested])
)</f>
        <v>#N/A</v>
      </c>
      <c r="Q142">
        <f>SUMIFS(FundManager[Units Held], FundManager[Ticker], $N$3, FundManager[Date], "&lt;=" &amp; N142)</f>
        <v>0</v>
      </c>
      <c r="R142" s="20">
        <f t="shared" ca="1" si="2"/>
        <v>0</v>
      </c>
    </row>
    <row r="143" spans="16:18" x14ac:dyDescent="0.25">
      <c r="P143" s="20" t="e" cm="1">
        <f t="array" aca="1" ref="P143" ca="1">O143-IF(
  SUMPRODUCT((FundManager[Ticker]=$N$3)*(FundManager[Date]&lt;=N143)*FundManager[Amount Invested]) = 0,
  NA(),
  SUMPRODUCT((FundManager[Ticker]=$N$3)*(FundManager[Date]&lt;=N143)*(FundManager[Entry Price]*FundManager[Amount Invested])) /
  SUMPRODUCT((FundManager[Ticker]=$N$3)*(FundManager[Date]&lt;=N143)*FundManager[Amount Invested])
)</f>
        <v>#N/A</v>
      </c>
      <c r="Q143">
        <f>SUMIFS(FundManager[Units Held], FundManager[Ticker], $N$3, FundManager[Date], "&lt;=" &amp; N143)</f>
        <v>0</v>
      </c>
      <c r="R143" s="20">
        <f t="shared" ca="1" si="2"/>
        <v>0</v>
      </c>
    </row>
    <row r="144" spans="16:18" x14ac:dyDescent="0.25">
      <c r="P144" s="20" t="e" cm="1">
        <f t="array" aca="1" ref="P144" ca="1">O144-IF(
  SUMPRODUCT((FundManager[Ticker]=$N$3)*(FundManager[Date]&lt;=N144)*FundManager[Amount Invested]) = 0,
  NA(),
  SUMPRODUCT((FundManager[Ticker]=$N$3)*(FundManager[Date]&lt;=N144)*(FundManager[Entry Price]*FundManager[Amount Invested])) /
  SUMPRODUCT((FundManager[Ticker]=$N$3)*(FundManager[Date]&lt;=N144)*FundManager[Amount Invested])
)</f>
        <v>#N/A</v>
      </c>
      <c r="Q144">
        <f>SUMIFS(FundManager[Units Held], FundManager[Ticker], $N$3, FundManager[Date], "&lt;=" &amp; N144)</f>
        <v>0</v>
      </c>
      <c r="R144" s="20">
        <f t="shared" ca="1" si="2"/>
        <v>0</v>
      </c>
    </row>
    <row r="145" spans="16:18" x14ac:dyDescent="0.25">
      <c r="P145" s="20" t="e" cm="1">
        <f t="array" aca="1" ref="P145" ca="1">O145-IF(
  SUMPRODUCT((FundManager[Ticker]=$N$3)*(FundManager[Date]&lt;=N145)*FundManager[Amount Invested]) = 0,
  NA(),
  SUMPRODUCT((FundManager[Ticker]=$N$3)*(FundManager[Date]&lt;=N145)*(FundManager[Entry Price]*FundManager[Amount Invested])) /
  SUMPRODUCT((FundManager[Ticker]=$N$3)*(FundManager[Date]&lt;=N145)*FundManager[Amount Invested])
)</f>
        <v>#N/A</v>
      </c>
      <c r="Q145">
        <f>SUMIFS(FundManager[Units Held], FundManager[Ticker], $N$3, FundManager[Date], "&lt;=" &amp; N145)</f>
        <v>0</v>
      </c>
      <c r="R145" s="20">
        <f t="shared" ca="1" si="2"/>
        <v>0</v>
      </c>
    </row>
    <row r="146" spans="16:18" x14ac:dyDescent="0.25">
      <c r="P146" s="20" t="e" cm="1">
        <f t="array" aca="1" ref="P146" ca="1">O146-IF(
  SUMPRODUCT((FundManager[Ticker]=$N$3)*(FundManager[Date]&lt;=N146)*FundManager[Amount Invested]) = 0,
  NA(),
  SUMPRODUCT((FundManager[Ticker]=$N$3)*(FundManager[Date]&lt;=N146)*(FundManager[Entry Price]*FundManager[Amount Invested])) /
  SUMPRODUCT((FundManager[Ticker]=$N$3)*(FundManager[Date]&lt;=N146)*FundManager[Amount Invested])
)</f>
        <v>#N/A</v>
      </c>
      <c r="Q146">
        <f>SUMIFS(FundManager[Units Held], FundManager[Ticker], $N$3, FundManager[Date], "&lt;=" &amp; N146)</f>
        <v>0</v>
      </c>
      <c r="R146" s="20">
        <f t="shared" ca="1" si="2"/>
        <v>0</v>
      </c>
    </row>
    <row r="147" spans="16:18" x14ac:dyDescent="0.25">
      <c r="P147" s="20" t="e" cm="1">
        <f t="array" aca="1" ref="P147" ca="1">O147-IF(
  SUMPRODUCT((FundManager[Ticker]=$N$3)*(FundManager[Date]&lt;=N147)*FundManager[Amount Invested]) = 0,
  NA(),
  SUMPRODUCT((FundManager[Ticker]=$N$3)*(FundManager[Date]&lt;=N147)*(FundManager[Entry Price]*FundManager[Amount Invested])) /
  SUMPRODUCT((FundManager[Ticker]=$N$3)*(FundManager[Date]&lt;=N147)*FundManager[Amount Invested])
)</f>
        <v>#N/A</v>
      </c>
      <c r="Q147">
        <f>SUMIFS(FundManager[Units Held], FundManager[Ticker], $N$3, FundManager[Date], "&lt;=" &amp; N147)</f>
        <v>0</v>
      </c>
      <c r="R147" s="20">
        <f t="shared" ca="1" si="2"/>
        <v>0</v>
      </c>
    </row>
    <row r="148" spans="16:18" x14ac:dyDescent="0.25">
      <c r="P148" s="20" t="e" cm="1">
        <f t="array" aca="1" ref="P148" ca="1">O148-IF(
  SUMPRODUCT((FundManager[Ticker]=$N$3)*(FundManager[Date]&lt;=N148)*FundManager[Amount Invested]) = 0,
  NA(),
  SUMPRODUCT((FundManager[Ticker]=$N$3)*(FundManager[Date]&lt;=N148)*(FundManager[Entry Price]*FundManager[Amount Invested])) /
  SUMPRODUCT((FundManager[Ticker]=$N$3)*(FundManager[Date]&lt;=N148)*FundManager[Amount Invested])
)</f>
        <v>#N/A</v>
      </c>
      <c r="Q148">
        <f>SUMIFS(FundManager[Units Held], FundManager[Ticker], $N$3, FundManager[Date], "&lt;=" &amp; N148)</f>
        <v>0</v>
      </c>
      <c r="R148" s="20">
        <f t="shared" ca="1" si="2"/>
        <v>0</v>
      </c>
    </row>
    <row r="149" spans="16:18" x14ac:dyDescent="0.25">
      <c r="P149" s="20" t="e" cm="1">
        <f t="array" aca="1" ref="P149" ca="1">O149-IF(
  SUMPRODUCT((FundManager[Ticker]=$N$3)*(FundManager[Date]&lt;=N149)*FundManager[Amount Invested]) = 0,
  NA(),
  SUMPRODUCT((FundManager[Ticker]=$N$3)*(FundManager[Date]&lt;=N149)*(FundManager[Entry Price]*FundManager[Amount Invested])) /
  SUMPRODUCT((FundManager[Ticker]=$N$3)*(FundManager[Date]&lt;=N149)*FundManager[Amount Invested])
)</f>
        <v>#N/A</v>
      </c>
      <c r="Q149">
        <f>SUMIFS(FundManager[Units Held], FundManager[Ticker], $N$3, FundManager[Date], "&lt;=" &amp; N149)</f>
        <v>0</v>
      </c>
      <c r="R149" s="20">
        <f t="shared" ca="1" si="2"/>
        <v>0</v>
      </c>
    </row>
    <row r="150" spans="16:18" x14ac:dyDescent="0.25">
      <c r="P150" s="20" t="e" cm="1">
        <f t="array" aca="1" ref="P150" ca="1">O150-IF(
  SUMPRODUCT((FundManager[Ticker]=$N$3)*(FundManager[Date]&lt;=N150)*FundManager[Amount Invested]) = 0,
  NA(),
  SUMPRODUCT((FundManager[Ticker]=$N$3)*(FundManager[Date]&lt;=N150)*(FundManager[Entry Price]*FundManager[Amount Invested])) /
  SUMPRODUCT((FundManager[Ticker]=$N$3)*(FundManager[Date]&lt;=N150)*FundManager[Amount Invested])
)</f>
        <v>#N/A</v>
      </c>
      <c r="Q150">
        <f>SUMIFS(FundManager[Units Held], FundManager[Ticker], $N$3, FundManager[Date], "&lt;=" &amp; N150)</f>
        <v>0</v>
      </c>
      <c r="R150" s="20">
        <f t="shared" ca="1" si="2"/>
        <v>0</v>
      </c>
    </row>
    <row r="151" spans="16:18" x14ac:dyDescent="0.25">
      <c r="P151" s="20" t="e" cm="1">
        <f t="array" aca="1" ref="P151" ca="1">O151-IF(
  SUMPRODUCT((FundManager[Ticker]=$N$3)*(FundManager[Date]&lt;=N151)*FundManager[Amount Invested]) = 0,
  NA(),
  SUMPRODUCT((FundManager[Ticker]=$N$3)*(FundManager[Date]&lt;=N151)*(FundManager[Entry Price]*FundManager[Amount Invested])) /
  SUMPRODUCT((FundManager[Ticker]=$N$3)*(FundManager[Date]&lt;=N151)*FundManager[Amount Invested])
)</f>
        <v>#N/A</v>
      </c>
      <c r="Q151">
        <f>SUMIFS(FundManager[Units Held], FundManager[Ticker], $N$3, FundManager[Date], "&lt;=" &amp; N151)</f>
        <v>0</v>
      </c>
      <c r="R151" s="20">
        <f t="shared" ca="1" si="2"/>
        <v>0</v>
      </c>
    </row>
    <row r="152" spans="16:18" x14ac:dyDescent="0.25">
      <c r="P152" s="20" t="e" cm="1">
        <f t="array" aca="1" ref="P152" ca="1">O152-IF(
  SUMPRODUCT((FundManager[Ticker]=$N$3)*(FundManager[Date]&lt;=N152)*FundManager[Amount Invested]) = 0,
  NA(),
  SUMPRODUCT((FundManager[Ticker]=$N$3)*(FundManager[Date]&lt;=N152)*(FundManager[Entry Price]*FundManager[Amount Invested])) /
  SUMPRODUCT((FundManager[Ticker]=$N$3)*(FundManager[Date]&lt;=N152)*FundManager[Amount Invested])
)</f>
        <v>#N/A</v>
      </c>
      <c r="Q152">
        <f>SUMIFS(FundManager[Units Held], FundManager[Ticker], $N$3, FundManager[Date], "&lt;=" &amp; N152)</f>
        <v>0</v>
      </c>
      <c r="R152" s="20">
        <f t="shared" ca="1" si="2"/>
        <v>0</v>
      </c>
    </row>
    <row r="153" spans="16:18" x14ac:dyDescent="0.25">
      <c r="P153" s="20" t="e" cm="1">
        <f t="array" aca="1" ref="P153" ca="1">O153-IF(
  SUMPRODUCT((FundManager[Ticker]=$N$3)*(FundManager[Date]&lt;=N153)*FundManager[Amount Invested]) = 0,
  NA(),
  SUMPRODUCT((FundManager[Ticker]=$N$3)*(FundManager[Date]&lt;=N153)*(FundManager[Entry Price]*FundManager[Amount Invested])) /
  SUMPRODUCT((FundManager[Ticker]=$N$3)*(FundManager[Date]&lt;=N153)*FundManager[Amount Invested])
)</f>
        <v>#N/A</v>
      </c>
      <c r="Q153">
        <f ca="1">SUMIFS(FundManager[Units Held], FundManager[Ticker], $N$3, FundManager[Date], "&lt;=" &amp; N153)</f>
        <v>0</v>
      </c>
      <c r="R153" s="20">
        <f t="shared" ca="1" si="2"/>
        <v>0</v>
      </c>
    </row>
    <row r="154" spans="16:18" x14ac:dyDescent="0.25">
      <c r="P154" s="20" t="e" cm="1">
        <f t="array" aca="1" ref="P154" ca="1">O154-IF(
  SUMPRODUCT((FundManager[Ticker]=$N$3)*(FundManager[Date]&lt;=N154)*FundManager[Amount Invested]) = 0,
  NA(),
  SUMPRODUCT((FundManager[Ticker]=$N$3)*(FundManager[Date]&lt;=N154)*(FundManager[Entry Price]*FundManager[Amount Invested])) /
  SUMPRODUCT((FundManager[Ticker]=$N$3)*(FundManager[Date]&lt;=N154)*FundManager[Amount Invested])
)</f>
        <v>#N/A</v>
      </c>
      <c r="Q154">
        <f>SUMIFS(FundManager[Units Held], FundManager[Ticker], $N$3, FundManager[Date], "&lt;=" &amp; N154)</f>
        <v>0</v>
      </c>
      <c r="R154" s="20">
        <f t="shared" ca="1" si="2"/>
        <v>0</v>
      </c>
    </row>
    <row r="155" spans="16:18" x14ac:dyDescent="0.25">
      <c r="P155" s="20" t="e" cm="1">
        <f t="array" aca="1" ref="P155" ca="1">O155-IF(
  SUMPRODUCT((FundManager[Ticker]=$N$3)*(FundManager[Date]&lt;=N155)*FundManager[Amount Invested]) = 0,
  NA(),
  SUMPRODUCT((FundManager[Ticker]=$N$3)*(FundManager[Date]&lt;=N155)*(FundManager[Entry Price]*FundManager[Amount Invested])) /
  SUMPRODUCT((FundManager[Ticker]=$N$3)*(FundManager[Date]&lt;=N155)*FundManager[Amount Invested])
)</f>
        <v>#N/A</v>
      </c>
      <c r="Q155">
        <f>SUMIFS(FundManager[Units Held], FundManager[Ticker], $N$3, FundManager[Date], "&lt;=" &amp; N155)</f>
        <v>0</v>
      </c>
      <c r="R155" s="20">
        <f t="shared" ca="1" si="2"/>
        <v>0</v>
      </c>
    </row>
    <row r="156" spans="16:18" x14ac:dyDescent="0.25">
      <c r="P156" s="20" t="e" cm="1">
        <f t="array" aca="1" ref="P156" ca="1">O156-IF(
  SUMPRODUCT((FundManager[Ticker]=$N$3)*(FundManager[Date]&lt;=N156)*FundManager[Amount Invested]) = 0,
  NA(),
  SUMPRODUCT((FundManager[Ticker]=$N$3)*(FundManager[Date]&lt;=N156)*(FundManager[Entry Price]*FundManager[Amount Invested])) /
  SUMPRODUCT((FundManager[Ticker]=$N$3)*(FundManager[Date]&lt;=N156)*FundManager[Amount Invested])
)</f>
        <v>#N/A</v>
      </c>
      <c r="Q156">
        <f>SUMIFS(FundManager[Units Held], FundManager[Ticker], $N$3, FundManager[Date], "&lt;=" &amp; N156)</f>
        <v>0</v>
      </c>
      <c r="R156" s="20">
        <f t="shared" ca="1" si="2"/>
        <v>0</v>
      </c>
    </row>
    <row r="157" spans="16:18" x14ac:dyDescent="0.25">
      <c r="P157" s="20" t="e" cm="1">
        <f t="array" aca="1" ref="P157" ca="1">O157-IF(
  SUMPRODUCT((FundManager[Ticker]=$N$3)*(FundManager[Date]&lt;=N157)*FundManager[Amount Invested]) = 0,
  NA(),
  SUMPRODUCT((FundManager[Ticker]=$N$3)*(FundManager[Date]&lt;=N157)*(FundManager[Entry Price]*FundManager[Amount Invested])) /
  SUMPRODUCT((FundManager[Ticker]=$N$3)*(FundManager[Date]&lt;=N157)*FundManager[Amount Invested])
)</f>
        <v>#N/A</v>
      </c>
      <c r="Q157">
        <f>SUMIFS(FundManager[Units Held], FundManager[Ticker], $N$3, FundManager[Date], "&lt;=" &amp; N157)</f>
        <v>0</v>
      </c>
      <c r="R157" s="20">
        <f t="shared" ca="1" si="2"/>
        <v>0</v>
      </c>
    </row>
    <row r="158" spans="16:18" x14ac:dyDescent="0.25">
      <c r="P158" s="20" t="e" cm="1">
        <f t="array" aca="1" ref="P158" ca="1">O158-IF(
  SUMPRODUCT((FundManager[Ticker]=$N$3)*(FundManager[Date]&lt;=N158)*FundManager[Amount Invested]) = 0,
  NA(),
  SUMPRODUCT((FundManager[Ticker]=$N$3)*(FundManager[Date]&lt;=N158)*(FundManager[Entry Price]*FundManager[Amount Invested])) /
  SUMPRODUCT((FundManager[Ticker]=$N$3)*(FundManager[Date]&lt;=N158)*FundManager[Amount Invested])
)</f>
        <v>#N/A</v>
      </c>
      <c r="Q158">
        <f>SUMIFS(FundManager[Units Held], FundManager[Ticker], $N$3, FundManager[Date], "&lt;=" &amp; N158)</f>
        <v>0</v>
      </c>
      <c r="R158" s="20">
        <f t="shared" ca="1" si="2"/>
        <v>0</v>
      </c>
    </row>
    <row r="159" spans="16:18" x14ac:dyDescent="0.25">
      <c r="P159" s="20" t="e" cm="1">
        <f t="array" aca="1" ref="P159" ca="1">O159-IF(
  SUMPRODUCT((FundManager[Ticker]=$N$3)*(FundManager[Date]&lt;=N159)*FundManager[Amount Invested]) = 0,
  NA(),
  SUMPRODUCT((FundManager[Ticker]=$N$3)*(FundManager[Date]&lt;=N159)*(FundManager[Entry Price]*FundManager[Amount Invested])) /
  SUMPRODUCT((FundManager[Ticker]=$N$3)*(FundManager[Date]&lt;=N159)*FundManager[Amount Invested])
)</f>
        <v>#N/A</v>
      </c>
      <c r="Q159">
        <f>SUMIFS(FundManager[Units Held], FundManager[Ticker], $N$3, FundManager[Date], "&lt;=" &amp; N159)</f>
        <v>0</v>
      </c>
      <c r="R159" s="20">
        <f t="shared" ca="1" si="2"/>
        <v>0</v>
      </c>
    </row>
    <row r="160" spans="16:18" x14ac:dyDescent="0.25">
      <c r="P160" s="20" t="e" cm="1">
        <f t="array" aca="1" ref="P160" ca="1">O160-IF(
  SUMPRODUCT((FundManager[Ticker]=$N$3)*(FundManager[Date]&lt;=N160)*FundManager[Amount Invested]) = 0,
  NA(),
  SUMPRODUCT((FundManager[Ticker]=$N$3)*(FundManager[Date]&lt;=N160)*(FundManager[Entry Price]*FundManager[Amount Invested])) /
  SUMPRODUCT((FundManager[Ticker]=$N$3)*(FundManager[Date]&lt;=N160)*FundManager[Amount Invested])
)</f>
        <v>#N/A</v>
      </c>
      <c r="Q160">
        <f>SUMIFS(FundManager[Units Held], FundManager[Ticker], $N$3, FundManager[Date], "&lt;=" &amp; N160)</f>
        <v>0</v>
      </c>
      <c r="R160" s="20">
        <f t="shared" ca="1" si="2"/>
        <v>0</v>
      </c>
    </row>
    <row r="161" spans="16:18" x14ac:dyDescent="0.25">
      <c r="P161" s="20" t="e" cm="1">
        <f t="array" aca="1" ref="P161" ca="1">O161-IF(
  SUMPRODUCT((FundManager[Ticker]=$N$3)*(FundManager[Date]&lt;=N161)*FundManager[Amount Invested]) = 0,
  NA(),
  SUMPRODUCT((FundManager[Ticker]=$N$3)*(FundManager[Date]&lt;=N161)*(FundManager[Entry Price]*FundManager[Amount Invested])) /
  SUMPRODUCT((FundManager[Ticker]=$N$3)*(FundManager[Date]&lt;=N161)*FundManager[Amount Invested])
)</f>
        <v>#N/A</v>
      </c>
      <c r="Q161">
        <f>SUMIFS(FundManager[Units Held], FundManager[Ticker], $N$3, FundManager[Date], "&lt;=" &amp; N161)</f>
        <v>0</v>
      </c>
      <c r="R161" s="20">
        <f t="shared" ca="1" si="2"/>
        <v>0</v>
      </c>
    </row>
    <row r="162" spans="16:18" x14ac:dyDescent="0.25">
      <c r="P162" s="20" t="e" cm="1">
        <f t="array" aca="1" ref="P162" ca="1">O162-IF(
  SUMPRODUCT((FundManager[Ticker]=$N$3)*(FundManager[Date]&lt;=N162)*FundManager[Amount Invested]) = 0,
  NA(),
  SUMPRODUCT((FundManager[Ticker]=$N$3)*(FundManager[Date]&lt;=N162)*(FundManager[Entry Price]*FundManager[Amount Invested])) /
  SUMPRODUCT((FundManager[Ticker]=$N$3)*(FundManager[Date]&lt;=N162)*FundManager[Amount Invested])
)</f>
        <v>#N/A</v>
      </c>
      <c r="Q162">
        <f>SUMIFS(FundManager[Units Held], FundManager[Ticker], $N$3, FundManager[Date], "&lt;=" &amp; N162)</f>
        <v>0</v>
      </c>
      <c r="R162" s="20">
        <f t="shared" ca="1" si="2"/>
        <v>0</v>
      </c>
    </row>
    <row r="163" spans="16:18" x14ac:dyDescent="0.25">
      <c r="P163" s="20" t="e" cm="1">
        <f t="array" aca="1" ref="P163" ca="1">O163-IF(
  SUMPRODUCT((FundManager[Ticker]=$N$3)*(FundManager[Date]&lt;=N163)*FundManager[Amount Invested]) = 0,
  NA(),
  SUMPRODUCT((FundManager[Ticker]=$N$3)*(FundManager[Date]&lt;=N163)*(FundManager[Entry Price]*FundManager[Amount Invested])) /
  SUMPRODUCT((FundManager[Ticker]=$N$3)*(FundManager[Date]&lt;=N163)*FundManager[Amount Invested])
)</f>
        <v>#N/A</v>
      </c>
      <c r="Q163">
        <f>SUMIFS(FundManager[Units Held], FundManager[Ticker], $N$3, FundManager[Date], "&lt;=" &amp; N163)</f>
        <v>0</v>
      </c>
      <c r="R163" s="20">
        <f t="shared" ca="1" si="2"/>
        <v>0</v>
      </c>
    </row>
    <row r="164" spans="16:18" x14ac:dyDescent="0.25">
      <c r="P164" s="20" t="e" cm="1">
        <f t="array" aca="1" ref="P164" ca="1">O164-IF(
  SUMPRODUCT((FundManager[Ticker]=$N$3)*(FundManager[Date]&lt;=N164)*FundManager[Amount Invested]) = 0,
  NA(),
  SUMPRODUCT((FundManager[Ticker]=$N$3)*(FundManager[Date]&lt;=N164)*(FundManager[Entry Price]*FundManager[Amount Invested])) /
  SUMPRODUCT((FundManager[Ticker]=$N$3)*(FundManager[Date]&lt;=N164)*FundManager[Amount Invested])
)</f>
        <v>#N/A</v>
      </c>
      <c r="Q164">
        <f>SUMIFS(FundManager[Units Held], FundManager[Ticker], $N$3, FundManager[Date], "&lt;=" &amp; N164)</f>
        <v>0</v>
      </c>
      <c r="R164" s="20">
        <f t="shared" ca="1" si="2"/>
        <v>0</v>
      </c>
    </row>
    <row r="165" spans="16:18" x14ac:dyDescent="0.25">
      <c r="P165" s="20" t="e" cm="1">
        <f t="array" aca="1" ref="P165" ca="1">O165-IF(
  SUMPRODUCT((FundManager[Ticker]=$N$3)*(FundManager[Date]&lt;=N165)*FundManager[Amount Invested]) = 0,
  NA(),
  SUMPRODUCT((FundManager[Ticker]=$N$3)*(FundManager[Date]&lt;=N165)*(FundManager[Entry Price]*FundManager[Amount Invested])) /
  SUMPRODUCT((FundManager[Ticker]=$N$3)*(FundManager[Date]&lt;=N165)*FundManager[Amount Invested])
)</f>
        <v>#N/A</v>
      </c>
      <c r="Q165">
        <f>SUMIFS(FundManager[Units Held], FundManager[Ticker], $N$3, FundManager[Date], "&lt;=" &amp; N165)</f>
        <v>0</v>
      </c>
      <c r="R165" s="20">
        <f t="shared" ca="1" si="2"/>
        <v>0</v>
      </c>
    </row>
    <row r="166" spans="16:18" x14ac:dyDescent="0.25">
      <c r="P166" s="20" t="e" cm="1">
        <f t="array" aca="1" ref="P166" ca="1">O166-IF(
  SUMPRODUCT((FundManager[Ticker]=$N$3)*(FundManager[Date]&lt;=N166)*FundManager[Amount Invested]) = 0,
  NA(),
  SUMPRODUCT((FundManager[Ticker]=$N$3)*(FundManager[Date]&lt;=N166)*(FundManager[Entry Price]*FundManager[Amount Invested])) /
  SUMPRODUCT((FundManager[Ticker]=$N$3)*(FundManager[Date]&lt;=N166)*FundManager[Amount Invested])
)</f>
        <v>#N/A</v>
      </c>
      <c r="Q166">
        <f>SUMIFS(FundManager[Units Held], FundManager[Ticker], $N$3, FundManager[Date], "&lt;=" &amp; N166)</f>
        <v>0</v>
      </c>
      <c r="R166" s="20">
        <f t="shared" ca="1" si="2"/>
        <v>0</v>
      </c>
    </row>
    <row r="167" spans="16:18" x14ac:dyDescent="0.25">
      <c r="P167" s="20" t="e" cm="1">
        <f t="array" aca="1" ref="P167" ca="1">O167-IF(
  SUMPRODUCT((FundManager[Ticker]=$N$3)*(FundManager[Date]&lt;=N167)*FundManager[Amount Invested]) = 0,
  NA(),
  SUMPRODUCT((FundManager[Ticker]=$N$3)*(FundManager[Date]&lt;=N167)*(FundManager[Entry Price]*FundManager[Amount Invested])) /
  SUMPRODUCT((FundManager[Ticker]=$N$3)*(FundManager[Date]&lt;=N167)*FundManager[Amount Invested])
)</f>
        <v>#N/A</v>
      </c>
      <c r="Q167">
        <f>SUMIFS(FundManager[Units Held], FundManager[Ticker], $N$3, FundManager[Date], "&lt;=" &amp; N167)</f>
        <v>0</v>
      </c>
      <c r="R167" s="20">
        <f t="shared" ca="1" si="2"/>
        <v>0</v>
      </c>
    </row>
    <row r="168" spans="16:18" x14ac:dyDescent="0.25">
      <c r="P168" s="20" t="e" cm="1">
        <f t="array" aca="1" ref="P168" ca="1">O168-IF(
  SUMPRODUCT((FundManager[Ticker]=$N$3)*(FundManager[Date]&lt;=N168)*FundManager[Amount Invested]) = 0,
  NA(),
  SUMPRODUCT((FundManager[Ticker]=$N$3)*(FundManager[Date]&lt;=N168)*(FundManager[Entry Price]*FundManager[Amount Invested])) /
  SUMPRODUCT((FundManager[Ticker]=$N$3)*(FundManager[Date]&lt;=N168)*FundManager[Amount Invested])
)</f>
        <v>#N/A</v>
      </c>
      <c r="Q168">
        <f>SUMIFS(FundManager[Units Held], FundManager[Ticker], $N$3, FundManager[Date], "&lt;=" &amp; N168)</f>
        <v>0</v>
      </c>
      <c r="R168" s="20">
        <f t="shared" ca="1" si="2"/>
        <v>0</v>
      </c>
    </row>
    <row r="169" spans="16:18" x14ac:dyDescent="0.25">
      <c r="P169" s="20" t="e" cm="1">
        <f t="array" aca="1" ref="P169" ca="1">O169-IF(
  SUMPRODUCT((FundManager[Ticker]=$N$3)*(FundManager[Date]&lt;=N169)*FundManager[Amount Invested]) = 0,
  NA(),
  SUMPRODUCT((FundManager[Ticker]=$N$3)*(FundManager[Date]&lt;=N169)*(FundManager[Entry Price]*FundManager[Amount Invested])) /
  SUMPRODUCT((FundManager[Ticker]=$N$3)*(FundManager[Date]&lt;=N169)*FundManager[Amount Invested])
)</f>
        <v>#N/A</v>
      </c>
      <c r="Q169">
        <f>SUMIFS(FundManager[Units Held], FundManager[Ticker], $N$3, FundManager[Date], "&lt;=" &amp; N169)</f>
        <v>0</v>
      </c>
      <c r="R169" s="20">
        <f t="shared" ca="1" si="2"/>
        <v>0</v>
      </c>
    </row>
    <row r="170" spans="16:18" x14ac:dyDescent="0.25">
      <c r="P170" s="20" t="e" cm="1">
        <f t="array" aca="1" ref="P170" ca="1">O170-IF(
  SUMPRODUCT((FundManager[Ticker]=$N$3)*(FundManager[Date]&lt;=N170)*FundManager[Amount Invested]) = 0,
  NA(),
  SUMPRODUCT((FundManager[Ticker]=$N$3)*(FundManager[Date]&lt;=N170)*(FundManager[Entry Price]*FundManager[Amount Invested])) /
  SUMPRODUCT((FundManager[Ticker]=$N$3)*(FundManager[Date]&lt;=N170)*FundManager[Amount Invested])
)</f>
        <v>#N/A</v>
      </c>
      <c r="Q170">
        <f>SUMIFS(FundManager[Units Held], FundManager[Ticker], $N$3, FundManager[Date], "&lt;=" &amp; N170)</f>
        <v>0</v>
      </c>
      <c r="R170" s="20">
        <f t="shared" ca="1" si="2"/>
        <v>0</v>
      </c>
    </row>
    <row r="171" spans="16:18" x14ac:dyDescent="0.25">
      <c r="P171" s="20" t="e" cm="1">
        <f t="array" aca="1" ref="P171" ca="1">O171-IF(
  SUMPRODUCT((FundManager[Ticker]=$N$3)*(FundManager[Date]&lt;=N171)*FundManager[Amount Invested]) = 0,
  NA(),
  SUMPRODUCT((FundManager[Ticker]=$N$3)*(FundManager[Date]&lt;=N171)*(FundManager[Entry Price]*FundManager[Amount Invested])) /
  SUMPRODUCT((FundManager[Ticker]=$N$3)*(FundManager[Date]&lt;=N171)*FundManager[Amount Invested])
)</f>
        <v>#N/A</v>
      </c>
      <c r="Q171">
        <f>SUMIFS(FundManager[Units Held], FundManager[Ticker], $N$3, FundManager[Date], "&lt;=" &amp; N171)</f>
        <v>0</v>
      </c>
      <c r="R171" s="20">
        <f t="shared" ca="1" si="2"/>
        <v>0</v>
      </c>
    </row>
    <row r="172" spans="16:18" x14ac:dyDescent="0.25">
      <c r="P172" s="20" t="e" cm="1">
        <f t="array" aca="1" ref="P172" ca="1">O172-IF(
  SUMPRODUCT((FundManager[Ticker]=$N$3)*(FundManager[Date]&lt;=N172)*FundManager[Amount Invested]) = 0,
  NA(),
  SUMPRODUCT((FundManager[Ticker]=$N$3)*(FundManager[Date]&lt;=N172)*(FundManager[Entry Price]*FundManager[Amount Invested])) /
  SUMPRODUCT((FundManager[Ticker]=$N$3)*(FundManager[Date]&lt;=N172)*FundManager[Amount Invested])
)</f>
        <v>#N/A</v>
      </c>
      <c r="Q172">
        <f>SUMIFS(FundManager[Units Held], FundManager[Ticker], $N$3, FundManager[Date], "&lt;=" &amp; N172)</f>
        <v>0</v>
      </c>
      <c r="R172" s="20">
        <f t="shared" ca="1" si="2"/>
        <v>0</v>
      </c>
    </row>
    <row r="173" spans="16:18" x14ac:dyDescent="0.25">
      <c r="P173" s="20" t="e" cm="1">
        <f t="array" aca="1" ref="P173" ca="1">O173-IF(
  SUMPRODUCT((FundManager[Ticker]=$N$3)*(FundManager[Date]&lt;=N173)*FundManager[Amount Invested]) = 0,
  NA(),
  SUMPRODUCT((FundManager[Ticker]=$N$3)*(FundManager[Date]&lt;=N173)*(FundManager[Entry Price]*FundManager[Amount Invested])) /
  SUMPRODUCT((FundManager[Ticker]=$N$3)*(FundManager[Date]&lt;=N173)*FundManager[Amount Invested])
)</f>
        <v>#N/A</v>
      </c>
      <c r="Q173">
        <f>SUMIFS(FundManager[Units Held], FundManager[Ticker], $N$3, FundManager[Date], "&lt;=" &amp; N173)</f>
        <v>0</v>
      </c>
      <c r="R173" s="20">
        <f t="shared" ca="1" si="2"/>
        <v>0</v>
      </c>
    </row>
    <row r="174" spans="16:18" x14ac:dyDescent="0.25">
      <c r="P174" s="20" t="e" cm="1">
        <f t="array" aca="1" ref="P174" ca="1">O174-IF(
  SUMPRODUCT((FundManager[Ticker]=$N$3)*(FundManager[Date]&lt;=N174)*FundManager[Amount Invested]) = 0,
  NA(),
  SUMPRODUCT((FundManager[Ticker]=$N$3)*(FundManager[Date]&lt;=N174)*(FundManager[Entry Price]*FundManager[Amount Invested])) /
  SUMPRODUCT((FundManager[Ticker]=$N$3)*(FundManager[Date]&lt;=N174)*FundManager[Amount Invested])
)</f>
        <v>#N/A</v>
      </c>
      <c r="Q174">
        <f>SUMIFS(FundManager[Units Held], FundManager[Ticker], $N$3, FundManager[Date], "&lt;=" &amp; N174)</f>
        <v>0</v>
      </c>
      <c r="R174" s="20">
        <f t="shared" ca="1" si="2"/>
        <v>0</v>
      </c>
    </row>
    <row r="175" spans="16:18" x14ac:dyDescent="0.25">
      <c r="P175" s="20" t="e" cm="1">
        <f t="array" aca="1" ref="P175" ca="1">O175-IF(
  SUMPRODUCT((FundManager[Ticker]=$N$3)*(FundManager[Date]&lt;=N175)*FundManager[Amount Invested]) = 0,
  NA(),
  SUMPRODUCT((FundManager[Ticker]=$N$3)*(FundManager[Date]&lt;=N175)*(FundManager[Entry Price]*FundManager[Amount Invested])) /
  SUMPRODUCT((FundManager[Ticker]=$N$3)*(FundManager[Date]&lt;=N175)*FundManager[Amount Invested])
)</f>
        <v>#N/A</v>
      </c>
      <c r="Q175">
        <f>SUMIFS(FundManager[Units Held], FundManager[Ticker], $N$3, FundManager[Date], "&lt;=" &amp; N175)</f>
        <v>0</v>
      </c>
      <c r="R175" s="20">
        <f t="shared" ca="1" si="2"/>
        <v>0</v>
      </c>
    </row>
    <row r="176" spans="16:18" x14ac:dyDescent="0.25">
      <c r="P176" s="20" t="e" cm="1">
        <f t="array" aca="1" ref="P176" ca="1">O176-IF(
  SUMPRODUCT((FundManager[Ticker]=$N$3)*(FundManager[Date]&lt;=N176)*FundManager[Amount Invested]) = 0,
  NA(),
  SUMPRODUCT((FundManager[Ticker]=$N$3)*(FundManager[Date]&lt;=N176)*(FundManager[Entry Price]*FundManager[Amount Invested])) /
  SUMPRODUCT((FundManager[Ticker]=$N$3)*(FundManager[Date]&lt;=N176)*FundManager[Amount Invested])
)</f>
        <v>#N/A</v>
      </c>
      <c r="Q176">
        <f>SUMIFS(FundManager[Units Held], FundManager[Ticker], $N$3, FundManager[Date], "&lt;=" &amp; N176)</f>
        <v>0</v>
      </c>
      <c r="R176" s="20">
        <f t="shared" ca="1" si="2"/>
        <v>0</v>
      </c>
    </row>
    <row r="177" spans="16:18" x14ac:dyDescent="0.25">
      <c r="P177" s="20" t="e" cm="1">
        <f t="array" aca="1" ref="P177" ca="1">O177-IF(
  SUMPRODUCT((FundManager[Ticker]=$N$3)*(FundManager[Date]&lt;=N177)*FundManager[Amount Invested]) = 0,
  NA(),
  SUMPRODUCT((FundManager[Ticker]=$N$3)*(FundManager[Date]&lt;=N177)*(FundManager[Entry Price]*FundManager[Amount Invested])) /
  SUMPRODUCT((FundManager[Ticker]=$N$3)*(FundManager[Date]&lt;=N177)*FundManager[Amount Invested])
)</f>
        <v>#N/A</v>
      </c>
      <c r="Q177">
        <f>SUMIFS(FundManager[Units Held], FundManager[Ticker], $N$3, FundManager[Date], "&lt;=" &amp; N177)</f>
        <v>0</v>
      </c>
      <c r="R177" s="20">
        <f t="shared" ca="1" si="2"/>
        <v>0</v>
      </c>
    </row>
    <row r="178" spans="16:18" x14ac:dyDescent="0.25">
      <c r="P178" s="20" t="e" cm="1">
        <f t="array" aca="1" ref="P178" ca="1">O178-IF(
  SUMPRODUCT((FundManager[Ticker]=$N$3)*(FundManager[Date]&lt;=N178)*FundManager[Amount Invested]) = 0,
  NA(),
  SUMPRODUCT((FundManager[Ticker]=$N$3)*(FundManager[Date]&lt;=N178)*(FundManager[Entry Price]*FundManager[Amount Invested])) /
  SUMPRODUCT((FundManager[Ticker]=$N$3)*(FundManager[Date]&lt;=N178)*FundManager[Amount Invested])
)</f>
        <v>#N/A</v>
      </c>
      <c r="Q178">
        <f>SUMIFS(FundManager[Units Held], FundManager[Ticker], $N$3, FundManager[Date], "&lt;=" &amp; N178)</f>
        <v>0</v>
      </c>
      <c r="R178" s="20">
        <f t="shared" ca="1" si="2"/>
        <v>0</v>
      </c>
    </row>
    <row r="179" spans="16:18" x14ac:dyDescent="0.25">
      <c r="P179" s="20" t="e" cm="1">
        <f t="array" aca="1" ref="P179" ca="1">O179-IF(
  SUMPRODUCT((FundManager[Ticker]=$N$3)*(FundManager[Date]&lt;=N179)*FundManager[Amount Invested]) = 0,
  NA(),
  SUMPRODUCT((FundManager[Ticker]=$N$3)*(FundManager[Date]&lt;=N179)*(FundManager[Entry Price]*FundManager[Amount Invested])) /
  SUMPRODUCT((FundManager[Ticker]=$N$3)*(FundManager[Date]&lt;=N179)*FundManager[Amount Invested])
)</f>
        <v>#N/A</v>
      </c>
      <c r="Q179">
        <f>SUMIFS(FundManager[Units Held], FundManager[Ticker], $N$3, FundManager[Date], "&lt;=" &amp; N179)</f>
        <v>0</v>
      </c>
      <c r="R179" s="20">
        <f t="shared" ca="1" si="2"/>
        <v>0</v>
      </c>
    </row>
    <row r="180" spans="16:18" x14ac:dyDescent="0.25">
      <c r="P180" s="20" t="e" cm="1">
        <f t="array" aca="1" ref="P180" ca="1">O180-IF(
  SUMPRODUCT((FundManager[Ticker]=$N$3)*(FundManager[Date]&lt;=N180)*FundManager[Amount Invested]) = 0,
  NA(),
  SUMPRODUCT((FundManager[Ticker]=$N$3)*(FundManager[Date]&lt;=N180)*(FundManager[Entry Price]*FundManager[Amount Invested])) /
  SUMPRODUCT((FundManager[Ticker]=$N$3)*(FundManager[Date]&lt;=N180)*FundManager[Amount Invested])
)</f>
        <v>#N/A</v>
      </c>
      <c r="Q180">
        <f>SUMIFS(FundManager[Units Held], FundManager[Ticker], $N$3, FundManager[Date], "&lt;=" &amp; N180)</f>
        <v>0</v>
      </c>
      <c r="R180" s="20">
        <f t="shared" ca="1" si="2"/>
        <v>0</v>
      </c>
    </row>
    <row r="181" spans="16:18" x14ac:dyDescent="0.25">
      <c r="P181" s="20" t="e" cm="1">
        <f t="array" aca="1" ref="P181" ca="1">O181-IF(
  SUMPRODUCT((FundManager[Ticker]=$N$3)*(FundManager[Date]&lt;=N181)*FundManager[Amount Invested]) = 0,
  NA(),
  SUMPRODUCT((FundManager[Ticker]=$N$3)*(FundManager[Date]&lt;=N181)*(FundManager[Entry Price]*FundManager[Amount Invested])) /
  SUMPRODUCT((FundManager[Ticker]=$N$3)*(FundManager[Date]&lt;=N181)*FundManager[Amount Invested])
)</f>
        <v>#N/A</v>
      </c>
      <c r="Q181">
        <f>SUMIFS(FundManager[Units Held], FundManager[Ticker], $N$3, FundManager[Date], "&lt;=" &amp; N181)</f>
        <v>0</v>
      </c>
      <c r="R181" s="20">
        <f t="shared" ca="1" si="2"/>
        <v>0</v>
      </c>
    </row>
    <row r="182" spans="16:18" x14ac:dyDescent="0.25">
      <c r="P182" s="20" t="e" cm="1">
        <f t="array" aca="1" ref="P182" ca="1">O182-IF(
  SUMPRODUCT((FundManager[Ticker]=$N$3)*(FundManager[Date]&lt;=N182)*FundManager[Amount Invested]) = 0,
  NA(),
  SUMPRODUCT((FundManager[Ticker]=$N$3)*(FundManager[Date]&lt;=N182)*(FundManager[Entry Price]*FundManager[Amount Invested])) /
  SUMPRODUCT((FundManager[Ticker]=$N$3)*(FundManager[Date]&lt;=N182)*FundManager[Amount Invested])
)</f>
        <v>#N/A</v>
      </c>
      <c r="Q182">
        <f>SUMIFS(FundManager[Units Held], FundManager[Ticker], $N$3, FundManager[Date], "&lt;=" &amp; N182)</f>
        <v>0</v>
      </c>
      <c r="R182" s="20">
        <f t="shared" ca="1" si="2"/>
        <v>0</v>
      </c>
    </row>
    <row r="183" spans="16:18" x14ac:dyDescent="0.25">
      <c r="P183" s="20" t="e" cm="1">
        <f t="array" aca="1" ref="P183" ca="1">O183-IF(
  SUMPRODUCT((FundManager[Ticker]=$N$3)*(FundManager[Date]&lt;=N183)*FundManager[Amount Invested]) = 0,
  NA(),
  SUMPRODUCT((FundManager[Ticker]=$N$3)*(FundManager[Date]&lt;=N183)*(FundManager[Entry Price]*FundManager[Amount Invested])) /
  SUMPRODUCT((FundManager[Ticker]=$N$3)*(FundManager[Date]&lt;=N183)*FundManager[Amount Invested])
)</f>
        <v>#N/A</v>
      </c>
      <c r="Q183">
        <f>SUMIFS(FundManager[Units Held], FundManager[Ticker], $N$3, FundManager[Date], "&lt;=" &amp; N183)</f>
        <v>0</v>
      </c>
      <c r="R183" s="20">
        <f t="shared" ca="1" si="2"/>
        <v>0</v>
      </c>
    </row>
    <row r="184" spans="16:18" x14ac:dyDescent="0.25">
      <c r="P184" s="20" t="e" cm="1">
        <f t="array" aca="1" ref="P184" ca="1">O184-IF(
  SUMPRODUCT((FundManager[Ticker]=$N$3)*(FundManager[Date]&lt;=N184)*FundManager[Amount Invested]) = 0,
  NA(),
  SUMPRODUCT((FundManager[Ticker]=$N$3)*(FundManager[Date]&lt;=N184)*(FundManager[Entry Price]*FundManager[Amount Invested])) /
  SUMPRODUCT((FundManager[Ticker]=$N$3)*(FundManager[Date]&lt;=N184)*FundManager[Amount Invested])
)</f>
        <v>#N/A</v>
      </c>
      <c r="Q184">
        <f>SUMIFS(FundManager[Units Held], FundManager[Ticker], $N$3, FundManager[Date], "&lt;=" &amp; N184)</f>
        <v>0</v>
      </c>
      <c r="R184" s="20">
        <f t="shared" ca="1" si="2"/>
        <v>0</v>
      </c>
    </row>
    <row r="185" spans="16:18" x14ac:dyDescent="0.25">
      <c r="P185" s="20" t="e" cm="1">
        <f t="array" aca="1" ref="P185" ca="1">O185-IF(
  SUMPRODUCT((FundManager[Ticker]=$N$3)*(FundManager[Date]&lt;=N185)*FundManager[Amount Invested]) = 0,
  NA(),
  SUMPRODUCT((FundManager[Ticker]=$N$3)*(FundManager[Date]&lt;=N185)*(FundManager[Entry Price]*FundManager[Amount Invested])) /
  SUMPRODUCT((FundManager[Ticker]=$N$3)*(FundManager[Date]&lt;=N185)*FundManager[Amount Invested])
)</f>
        <v>#N/A</v>
      </c>
      <c r="Q185">
        <f>SUMIFS(FundManager[Units Held], FundManager[Ticker], $N$3, FundManager[Date], "&lt;=" &amp; N185)</f>
        <v>0</v>
      </c>
      <c r="R185" s="20">
        <f t="shared" ca="1" si="2"/>
        <v>0</v>
      </c>
    </row>
    <row r="186" spans="16:18" x14ac:dyDescent="0.25">
      <c r="P186" s="20" t="e" cm="1">
        <f t="array" aca="1" ref="P186" ca="1">O186-IF(
  SUMPRODUCT((FundManager[Ticker]=$N$3)*(FundManager[Date]&lt;=N186)*FundManager[Amount Invested]) = 0,
  NA(),
  SUMPRODUCT((FundManager[Ticker]=$N$3)*(FundManager[Date]&lt;=N186)*(FundManager[Entry Price]*FundManager[Amount Invested])) /
  SUMPRODUCT((FundManager[Ticker]=$N$3)*(FundManager[Date]&lt;=N186)*FundManager[Amount Invested])
)</f>
        <v>#N/A</v>
      </c>
      <c r="Q186">
        <f>SUMIFS(FundManager[Units Held], FundManager[Ticker], $N$3, FundManager[Date], "&lt;=" &amp; N186)</f>
        <v>0</v>
      </c>
      <c r="R186" s="20">
        <f t="shared" ca="1" si="2"/>
        <v>0</v>
      </c>
    </row>
    <row r="187" spans="16:18" x14ac:dyDescent="0.25">
      <c r="P187" s="20" t="e" cm="1">
        <f t="array" aca="1" ref="P187" ca="1">O187-IF(
  SUMPRODUCT((FundManager[Ticker]=$N$3)*(FundManager[Date]&lt;=N187)*FundManager[Amount Invested]) = 0,
  NA(),
  SUMPRODUCT((FundManager[Ticker]=$N$3)*(FundManager[Date]&lt;=N187)*(FundManager[Entry Price]*FundManager[Amount Invested])) /
  SUMPRODUCT((FundManager[Ticker]=$N$3)*(FundManager[Date]&lt;=N187)*FundManager[Amount Invested])
)</f>
        <v>#N/A</v>
      </c>
      <c r="Q187">
        <f>SUMIFS(FundManager[Units Held], FundManager[Ticker], $N$3, FundManager[Date], "&lt;=" &amp; N187)</f>
        <v>0</v>
      </c>
      <c r="R187" s="20">
        <f t="shared" ca="1" si="2"/>
        <v>0</v>
      </c>
    </row>
    <row r="188" spans="16:18" x14ac:dyDescent="0.25">
      <c r="P188" s="20" t="e" cm="1">
        <f t="array" aca="1" ref="P188" ca="1">O188-IF(
  SUMPRODUCT((FundManager[Ticker]=$N$3)*(FundManager[Date]&lt;=N188)*FundManager[Amount Invested]) = 0,
  NA(),
  SUMPRODUCT((FundManager[Ticker]=$N$3)*(FundManager[Date]&lt;=N188)*(FundManager[Entry Price]*FundManager[Amount Invested])) /
  SUMPRODUCT((FundManager[Ticker]=$N$3)*(FundManager[Date]&lt;=N188)*FundManager[Amount Invested])
)</f>
        <v>#N/A</v>
      </c>
      <c r="Q188">
        <f>SUMIFS(FundManager[Units Held], FundManager[Ticker], $N$3, FundManager[Date], "&lt;=" &amp; N188)</f>
        <v>0</v>
      </c>
      <c r="R188" s="20">
        <f t="shared" ca="1" si="2"/>
        <v>0</v>
      </c>
    </row>
    <row r="189" spans="16:18" x14ac:dyDescent="0.25">
      <c r="P189" s="20" t="e" cm="1">
        <f t="array" aca="1" ref="P189" ca="1">O189-IF(
  SUMPRODUCT((FundManager[Ticker]=$N$3)*(FundManager[Date]&lt;=N189)*FundManager[Amount Invested]) = 0,
  NA(),
  SUMPRODUCT((FundManager[Ticker]=$N$3)*(FundManager[Date]&lt;=N189)*(FundManager[Entry Price]*FundManager[Amount Invested])) /
  SUMPRODUCT((FundManager[Ticker]=$N$3)*(FundManager[Date]&lt;=N189)*FundManager[Amount Invested])
)</f>
        <v>#N/A</v>
      </c>
      <c r="Q189">
        <f>SUMIFS(FundManager[Units Held], FundManager[Ticker], $N$3, FundManager[Date], "&lt;=" &amp; N189)</f>
        <v>0</v>
      </c>
      <c r="R189" s="20">
        <f t="shared" ca="1" si="2"/>
        <v>0</v>
      </c>
    </row>
    <row r="190" spans="16:18" x14ac:dyDescent="0.25">
      <c r="P190" s="20" t="e" cm="1">
        <f t="array" aca="1" ref="P190" ca="1">O190-IF(
  SUMPRODUCT((FundManager[Ticker]=$N$3)*(FundManager[Date]&lt;=N190)*FundManager[Amount Invested]) = 0,
  NA(),
  SUMPRODUCT((FundManager[Ticker]=$N$3)*(FundManager[Date]&lt;=N190)*(FundManager[Entry Price]*FundManager[Amount Invested])) /
  SUMPRODUCT((FundManager[Ticker]=$N$3)*(FundManager[Date]&lt;=N190)*FundManager[Amount Invested])
)</f>
        <v>#N/A</v>
      </c>
      <c r="Q190">
        <f>SUMIFS(FundManager[Units Held], FundManager[Ticker], $N$3, FundManager[Date], "&lt;=" &amp; N190)</f>
        <v>0</v>
      </c>
      <c r="R190" s="20">
        <f t="shared" ca="1" si="2"/>
        <v>0</v>
      </c>
    </row>
    <row r="191" spans="16:18" x14ac:dyDescent="0.25">
      <c r="P191" s="20" t="e" cm="1">
        <f t="array" aca="1" ref="P191" ca="1">O191-IF(
  SUMPRODUCT((FundManager[Ticker]=$N$3)*(FundManager[Date]&lt;=N191)*FundManager[Amount Invested]) = 0,
  NA(),
  SUMPRODUCT((FundManager[Ticker]=$N$3)*(FundManager[Date]&lt;=N191)*(FundManager[Entry Price]*FundManager[Amount Invested])) /
  SUMPRODUCT((FundManager[Ticker]=$N$3)*(FundManager[Date]&lt;=N191)*FundManager[Amount Invested])
)</f>
        <v>#N/A</v>
      </c>
      <c r="Q191">
        <f>SUMIFS(FundManager[Units Held], FundManager[Ticker], $N$3, FundManager[Date], "&lt;=" &amp; N191)</f>
        <v>0</v>
      </c>
      <c r="R191" s="20">
        <f t="shared" ca="1" si="2"/>
        <v>0</v>
      </c>
    </row>
    <row r="192" spans="16:18" x14ac:dyDescent="0.25">
      <c r="P192" s="20" t="e" cm="1">
        <f t="array" aca="1" ref="P192" ca="1">O192-IF(
  SUMPRODUCT((FundManager[Ticker]=$N$3)*(FundManager[Date]&lt;=N192)*FundManager[Amount Invested]) = 0,
  NA(),
  SUMPRODUCT((FundManager[Ticker]=$N$3)*(FundManager[Date]&lt;=N192)*(FundManager[Entry Price]*FundManager[Amount Invested])) /
  SUMPRODUCT((FundManager[Ticker]=$N$3)*(FundManager[Date]&lt;=N192)*FundManager[Amount Invested])
)</f>
        <v>#N/A</v>
      </c>
      <c r="Q192">
        <f>SUMIFS(FundManager[Units Held], FundManager[Ticker], $N$3, FundManager[Date], "&lt;=" &amp; N192)</f>
        <v>0</v>
      </c>
      <c r="R192" s="20">
        <f t="shared" ca="1" si="2"/>
        <v>0</v>
      </c>
    </row>
    <row r="193" spans="16:18" x14ac:dyDescent="0.25">
      <c r="P193" s="20" t="e" cm="1">
        <f t="array" aca="1" ref="P193" ca="1">O193-IF(
  SUMPRODUCT((FundManager[Ticker]=$N$3)*(FundManager[Date]&lt;=N193)*FundManager[Amount Invested]) = 0,
  NA(),
  SUMPRODUCT((FundManager[Ticker]=$N$3)*(FundManager[Date]&lt;=N193)*(FundManager[Entry Price]*FundManager[Amount Invested])) /
  SUMPRODUCT((FundManager[Ticker]=$N$3)*(FundManager[Date]&lt;=N193)*FundManager[Amount Invested])
)</f>
        <v>#N/A</v>
      </c>
      <c r="Q193">
        <f>SUMIFS(FundManager[Units Held], FundManager[Ticker], $N$3, FundManager[Date], "&lt;=" &amp; N193)</f>
        <v>0</v>
      </c>
      <c r="R193" s="20">
        <f t="shared" ca="1" si="2"/>
        <v>0</v>
      </c>
    </row>
    <row r="194" spans="16:18" x14ac:dyDescent="0.25">
      <c r="P194" s="20" t="e" cm="1">
        <f t="array" aca="1" ref="P194" ca="1">O194-IF(
  SUMPRODUCT((FundManager[Ticker]=$N$3)*(FundManager[Date]&lt;=N194)*FundManager[Amount Invested]) = 0,
  NA(),
  SUMPRODUCT((FundManager[Ticker]=$N$3)*(FundManager[Date]&lt;=N194)*(FundManager[Entry Price]*FundManager[Amount Invested])) /
  SUMPRODUCT((FundManager[Ticker]=$N$3)*(FundManager[Date]&lt;=N194)*FundManager[Amount Invested])
)</f>
        <v>#N/A</v>
      </c>
      <c r="Q194">
        <f>SUMIFS(FundManager[Units Held], FundManager[Ticker], $N$3, FundManager[Date], "&lt;=" &amp; N194)</f>
        <v>0</v>
      </c>
      <c r="R194" s="20">
        <f t="shared" ca="1" si="2"/>
        <v>0</v>
      </c>
    </row>
    <row r="195" spans="16:18" x14ac:dyDescent="0.25">
      <c r="P195" s="20" t="e" cm="1">
        <f t="array" aca="1" ref="P195" ca="1">O195-IF(
  SUMPRODUCT((FundManager[Ticker]=$N$3)*(FundManager[Date]&lt;=N195)*FundManager[Amount Invested]) = 0,
  NA(),
  SUMPRODUCT((FundManager[Ticker]=$N$3)*(FundManager[Date]&lt;=N195)*(FundManager[Entry Price]*FundManager[Amount Invested])) /
  SUMPRODUCT((FundManager[Ticker]=$N$3)*(FundManager[Date]&lt;=N195)*FundManager[Amount Invested])
)</f>
        <v>#N/A</v>
      </c>
      <c r="Q195">
        <f>SUMIFS(FundManager[Units Held], FundManager[Ticker], $N$3, FundManager[Date], "&lt;=" &amp; N195)</f>
        <v>0</v>
      </c>
      <c r="R195" s="20">
        <f t="shared" ca="1" si="2"/>
        <v>0</v>
      </c>
    </row>
    <row r="196" spans="16:18" x14ac:dyDescent="0.25">
      <c r="P196" s="20" t="e" cm="1">
        <f t="array" aca="1" ref="P196" ca="1">O196-IF(
  SUMPRODUCT((FundManager[Ticker]=$N$3)*(FundManager[Date]&lt;=N196)*FundManager[Amount Invested]) = 0,
  NA(),
  SUMPRODUCT((FundManager[Ticker]=$N$3)*(FundManager[Date]&lt;=N196)*(FundManager[Entry Price]*FundManager[Amount Invested])) /
  SUMPRODUCT((FundManager[Ticker]=$N$3)*(FundManager[Date]&lt;=N196)*FundManager[Amount Invested])
)</f>
        <v>#N/A</v>
      </c>
      <c r="Q196">
        <f>SUMIFS(FundManager[Units Held], FundManager[Ticker], $N$3, FundManager[Date], "&lt;=" &amp; N196)</f>
        <v>0</v>
      </c>
      <c r="R196" s="20">
        <f t="shared" ca="1" si="2"/>
        <v>0</v>
      </c>
    </row>
    <row r="197" spans="16:18" x14ac:dyDescent="0.25">
      <c r="P197" s="20" t="e" cm="1">
        <f t="array" aca="1" ref="P197" ca="1">O197-IF(
  SUMPRODUCT((FundManager[Ticker]=$N$3)*(FundManager[Date]&lt;=N197)*FundManager[Amount Invested]) = 0,
  NA(),
  SUMPRODUCT((FundManager[Ticker]=$N$3)*(FundManager[Date]&lt;=N197)*(FundManager[Entry Price]*FundManager[Amount Invested])) /
  SUMPRODUCT((FundManager[Ticker]=$N$3)*(FundManager[Date]&lt;=N197)*FundManager[Amount Invested])
)</f>
        <v>#N/A</v>
      </c>
      <c r="Q197">
        <f>SUMIFS(FundManager[Units Held], FundManager[Ticker], $N$3, FundManager[Date], "&lt;=" &amp; N197)</f>
        <v>0</v>
      </c>
      <c r="R197" s="20">
        <f t="shared" ca="1" si="2"/>
        <v>0</v>
      </c>
    </row>
    <row r="198" spans="16:18" x14ac:dyDescent="0.25">
      <c r="P198" s="20" t="e" cm="1">
        <f t="array" aca="1" ref="P198" ca="1">O198-IF(
  SUMPRODUCT((FundManager[Ticker]=$N$3)*(FundManager[Date]&lt;=N198)*FundManager[Amount Invested]) = 0,
  NA(),
  SUMPRODUCT((FundManager[Ticker]=$N$3)*(FundManager[Date]&lt;=N198)*(FundManager[Entry Price]*FundManager[Amount Invested])) /
  SUMPRODUCT((FundManager[Ticker]=$N$3)*(FundManager[Date]&lt;=N198)*FundManager[Amount Invested])
)</f>
        <v>#N/A</v>
      </c>
      <c r="Q198">
        <f>SUMIFS(FundManager[Units Held], FundManager[Ticker], $N$3, FundManager[Date], "&lt;=" &amp; N198)</f>
        <v>0</v>
      </c>
      <c r="R198" s="20">
        <f t="shared" ca="1" si="2"/>
        <v>0</v>
      </c>
    </row>
    <row r="199" spans="16:18" x14ac:dyDescent="0.25">
      <c r="P199" s="20" t="e" cm="1">
        <f t="array" aca="1" ref="P199" ca="1">O199-IF(
  SUMPRODUCT((FundManager[Ticker]=$N$3)*(FundManager[Date]&lt;=N199)*FundManager[Amount Invested]) = 0,
  NA(),
  SUMPRODUCT((FundManager[Ticker]=$N$3)*(FundManager[Date]&lt;=N199)*(FundManager[Entry Price]*FundManager[Amount Invested])) /
  SUMPRODUCT((FundManager[Ticker]=$N$3)*(FundManager[Date]&lt;=N199)*FundManager[Amount Invested])
)</f>
        <v>#N/A</v>
      </c>
      <c r="Q199">
        <f>SUMIFS(FundManager[Units Held], FundManager[Ticker], $N$3, FundManager[Date], "&lt;=" &amp; N199)</f>
        <v>0</v>
      </c>
      <c r="R199" s="20">
        <f t="shared" ca="1" si="2"/>
        <v>0</v>
      </c>
    </row>
    <row r="200" spans="16:18" x14ac:dyDescent="0.25">
      <c r="P200" s="20" t="e" cm="1">
        <f t="array" aca="1" ref="P200" ca="1">O200-IF(
  SUMPRODUCT((FundManager[Ticker]=$N$3)*(FundManager[Date]&lt;=N200)*FundManager[Amount Invested]) = 0,
  NA(),
  SUMPRODUCT((FundManager[Ticker]=$N$3)*(FundManager[Date]&lt;=N200)*(FundManager[Entry Price]*FundManager[Amount Invested])) /
  SUMPRODUCT((FundManager[Ticker]=$N$3)*(FundManager[Date]&lt;=N200)*FundManager[Amount Invested])
)</f>
        <v>#N/A</v>
      </c>
      <c r="Q200">
        <f>SUMIFS(FundManager[Units Held], FundManager[Ticker], $N$3, FundManager[Date], "&lt;=" &amp; N200)</f>
        <v>0</v>
      </c>
      <c r="R200" s="20">
        <f t="shared" ref="R200:R255" ca="1" si="3">_xlfn.IFNA(P200*Q200,0)</f>
        <v>0</v>
      </c>
    </row>
    <row r="201" spans="16:18" x14ac:dyDescent="0.25">
      <c r="P201" s="20" t="e" cm="1">
        <f t="array" aca="1" ref="P201" ca="1">O201-IF(
  SUMPRODUCT((FundManager[Ticker]=$N$3)*(FundManager[Date]&lt;=N201)*FundManager[Amount Invested]) = 0,
  NA(),
  SUMPRODUCT((FundManager[Ticker]=$N$3)*(FundManager[Date]&lt;=N201)*(FundManager[Entry Price]*FundManager[Amount Invested])) /
  SUMPRODUCT((FundManager[Ticker]=$N$3)*(FundManager[Date]&lt;=N201)*FundManager[Amount Invested])
)</f>
        <v>#N/A</v>
      </c>
      <c r="Q201">
        <f>SUMIFS(FundManager[Units Held], FundManager[Ticker], $N$3, FundManager[Date], "&lt;=" &amp; N201)</f>
        <v>0</v>
      </c>
      <c r="R201" s="20">
        <f t="shared" ca="1" si="3"/>
        <v>0</v>
      </c>
    </row>
    <row r="202" spans="16:18" x14ac:dyDescent="0.25">
      <c r="P202" s="20" t="e" cm="1">
        <f t="array" aca="1" ref="P202" ca="1">O202-IF(
  SUMPRODUCT((FundManager[Ticker]=$N$3)*(FundManager[Date]&lt;=N202)*FundManager[Amount Invested]) = 0,
  NA(),
  SUMPRODUCT((FundManager[Ticker]=$N$3)*(FundManager[Date]&lt;=N202)*(FundManager[Entry Price]*FundManager[Amount Invested])) /
  SUMPRODUCT((FundManager[Ticker]=$N$3)*(FundManager[Date]&lt;=N202)*FundManager[Amount Invested])
)</f>
        <v>#N/A</v>
      </c>
      <c r="Q202">
        <f>SUMIFS(FundManager[Units Held], FundManager[Ticker], $N$3, FundManager[Date], "&lt;=" &amp; N202)</f>
        <v>0</v>
      </c>
      <c r="R202" s="20">
        <f t="shared" ca="1" si="3"/>
        <v>0</v>
      </c>
    </row>
    <row r="203" spans="16:18" x14ac:dyDescent="0.25">
      <c r="P203" s="20" t="e" cm="1">
        <f t="array" aca="1" ref="P203" ca="1">O203-IF(
  SUMPRODUCT((FundManager[Ticker]=$N$3)*(FundManager[Date]&lt;=N203)*FundManager[Amount Invested]) = 0,
  NA(),
  SUMPRODUCT((FundManager[Ticker]=$N$3)*(FundManager[Date]&lt;=N203)*(FundManager[Entry Price]*FundManager[Amount Invested])) /
  SUMPRODUCT((FundManager[Ticker]=$N$3)*(FundManager[Date]&lt;=N203)*FundManager[Amount Invested])
)</f>
        <v>#N/A</v>
      </c>
      <c r="Q203">
        <f>SUMIFS(FundManager[Units Held], FundManager[Ticker], $N$3, FundManager[Date], "&lt;=" &amp; N203)</f>
        <v>0</v>
      </c>
      <c r="R203" s="20">
        <f t="shared" ca="1" si="3"/>
        <v>0</v>
      </c>
    </row>
    <row r="204" spans="16:18" x14ac:dyDescent="0.25">
      <c r="P204" s="20" t="e" cm="1">
        <f t="array" aca="1" ref="P204" ca="1">O204-IF(
  SUMPRODUCT((FundManager[Ticker]=$N$3)*(FundManager[Date]&lt;=N204)*FundManager[Amount Invested]) = 0,
  NA(),
  SUMPRODUCT((FundManager[Ticker]=$N$3)*(FundManager[Date]&lt;=N204)*(FundManager[Entry Price]*FundManager[Amount Invested])) /
  SUMPRODUCT((FundManager[Ticker]=$N$3)*(FundManager[Date]&lt;=N204)*FundManager[Amount Invested])
)</f>
        <v>#N/A</v>
      </c>
      <c r="Q204">
        <f>SUMIFS(FundManager[Units Held], FundManager[Ticker], $N$3, FundManager[Date], "&lt;=" &amp; N204)</f>
        <v>0</v>
      </c>
      <c r="R204" s="20">
        <f t="shared" ca="1" si="3"/>
        <v>0</v>
      </c>
    </row>
    <row r="205" spans="16:18" x14ac:dyDescent="0.25">
      <c r="P205" s="20" t="e" cm="1">
        <f t="array" aca="1" ref="P205" ca="1">O205-IF(
  SUMPRODUCT((FundManager[Ticker]=$N$3)*(FundManager[Date]&lt;=N205)*FundManager[Amount Invested]) = 0,
  NA(),
  SUMPRODUCT((FundManager[Ticker]=$N$3)*(FundManager[Date]&lt;=N205)*(FundManager[Entry Price]*FundManager[Amount Invested])) /
  SUMPRODUCT((FundManager[Ticker]=$N$3)*(FundManager[Date]&lt;=N205)*FundManager[Amount Invested])
)</f>
        <v>#N/A</v>
      </c>
      <c r="Q205">
        <f>SUMIFS(FundManager[Units Held], FundManager[Ticker], $N$3, FundManager[Date], "&lt;=" &amp; N205)</f>
        <v>0</v>
      </c>
      <c r="R205" s="20">
        <f t="shared" ca="1" si="3"/>
        <v>0</v>
      </c>
    </row>
    <row r="206" spans="16:18" x14ac:dyDescent="0.25">
      <c r="P206" s="20" t="e" cm="1">
        <f t="array" aca="1" ref="P206" ca="1">O206-IF(
  SUMPRODUCT((FundManager[Ticker]=$N$3)*(FundManager[Date]&lt;=N206)*FundManager[Amount Invested]) = 0,
  NA(),
  SUMPRODUCT((FundManager[Ticker]=$N$3)*(FundManager[Date]&lt;=N206)*(FundManager[Entry Price]*FundManager[Amount Invested])) /
  SUMPRODUCT((FundManager[Ticker]=$N$3)*(FundManager[Date]&lt;=N206)*FundManager[Amount Invested])
)</f>
        <v>#N/A</v>
      </c>
      <c r="Q206">
        <f>SUMIFS(FundManager[Units Held], FundManager[Ticker], $N$3, FundManager[Date], "&lt;=" &amp; N206)</f>
        <v>0</v>
      </c>
      <c r="R206" s="20">
        <f t="shared" ca="1" si="3"/>
        <v>0</v>
      </c>
    </row>
    <row r="207" spans="16:18" x14ac:dyDescent="0.25">
      <c r="P207" s="20" t="e" cm="1">
        <f t="array" aca="1" ref="P207" ca="1">O207-IF(
  SUMPRODUCT((FundManager[Ticker]=$N$3)*(FundManager[Date]&lt;=N207)*FundManager[Amount Invested]) = 0,
  NA(),
  SUMPRODUCT((FundManager[Ticker]=$N$3)*(FundManager[Date]&lt;=N207)*(FundManager[Entry Price]*FundManager[Amount Invested])) /
  SUMPRODUCT((FundManager[Ticker]=$N$3)*(FundManager[Date]&lt;=N207)*FundManager[Amount Invested])
)</f>
        <v>#N/A</v>
      </c>
      <c r="Q207">
        <f>SUMIFS(FundManager[Units Held], FundManager[Ticker], $N$3, FundManager[Date], "&lt;=" &amp; N207)</f>
        <v>0</v>
      </c>
      <c r="R207" s="20">
        <f t="shared" ca="1" si="3"/>
        <v>0</v>
      </c>
    </row>
    <row r="208" spans="16:18" x14ac:dyDescent="0.25">
      <c r="P208" s="20" t="e" cm="1">
        <f t="array" aca="1" ref="P208" ca="1">O208-IF(
  SUMPRODUCT((FundManager[Ticker]=$N$3)*(FundManager[Date]&lt;=N208)*FundManager[Amount Invested]) = 0,
  NA(),
  SUMPRODUCT((FundManager[Ticker]=$N$3)*(FundManager[Date]&lt;=N208)*(FundManager[Entry Price]*FundManager[Amount Invested])) /
  SUMPRODUCT((FundManager[Ticker]=$N$3)*(FundManager[Date]&lt;=N208)*FundManager[Amount Invested])
)</f>
        <v>#N/A</v>
      </c>
      <c r="Q208">
        <f>SUMIFS(FundManager[Units Held], FundManager[Ticker], $N$3, FundManager[Date], "&lt;=" &amp; N208)</f>
        <v>0</v>
      </c>
      <c r="R208" s="20">
        <f t="shared" ca="1" si="3"/>
        <v>0</v>
      </c>
    </row>
    <row r="209" spans="16:18" x14ac:dyDescent="0.25">
      <c r="P209" s="20" t="e" cm="1">
        <f t="array" aca="1" ref="P209" ca="1">O209-IF(
  SUMPRODUCT((FundManager[Ticker]=$N$3)*(FundManager[Date]&lt;=N209)*FundManager[Amount Invested]) = 0,
  NA(),
  SUMPRODUCT((FundManager[Ticker]=$N$3)*(FundManager[Date]&lt;=N209)*(FundManager[Entry Price]*FundManager[Amount Invested])) /
  SUMPRODUCT((FundManager[Ticker]=$N$3)*(FundManager[Date]&lt;=N209)*FundManager[Amount Invested])
)</f>
        <v>#N/A</v>
      </c>
      <c r="Q209">
        <f>SUMIFS(FundManager[Units Held], FundManager[Ticker], $N$3, FundManager[Date], "&lt;=" &amp; N209)</f>
        <v>0</v>
      </c>
      <c r="R209" s="20">
        <f t="shared" ca="1" si="3"/>
        <v>0</v>
      </c>
    </row>
    <row r="210" spans="16:18" x14ac:dyDescent="0.25">
      <c r="P210" s="20" t="e" cm="1">
        <f t="array" aca="1" ref="P210" ca="1">O210-IF(
  SUMPRODUCT((FundManager[Ticker]=$N$3)*(FundManager[Date]&lt;=N210)*FundManager[Amount Invested]) = 0,
  NA(),
  SUMPRODUCT((FundManager[Ticker]=$N$3)*(FundManager[Date]&lt;=N210)*(FundManager[Entry Price]*FundManager[Amount Invested])) /
  SUMPRODUCT((FundManager[Ticker]=$N$3)*(FundManager[Date]&lt;=N210)*FundManager[Amount Invested])
)</f>
        <v>#N/A</v>
      </c>
      <c r="Q210">
        <f>SUMIFS(FundManager[Units Held], FundManager[Ticker], $N$3, FundManager[Date], "&lt;=" &amp; N210)</f>
        <v>0</v>
      </c>
      <c r="R210" s="20">
        <f t="shared" ca="1" si="3"/>
        <v>0</v>
      </c>
    </row>
    <row r="211" spans="16:18" x14ac:dyDescent="0.25">
      <c r="P211" s="20" t="e" cm="1">
        <f t="array" aca="1" ref="P211" ca="1">O211-IF(
  SUMPRODUCT((FundManager[Ticker]=$N$3)*(FundManager[Date]&lt;=N211)*FundManager[Amount Invested]) = 0,
  NA(),
  SUMPRODUCT((FundManager[Ticker]=$N$3)*(FundManager[Date]&lt;=N211)*(FundManager[Entry Price]*FundManager[Amount Invested])) /
  SUMPRODUCT((FundManager[Ticker]=$N$3)*(FundManager[Date]&lt;=N211)*FundManager[Amount Invested])
)</f>
        <v>#N/A</v>
      </c>
      <c r="Q211">
        <f>SUMIFS(FundManager[Units Held], FundManager[Ticker], $N$3, FundManager[Date], "&lt;=" &amp; N211)</f>
        <v>0</v>
      </c>
      <c r="R211" s="20">
        <f t="shared" ca="1" si="3"/>
        <v>0</v>
      </c>
    </row>
    <row r="212" spans="16:18" x14ac:dyDescent="0.25">
      <c r="P212" s="20" t="e" cm="1">
        <f t="array" aca="1" ref="P212" ca="1">O212-IF(
  SUMPRODUCT((FundManager[Ticker]=$N$3)*(FundManager[Date]&lt;=N212)*FundManager[Amount Invested]) = 0,
  NA(),
  SUMPRODUCT((FundManager[Ticker]=$N$3)*(FundManager[Date]&lt;=N212)*(FundManager[Entry Price]*FundManager[Amount Invested])) /
  SUMPRODUCT((FundManager[Ticker]=$N$3)*(FundManager[Date]&lt;=N212)*FundManager[Amount Invested])
)</f>
        <v>#N/A</v>
      </c>
      <c r="Q212">
        <f>SUMIFS(FundManager[Units Held], FundManager[Ticker], $N$3, FundManager[Date], "&lt;=" &amp; N212)</f>
        <v>0</v>
      </c>
      <c r="R212" s="20">
        <f t="shared" ca="1" si="3"/>
        <v>0</v>
      </c>
    </row>
    <row r="213" spans="16:18" x14ac:dyDescent="0.25">
      <c r="P213" s="20" t="e" cm="1">
        <f t="array" aca="1" ref="P213" ca="1">O213-IF(
  SUMPRODUCT((FundManager[Ticker]=$N$3)*(FundManager[Date]&lt;=N213)*FundManager[Amount Invested]) = 0,
  NA(),
  SUMPRODUCT((FundManager[Ticker]=$N$3)*(FundManager[Date]&lt;=N213)*(FundManager[Entry Price]*FundManager[Amount Invested])) /
  SUMPRODUCT((FundManager[Ticker]=$N$3)*(FundManager[Date]&lt;=N213)*FundManager[Amount Invested])
)</f>
        <v>#N/A</v>
      </c>
      <c r="Q213">
        <f>SUMIFS(FundManager[Units Held], FundManager[Ticker], $N$3, FundManager[Date], "&lt;=" &amp; N213)</f>
        <v>0</v>
      </c>
      <c r="R213" s="20">
        <f t="shared" ca="1" si="3"/>
        <v>0</v>
      </c>
    </row>
    <row r="214" spans="16:18" x14ac:dyDescent="0.25">
      <c r="P214" s="20" t="e" cm="1">
        <f t="array" aca="1" ref="P214" ca="1">O214-IF(
  SUMPRODUCT((FundManager[Ticker]=$N$3)*(FundManager[Date]&lt;=N214)*FundManager[Amount Invested]) = 0,
  NA(),
  SUMPRODUCT((FundManager[Ticker]=$N$3)*(FundManager[Date]&lt;=N214)*(FundManager[Entry Price]*FundManager[Amount Invested])) /
  SUMPRODUCT((FundManager[Ticker]=$N$3)*(FundManager[Date]&lt;=N214)*FundManager[Amount Invested])
)</f>
        <v>#N/A</v>
      </c>
      <c r="Q214">
        <f>SUMIFS(FundManager[Units Held], FundManager[Ticker], $N$3, FundManager[Date], "&lt;=" &amp; N214)</f>
        <v>0</v>
      </c>
      <c r="R214" s="20">
        <f t="shared" ca="1" si="3"/>
        <v>0</v>
      </c>
    </row>
    <row r="215" spans="16:18" x14ac:dyDescent="0.25">
      <c r="P215" s="20" t="e" cm="1">
        <f t="array" aca="1" ref="P215" ca="1">O215-IF(
  SUMPRODUCT((FundManager[Ticker]=$N$3)*(FundManager[Date]&lt;=N215)*FundManager[Amount Invested]) = 0,
  NA(),
  SUMPRODUCT((FundManager[Ticker]=$N$3)*(FundManager[Date]&lt;=N215)*(FundManager[Entry Price]*FundManager[Amount Invested])) /
  SUMPRODUCT((FundManager[Ticker]=$N$3)*(FundManager[Date]&lt;=N215)*FundManager[Amount Invested])
)</f>
        <v>#N/A</v>
      </c>
      <c r="Q215">
        <f>SUMIFS(FundManager[Units Held], FundManager[Ticker], $N$3, FundManager[Date], "&lt;=" &amp; N215)</f>
        <v>0</v>
      </c>
      <c r="R215" s="20">
        <f t="shared" ca="1" si="3"/>
        <v>0</v>
      </c>
    </row>
    <row r="216" spans="16:18" x14ac:dyDescent="0.25">
      <c r="P216" s="20" t="e" cm="1">
        <f t="array" aca="1" ref="P216" ca="1">O216-IF(
  SUMPRODUCT((FundManager[Ticker]=$N$3)*(FundManager[Date]&lt;=N216)*FundManager[Amount Invested]) = 0,
  NA(),
  SUMPRODUCT((FundManager[Ticker]=$N$3)*(FundManager[Date]&lt;=N216)*(FundManager[Entry Price]*FundManager[Amount Invested])) /
  SUMPRODUCT((FundManager[Ticker]=$N$3)*(FundManager[Date]&lt;=N216)*FundManager[Amount Invested])
)</f>
        <v>#N/A</v>
      </c>
      <c r="Q216">
        <f>SUMIFS(FundManager[Units Held], FundManager[Ticker], $N$3, FundManager[Date], "&lt;=" &amp; N216)</f>
        <v>0</v>
      </c>
      <c r="R216" s="20">
        <f t="shared" ca="1" si="3"/>
        <v>0</v>
      </c>
    </row>
    <row r="217" spans="16:18" x14ac:dyDescent="0.25">
      <c r="P217" s="20" t="e" cm="1">
        <f t="array" aca="1" ref="P217" ca="1">O217-IF(
  SUMPRODUCT((FundManager[Ticker]=$N$3)*(FundManager[Date]&lt;=N217)*FundManager[Amount Invested]) = 0,
  NA(),
  SUMPRODUCT((FundManager[Ticker]=$N$3)*(FundManager[Date]&lt;=N217)*(FundManager[Entry Price]*FundManager[Amount Invested])) /
  SUMPRODUCT((FundManager[Ticker]=$N$3)*(FundManager[Date]&lt;=N217)*FundManager[Amount Invested])
)</f>
        <v>#N/A</v>
      </c>
      <c r="Q217">
        <f ca="1">SUMIFS(FundManager[Units Held], FundManager[Ticker], $N$3, FundManager[Date], "&lt;=" &amp; N217)</f>
        <v>0</v>
      </c>
      <c r="R217" s="20">
        <f t="shared" ca="1" si="3"/>
        <v>0</v>
      </c>
    </row>
    <row r="218" spans="16:18" x14ac:dyDescent="0.25">
      <c r="P218" s="20" t="e" cm="1">
        <f t="array" aca="1" ref="P218" ca="1">O218-IF(
  SUMPRODUCT((FundManager[Ticker]=$N$3)*(FundManager[Date]&lt;=N218)*FundManager[Amount Invested]) = 0,
  NA(),
  SUMPRODUCT((FundManager[Ticker]=$N$3)*(FundManager[Date]&lt;=N218)*(FundManager[Entry Price]*FundManager[Amount Invested])) /
  SUMPRODUCT((FundManager[Ticker]=$N$3)*(FundManager[Date]&lt;=N218)*FundManager[Amount Invested])
)</f>
        <v>#N/A</v>
      </c>
      <c r="Q218">
        <f>SUMIFS(FundManager[Units Held], FundManager[Ticker], $N$3, FundManager[Date], "&lt;=" &amp; N218)</f>
        <v>0</v>
      </c>
      <c r="R218" s="20">
        <f t="shared" ca="1" si="3"/>
        <v>0</v>
      </c>
    </row>
    <row r="219" spans="16:18" x14ac:dyDescent="0.25">
      <c r="P219" s="20" t="e" cm="1">
        <f t="array" aca="1" ref="P219" ca="1">O219-IF(
  SUMPRODUCT((FundManager[Ticker]=$N$3)*(FundManager[Date]&lt;=N219)*FundManager[Amount Invested]) = 0,
  NA(),
  SUMPRODUCT((FundManager[Ticker]=$N$3)*(FundManager[Date]&lt;=N219)*(FundManager[Entry Price]*FundManager[Amount Invested])) /
  SUMPRODUCT((FundManager[Ticker]=$N$3)*(FundManager[Date]&lt;=N219)*FundManager[Amount Invested])
)</f>
        <v>#N/A</v>
      </c>
      <c r="Q219">
        <f>SUMIFS(FundManager[Units Held], FundManager[Ticker], $N$3, FundManager[Date], "&lt;=" &amp; N219)</f>
        <v>0</v>
      </c>
      <c r="R219" s="20">
        <f t="shared" ca="1" si="3"/>
        <v>0</v>
      </c>
    </row>
    <row r="220" spans="16:18" x14ac:dyDescent="0.25">
      <c r="P220" s="20" t="e" cm="1">
        <f t="array" aca="1" ref="P220" ca="1">O220-IF(
  SUMPRODUCT((FundManager[Ticker]=$N$3)*(FundManager[Date]&lt;=N220)*FundManager[Amount Invested]) = 0,
  NA(),
  SUMPRODUCT((FundManager[Ticker]=$N$3)*(FundManager[Date]&lt;=N220)*(FundManager[Entry Price]*FundManager[Amount Invested])) /
  SUMPRODUCT((FundManager[Ticker]=$N$3)*(FundManager[Date]&lt;=N220)*FundManager[Amount Invested])
)</f>
        <v>#N/A</v>
      </c>
      <c r="Q220">
        <f>SUMIFS(FundManager[Units Held], FundManager[Ticker], $N$3, FundManager[Date], "&lt;=" &amp; N220)</f>
        <v>0</v>
      </c>
      <c r="R220" s="20">
        <f t="shared" ca="1" si="3"/>
        <v>0</v>
      </c>
    </row>
    <row r="221" spans="16:18" x14ac:dyDescent="0.25">
      <c r="P221" s="20" t="e" cm="1">
        <f t="array" aca="1" ref="P221" ca="1">O221-IF(
  SUMPRODUCT((FundManager[Ticker]=$N$3)*(FundManager[Date]&lt;=N221)*FundManager[Amount Invested]) = 0,
  NA(),
  SUMPRODUCT((FundManager[Ticker]=$N$3)*(FundManager[Date]&lt;=N221)*(FundManager[Entry Price]*FundManager[Amount Invested])) /
  SUMPRODUCT((FundManager[Ticker]=$N$3)*(FundManager[Date]&lt;=N221)*FundManager[Amount Invested])
)</f>
        <v>#N/A</v>
      </c>
      <c r="Q221">
        <f>SUMIFS(FundManager[Units Held], FundManager[Ticker], $N$3, FundManager[Date], "&lt;=" &amp; N221)</f>
        <v>0</v>
      </c>
      <c r="R221" s="20">
        <f t="shared" ca="1" si="3"/>
        <v>0</v>
      </c>
    </row>
    <row r="222" spans="16:18" x14ac:dyDescent="0.25">
      <c r="P222" s="20" t="e" cm="1">
        <f t="array" aca="1" ref="P222" ca="1">O222-IF(
  SUMPRODUCT((FundManager[Ticker]=$N$3)*(FundManager[Date]&lt;=N222)*FundManager[Amount Invested]) = 0,
  NA(),
  SUMPRODUCT((FundManager[Ticker]=$N$3)*(FundManager[Date]&lt;=N222)*(FundManager[Entry Price]*FundManager[Amount Invested])) /
  SUMPRODUCT((FundManager[Ticker]=$N$3)*(FundManager[Date]&lt;=N222)*FundManager[Amount Invested])
)</f>
        <v>#N/A</v>
      </c>
      <c r="Q222">
        <f>SUMIFS(FundManager[Units Held], FundManager[Ticker], $N$3, FundManager[Date], "&lt;=" &amp; N222)</f>
        <v>0</v>
      </c>
      <c r="R222" s="20">
        <f t="shared" ca="1" si="3"/>
        <v>0</v>
      </c>
    </row>
    <row r="223" spans="16:18" x14ac:dyDescent="0.25">
      <c r="P223" s="20" t="e" cm="1">
        <f t="array" aca="1" ref="P223" ca="1">O223-IF(
  SUMPRODUCT((FundManager[Ticker]=$N$3)*(FundManager[Date]&lt;=N223)*FundManager[Amount Invested]) = 0,
  NA(),
  SUMPRODUCT((FundManager[Ticker]=$N$3)*(FundManager[Date]&lt;=N223)*(FundManager[Entry Price]*FundManager[Amount Invested])) /
  SUMPRODUCT((FundManager[Ticker]=$N$3)*(FundManager[Date]&lt;=N223)*FundManager[Amount Invested])
)</f>
        <v>#N/A</v>
      </c>
      <c r="Q223">
        <f>SUMIFS(FundManager[Units Held], FundManager[Ticker], $N$3, FundManager[Date], "&lt;=" &amp; N223)</f>
        <v>0</v>
      </c>
      <c r="R223" s="20">
        <f t="shared" ca="1" si="3"/>
        <v>0</v>
      </c>
    </row>
    <row r="224" spans="16:18" x14ac:dyDescent="0.25">
      <c r="P224" s="20" t="e" cm="1">
        <f t="array" aca="1" ref="P224" ca="1">O224-IF(
  SUMPRODUCT((FundManager[Ticker]=$N$3)*(FundManager[Date]&lt;=N224)*FundManager[Amount Invested]) = 0,
  NA(),
  SUMPRODUCT((FundManager[Ticker]=$N$3)*(FundManager[Date]&lt;=N224)*(FundManager[Entry Price]*FundManager[Amount Invested])) /
  SUMPRODUCT((FundManager[Ticker]=$N$3)*(FundManager[Date]&lt;=N224)*FundManager[Amount Invested])
)</f>
        <v>#N/A</v>
      </c>
      <c r="Q224">
        <f>SUMIFS(FundManager[Units Held], FundManager[Ticker], $N$3, FundManager[Date], "&lt;=" &amp; N224)</f>
        <v>0</v>
      </c>
      <c r="R224" s="20">
        <f t="shared" ca="1" si="3"/>
        <v>0</v>
      </c>
    </row>
    <row r="225" spans="16:18" x14ac:dyDescent="0.25">
      <c r="P225" s="20" t="e" cm="1">
        <f t="array" aca="1" ref="P225" ca="1">O225-IF(
  SUMPRODUCT((FundManager[Ticker]=$N$3)*(FundManager[Date]&lt;=N225)*FundManager[Amount Invested]) = 0,
  NA(),
  SUMPRODUCT((FundManager[Ticker]=$N$3)*(FundManager[Date]&lt;=N225)*(FundManager[Entry Price]*FundManager[Amount Invested])) /
  SUMPRODUCT((FundManager[Ticker]=$N$3)*(FundManager[Date]&lt;=N225)*FundManager[Amount Invested])
)</f>
        <v>#N/A</v>
      </c>
      <c r="Q225">
        <f>SUMIFS(FundManager[Units Held], FundManager[Ticker], $N$3, FundManager[Date], "&lt;=" &amp; N225)</f>
        <v>0</v>
      </c>
      <c r="R225" s="20">
        <f t="shared" ca="1" si="3"/>
        <v>0</v>
      </c>
    </row>
    <row r="226" spans="16:18" x14ac:dyDescent="0.25">
      <c r="P226" s="20" t="e" cm="1">
        <f t="array" aca="1" ref="P226" ca="1">O226-IF(
  SUMPRODUCT((FundManager[Ticker]=$N$3)*(FundManager[Date]&lt;=N226)*FundManager[Amount Invested]) = 0,
  NA(),
  SUMPRODUCT((FundManager[Ticker]=$N$3)*(FundManager[Date]&lt;=N226)*(FundManager[Entry Price]*FundManager[Amount Invested])) /
  SUMPRODUCT((FundManager[Ticker]=$N$3)*(FundManager[Date]&lt;=N226)*FundManager[Amount Invested])
)</f>
        <v>#N/A</v>
      </c>
      <c r="Q226">
        <f>SUMIFS(FundManager[Units Held], FundManager[Ticker], $N$3, FundManager[Date], "&lt;=" &amp; N226)</f>
        <v>0</v>
      </c>
      <c r="R226" s="20">
        <f t="shared" ca="1" si="3"/>
        <v>0</v>
      </c>
    </row>
    <row r="227" spans="16:18" x14ac:dyDescent="0.25">
      <c r="P227" s="20" t="e" cm="1">
        <f t="array" aca="1" ref="P227" ca="1">O227-IF(
  SUMPRODUCT((FundManager[Ticker]=$N$3)*(FundManager[Date]&lt;=N227)*FundManager[Amount Invested]) = 0,
  NA(),
  SUMPRODUCT((FundManager[Ticker]=$N$3)*(FundManager[Date]&lt;=N227)*(FundManager[Entry Price]*FundManager[Amount Invested])) /
  SUMPRODUCT((FundManager[Ticker]=$N$3)*(FundManager[Date]&lt;=N227)*FundManager[Amount Invested])
)</f>
        <v>#N/A</v>
      </c>
      <c r="Q227">
        <f>SUMIFS(FundManager[Units Held], FundManager[Ticker], $N$3, FundManager[Date], "&lt;=" &amp; N227)</f>
        <v>0</v>
      </c>
      <c r="R227" s="20">
        <f t="shared" ca="1" si="3"/>
        <v>0</v>
      </c>
    </row>
    <row r="228" spans="16:18" x14ac:dyDescent="0.25">
      <c r="P228" s="20" t="e" cm="1">
        <f t="array" aca="1" ref="P228" ca="1">O228-IF(
  SUMPRODUCT((FundManager[Ticker]=$N$3)*(FundManager[Date]&lt;=N228)*FundManager[Amount Invested]) = 0,
  NA(),
  SUMPRODUCT((FundManager[Ticker]=$N$3)*(FundManager[Date]&lt;=N228)*(FundManager[Entry Price]*FundManager[Amount Invested])) /
  SUMPRODUCT((FundManager[Ticker]=$N$3)*(FundManager[Date]&lt;=N228)*FundManager[Amount Invested])
)</f>
        <v>#N/A</v>
      </c>
      <c r="Q228">
        <f>SUMIFS(FundManager[Units Held], FundManager[Ticker], $N$3, FundManager[Date], "&lt;=" &amp; N228)</f>
        <v>0</v>
      </c>
      <c r="R228" s="20">
        <f t="shared" ca="1" si="3"/>
        <v>0</v>
      </c>
    </row>
    <row r="229" spans="16:18" x14ac:dyDescent="0.25">
      <c r="P229" s="20" t="e" cm="1">
        <f t="array" aca="1" ref="P229" ca="1">O229-IF(
  SUMPRODUCT((FundManager[Ticker]=$N$3)*(FundManager[Date]&lt;=N229)*FundManager[Amount Invested]) = 0,
  NA(),
  SUMPRODUCT((FundManager[Ticker]=$N$3)*(FundManager[Date]&lt;=N229)*(FundManager[Entry Price]*FundManager[Amount Invested])) /
  SUMPRODUCT((FundManager[Ticker]=$N$3)*(FundManager[Date]&lt;=N229)*FundManager[Amount Invested])
)</f>
        <v>#N/A</v>
      </c>
      <c r="Q229">
        <f>SUMIFS(FundManager[Units Held], FundManager[Ticker], $N$3, FundManager[Date], "&lt;=" &amp; N229)</f>
        <v>0</v>
      </c>
      <c r="R229" s="20">
        <f t="shared" ca="1" si="3"/>
        <v>0</v>
      </c>
    </row>
    <row r="230" spans="16:18" x14ac:dyDescent="0.25">
      <c r="P230" s="20" t="e" cm="1">
        <f t="array" aca="1" ref="P230" ca="1">O230-IF(
  SUMPRODUCT((FundManager[Ticker]=$N$3)*(FundManager[Date]&lt;=N230)*FundManager[Amount Invested]) = 0,
  NA(),
  SUMPRODUCT((FundManager[Ticker]=$N$3)*(FundManager[Date]&lt;=N230)*(FundManager[Entry Price]*FundManager[Amount Invested])) /
  SUMPRODUCT((FundManager[Ticker]=$N$3)*(FundManager[Date]&lt;=N230)*FundManager[Amount Invested])
)</f>
        <v>#N/A</v>
      </c>
      <c r="Q230">
        <f>SUMIFS(FundManager[Units Held], FundManager[Ticker], $N$3, FundManager[Date], "&lt;=" &amp; N230)</f>
        <v>0</v>
      </c>
      <c r="R230" s="20">
        <f t="shared" ca="1" si="3"/>
        <v>0</v>
      </c>
    </row>
    <row r="231" spans="16:18" x14ac:dyDescent="0.25">
      <c r="P231" s="20" t="e" cm="1">
        <f t="array" aca="1" ref="P231" ca="1">O231-IF(
  SUMPRODUCT((FundManager[Ticker]=$N$3)*(FundManager[Date]&lt;=N231)*FundManager[Amount Invested]) = 0,
  NA(),
  SUMPRODUCT((FundManager[Ticker]=$N$3)*(FundManager[Date]&lt;=N231)*(FundManager[Entry Price]*FundManager[Amount Invested])) /
  SUMPRODUCT((FundManager[Ticker]=$N$3)*(FundManager[Date]&lt;=N231)*FundManager[Amount Invested])
)</f>
        <v>#N/A</v>
      </c>
      <c r="Q231">
        <f>SUMIFS(FundManager[Units Held], FundManager[Ticker], $N$3, FundManager[Date], "&lt;=" &amp; N231)</f>
        <v>0</v>
      </c>
      <c r="R231" s="20">
        <f t="shared" ca="1" si="3"/>
        <v>0</v>
      </c>
    </row>
    <row r="232" spans="16:18" x14ac:dyDescent="0.25">
      <c r="P232" s="20" t="e" cm="1">
        <f t="array" aca="1" ref="P232" ca="1">O232-IF(
  SUMPRODUCT((FundManager[Ticker]=$N$3)*(FundManager[Date]&lt;=N232)*FundManager[Amount Invested]) = 0,
  NA(),
  SUMPRODUCT((FundManager[Ticker]=$N$3)*(FundManager[Date]&lt;=N232)*(FundManager[Entry Price]*FundManager[Amount Invested])) /
  SUMPRODUCT((FundManager[Ticker]=$N$3)*(FundManager[Date]&lt;=N232)*FundManager[Amount Invested])
)</f>
        <v>#N/A</v>
      </c>
      <c r="Q232">
        <f>SUMIFS(FundManager[Units Held], FundManager[Ticker], $N$3, FundManager[Date], "&lt;=" &amp; N232)</f>
        <v>0</v>
      </c>
      <c r="R232" s="20">
        <f t="shared" ca="1" si="3"/>
        <v>0</v>
      </c>
    </row>
    <row r="233" spans="16:18" x14ac:dyDescent="0.25">
      <c r="P233" s="20" t="e" cm="1">
        <f t="array" aca="1" ref="P233" ca="1">O233-IF(
  SUMPRODUCT((FundManager[Ticker]=$N$3)*(FundManager[Date]&lt;=N233)*FundManager[Amount Invested]) = 0,
  NA(),
  SUMPRODUCT((FundManager[Ticker]=$N$3)*(FundManager[Date]&lt;=N233)*(FundManager[Entry Price]*FundManager[Amount Invested])) /
  SUMPRODUCT((FundManager[Ticker]=$N$3)*(FundManager[Date]&lt;=N233)*FundManager[Amount Invested])
)</f>
        <v>#N/A</v>
      </c>
      <c r="Q233">
        <f>SUMIFS(FundManager[Units Held], FundManager[Ticker], $N$3, FundManager[Date], "&lt;=" &amp; N233)</f>
        <v>0</v>
      </c>
      <c r="R233" s="20">
        <f t="shared" ca="1" si="3"/>
        <v>0</v>
      </c>
    </row>
    <row r="234" spans="16:18" x14ac:dyDescent="0.25">
      <c r="P234" s="20" t="e" cm="1">
        <f t="array" aca="1" ref="P234" ca="1">O234-IF(
  SUMPRODUCT((FundManager[Ticker]=$N$3)*(FundManager[Date]&lt;=N234)*FundManager[Amount Invested]) = 0,
  NA(),
  SUMPRODUCT((FundManager[Ticker]=$N$3)*(FundManager[Date]&lt;=N234)*(FundManager[Entry Price]*FundManager[Amount Invested])) /
  SUMPRODUCT((FundManager[Ticker]=$N$3)*(FundManager[Date]&lt;=N234)*FundManager[Amount Invested])
)</f>
        <v>#N/A</v>
      </c>
      <c r="Q234">
        <f>SUMIFS(FundManager[Units Held], FundManager[Ticker], $N$3, FundManager[Date], "&lt;=" &amp; N234)</f>
        <v>0</v>
      </c>
      <c r="R234" s="20">
        <f t="shared" ca="1" si="3"/>
        <v>0</v>
      </c>
    </row>
    <row r="235" spans="16:18" x14ac:dyDescent="0.25">
      <c r="P235" s="20" t="e" cm="1">
        <f t="array" aca="1" ref="P235" ca="1">O235-IF(
  SUMPRODUCT((FundManager[Ticker]=$N$3)*(FundManager[Date]&lt;=N235)*FundManager[Amount Invested]) = 0,
  NA(),
  SUMPRODUCT((FundManager[Ticker]=$N$3)*(FundManager[Date]&lt;=N235)*(FundManager[Entry Price]*FundManager[Amount Invested])) /
  SUMPRODUCT((FundManager[Ticker]=$N$3)*(FundManager[Date]&lt;=N235)*FundManager[Amount Invested])
)</f>
        <v>#N/A</v>
      </c>
      <c r="Q235">
        <f>SUMIFS(FundManager[Units Held], FundManager[Ticker], $N$3, FundManager[Date], "&lt;=" &amp; N235)</f>
        <v>0</v>
      </c>
      <c r="R235" s="20">
        <f t="shared" ca="1" si="3"/>
        <v>0</v>
      </c>
    </row>
    <row r="236" spans="16:18" x14ac:dyDescent="0.25">
      <c r="P236" s="20" t="e" cm="1">
        <f t="array" aca="1" ref="P236" ca="1">O236-IF(
  SUMPRODUCT((FundManager[Ticker]=$N$3)*(FundManager[Date]&lt;=N236)*FundManager[Amount Invested]) = 0,
  NA(),
  SUMPRODUCT((FundManager[Ticker]=$N$3)*(FundManager[Date]&lt;=N236)*(FundManager[Entry Price]*FundManager[Amount Invested])) /
  SUMPRODUCT((FundManager[Ticker]=$N$3)*(FundManager[Date]&lt;=N236)*FundManager[Amount Invested])
)</f>
        <v>#N/A</v>
      </c>
      <c r="Q236">
        <f>SUMIFS(FundManager[Units Held], FundManager[Ticker], $N$3, FundManager[Date], "&lt;=" &amp; N236)</f>
        <v>0</v>
      </c>
      <c r="R236" s="20">
        <f t="shared" ca="1" si="3"/>
        <v>0</v>
      </c>
    </row>
    <row r="237" spans="16:18" x14ac:dyDescent="0.25">
      <c r="P237" s="20" t="e" cm="1">
        <f t="array" aca="1" ref="P237" ca="1">O237-IF(
  SUMPRODUCT((FundManager[Ticker]=$N$3)*(FundManager[Date]&lt;=N237)*FundManager[Amount Invested]) = 0,
  NA(),
  SUMPRODUCT((FundManager[Ticker]=$N$3)*(FundManager[Date]&lt;=N237)*(FundManager[Entry Price]*FundManager[Amount Invested])) /
  SUMPRODUCT((FundManager[Ticker]=$N$3)*(FundManager[Date]&lt;=N237)*FundManager[Amount Invested])
)</f>
        <v>#N/A</v>
      </c>
      <c r="Q237">
        <f>SUMIFS(FundManager[Units Held], FundManager[Ticker], $N$3, FundManager[Date], "&lt;=" &amp; N237)</f>
        <v>0</v>
      </c>
      <c r="R237" s="20">
        <f t="shared" ca="1" si="3"/>
        <v>0</v>
      </c>
    </row>
    <row r="238" spans="16:18" x14ac:dyDescent="0.25">
      <c r="P238" s="20" t="e" cm="1">
        <f t="array" aca="1" ref="P238" ca="1">O238-IF(
  SUMPRODUCT((FundManager[Ticker]=$N$3)*(FundManager[Date]&lt;=N238)*FundManager[Amount Invested]) = 0,
  NA(),
  SUMPRODUCT((FundManager[Ticker]=$N$3)*(FundManager[Date]&lt;=N238)*(FundManager[Entry Price]*FundManager[Amount Invested])) /
  SUMPRODUCT((FundManager[Ticker]=$N$3)*(FundManager[Date]&lt;=N238)*FundManager[Amount Invested])
)</f>
        <v>#N/A</v>
      </c>
      <c r="Q238">
        <f>SUMIFS(FundManager[Units Held], FundManager[Ticker], $N$3, FundManager[Date], "&lt;=" &amp; N238)</f>
        <v>0</v>
      </c>
      <c r="R238" s="20">
        <f t="shared" ca="1" si="3"/>
        <v>0</v>
      </c>
    </row>
    <row r="239" spans="16:18" x14ac:dyDescent="0.25">
      <c r="P239" s="20" t="e" cm="1">
        <f t="array" aca="1" ref="P239" ca="1">O239-IF(
  SUMPRODUCT((FundManager[Ticker]=$N$3)*(FundManager[Date]&lt;=N239)*FundManager[Amount Invested]) = 0,
  NA(),
  SUMPRODUCT((FundManager[Ticker]=$N$3)*(FundManager[Date]&lt;=N239)*(FundManager[Entry Price]*FundManager[Amount Invested])) /
  SUMPRODUCT((FundManager[Ticker]=$N$3)*(FundManager[Date]&lt;=N239)*FundManager[Amount Invested])
)</f>
        <v>#N/A</v>
      </c>
      <c r="Q239">
        <f>SUMIFS(FundManager[Units Held], FundManager[Ticker], $N$3, FundManager[Date], "&lt;=" &amp; N239)</f>
        <v>0</v>
      </c>
      <c r="R239" s="20">
        <f t="shared" ca="1" si="3"/>
        <v>0</v>
      </c>
    </row>
    <row r="240" spans="16:18" x14ac:dyDescent="0.25">
      <c r="P240" s="20" t="e" cm="1">
        <f t="array" aca="1" ref="P240" ca="1">O240-IF(
  SUMPRODUCT((FundManager[Ticker]=$N$3)*(FundManager[Date]&lt;=N240)*FundManager[Amount Invested]) = 0,
  NA(),
  SUMPRODUCT((FundManager[Ticker]=$N$3)*(FundManager[Date]&lt;=N240)*(FundManager[Entry Price]*FundManager[Amount Invested])) /
  SUMPRODUCT((FundManager[Ticker]=$N$3)*(FundManager[Date]&lt;=N240)*FundManager[Amount Invested])
)</f>
        <v>#N/A</v>
      </c>
      <c r="Q240">
        <f>SUMIFS(FundManager[Units Held], FundManager[Ticker], $N$3, FundManager[Date], "&lt;=" &amp; N240)</f>
        <v>0</v>
      </c>
      <c r="R240" s="20">
        <f t="shared" ca="1" si="3"/>
        <v>0</v>
      </c>
    </row>
    <row r="241" spans="16:18" x14ac:dyDescent="0.25">
      <c r="P241" s="20" t="e" cm="1">
        <f t="array" aca="1" ref="P241" ca="1">O241-IF(
  SUMPRODUCT((FundManager[Ticker]=$N$3)*(FundManager[Date]&lt;=N241)*FundManager[Amount Invested]) = 0,
  NA(),
  SUMPRODUCT((FundManager[Ticker]=$N$3)*(FundManager[Date]&lt;=N241)*(FundManager[Entry Price]*FundManager[Amount Invested])) /
  SUMPRODUCT((FundManager[Ticker]=$N$3)*(FundManager[Date]&lt;=N241)*FundManager[Amount Invested])
)</f>
        <v>#N/A</v>
      </c>
      <c r="Q241">
        <f>SUMIFS(FundManager[Units Held], FundManager[Ticker], $N$3, FundManager[Date], "&lt;=" &amp; N241)</f>
        <v>0</v>
      </c>
      <c r="R241" s="20">
        <f t="shared" ca="1" si="3"/>
        <v>0</v>
      </c>
    </row>
    <row r="242" spans="16:18" x14ac:dyDescent="0.25">
      <c r="P242" s="20" t="e" cm="1">
        <f t="array" aca="1" ref="P242" ca="1">O242-IF(
  SUMPRODUCT((FundManager[Ticker]=$N$3)*(FundManager[Date]&lt;=N242)*FundManager[Amount Invested]) = 0,
  NA(),
  SUMPRODUCT((FundManager[Ticker]=$N$3)*(FundManager[Date]&lt;=N242)*(FundManager[Entry Price]*FundManager[Amount Invested])) /
  SUMPRODUCT((FundManager[Ticker]=$N$3)*(FundManager[Date]&lt;=N242)*FundManager[Amount Invested])
)</f>
        <v>#N/A</v>
      </c>
      <c r="Q242">
        <f>SUMIFS(FundManager[Units Held], FundManager[Ticker], $N$3, FundManager[Date], "&lt;=" &amp; N242)</f>
        <v>0</v>
      </c>
      <c r="R242" s="20">
        <f t="shared" ca="1" si="3"/>
        <v>0</v>
      </c>
    </row>
    <row r="243" spans="16:18" x14ac:dyDescent="0.25">
      <c r="P243" s="20" t="e" cm="1">
        <f t="array" aca="1" ref="P243" ca="1">O243-IF(
  SUMPRODUCT((FundManager[Ticker]=$N$3)*(FundManager[Date]&lt;=N243)*FundManager[Amount Invested]) = 0,
  NA(),
  SUMPRODUCT((FundManager[Ticker]=$N$3)*(FundManager[Date]&lt;=N243)*(FundManager[Entry Price]*FundManager[Amount Invested])) /
  SUMPRODUCT((FundManager[Ticker]=$N$3)*(FundManager[Date]&lt;=N243)*FundManager[Amount Invested])
)</f>
        <v>#N/A</v>
      </c>
      <c r="Q243">
        <f>SUMIFS(FundManager[Units Held], FundManager[Ticker], $N$3, FundManager[Date], "&lt;=" &amp; N243)</f>
        <v>0</v>
      </c>
      <c r="R243" s="20">
        <f t="shared" ca="1" si="3"/>
        <v>0</v>
      </c>
    </row>
    <row r="244" spans="16:18" x14ac:dyDescent="0.25">
      <c r="P244" s="20" t="e" cm="1">
        <f t="array" aca="1" ref="P244" ca="1">O244-IF(
  SUMPRODUCT((FundManager[Ticker]=$N$3)*(FundManager[Date]&lt;=N244)*FundManager[Amount Invested]) = 0,
  NA(),
  SUMPRODUCT((FundManager[Ticker]=$N$3)*(FundManager[Date]&lt;=N244)*(FundManager[Entry Price]*FundManager[Amount Invested])) /
  SUMPRODUCT((FundManager[Ticker]=$N$3)*(FundManager[Date]&lt;=N244)*FundManager[Amount Invested])
)</f>
        <v>#N/A</v>
      </c>
      <c r="Q244">
        <f>SUMIFS(FundManager[Units Held], FundManager[Ticker], $N$3, FundManager[Date], "&lt;=" &amp; N244)</f>
        <v>0</v>
      </c>
      <c r="R244" s="20">
        <f t="shared" ca="1" si="3"/>
        <v>0</v>
      </c>
    </row>
    <row r="245" spans="16:18" x14ac:dyDescent="0.25">
      <c r="P245" s="20" t="e" cm="1">
        <f t="array" aca="1" ref="P245" ca="1">O245-IF(
  SUMPRODUCT((FundManager[Ticker]=$N$3)*(FundManager[Date]&lt;=N245)*FundManager[Amount Invested]) = 0,
  NA(),
  SUMPRODUCT((FundManager[Ticker]=$N$3)*(FundManager[Date]&lt;=N245)*(FundManager[Entry Price]*FundManager[Amount Invested])) /
  SUMPRODUCT((FundManager[Ticker]=$N$3)*(FundManager[Date]&lt;=N245)*FundManager[Amount Invested])
)</f>
        <v>#N/A</v>
      </c>
      <c r="Q245">
        <f>SUMIFS(FundManager[Units Held], FundManager[Ticker], $N$3, FundManager[Date], "&lt;=" &amp; N245)</f>
        <v>0</v>
      </c>
      <c r="R245" s="20">
        <f t="shared" ca="1" si="3"/>
        <v>0</v>
      </c>
    </row>
    <row r="246" spans="16:18" x14ac:dyDescent="0.25">
      <c r="P246" s="20" t="e" cm="1">
        <f t="array" aca="1" ref="P246" ca="1">O246-IF(
  SUMPRODUCT((FundManager[Ticker]=$N$3)*(FundManager[Date]&lt;=N246)*FundManager[Amount Invested]) = 0,
  NA(),
  SUMPRODUCT((FundManager[Ticker]=$N$3)*(FundManager[Date]&lt;=N246)*(FundManager[Entry Price]*FundManager[Amount Invested])) /
  SUMPRODUCT((FundManager[Ticker]=$N$3)*(FundManager[Date]&lt;=N246)*FundManager[Amount Invested])
)</f>
        <v>#N/A</v>
      </c>
      <c r="Q246">
        <f>SUMIFS(FundManager[Units Held], FundManager[Ticker], $N$3, FundManager[Date], "&lt;=" &amp; N246)</f>
        <v>0</v>
      </c>
      <c r="R246" s="20">
        <f t="shared" ca="1" si="3"/>
        <v>0</v>
      </c>
    </row>
    <row r="247" spans="16:18" x14ac:dyDescent="0.25">
      <c r="P247" s="20" t="e" cm="1">
        <f t="array" aca="1" ref="P247" ca="1">O247-IF(
  SUMPRODUCT((FundManager[Ticker]=$N$3)*(FundManager[Date]&lt;=N247)*FundManager[Amount Invested]) = 0,
  NA(),
  SUMPRODUCT((FundManager[Ticker]=$N$3)*(FundManager[Date]&lt;=N247)*(FundManager[Entry Price]*FundManager[Amount Invested])) /
  SUMPRODUCT((FundManager[Ticker]=$N$3)*(FundManager[Date]&lt;=N247)*FundManager[Amount Invested])
)</f>
        <v>#N/A</v>
      </c>
      <c r="Q247">
        <f>SUMIFS(FundManager[Units Held], FundManager[Ticker], $N$3, FundManager[Date], "&lt;=" &amp; N247)</f>
        <v>0</v>
      </c>
      <c r="R247" s="20">
        <f t="shared" ca="1" si="3"/>
        <v>0</v>
      </c>
    </row>
    <row r="248" spans="16:18" x14ac:dyDescent="0.25">
      <c r="P248" s="20" t="e" cm="1">
        <f t="array" aca="1" ref="P248" ca="1">O248-IF(
  SUMPRODUCT((FundManager[Ticker]=$N$3)*(FundManager[Date]&lt;=N248)*FundManager[Amount Invested]) = 0,
  NA(),
  SUMPRODUCT((FundManager[Ticker]=$N$3)*(FundManager[Date]&lt;=N248)*(FundManager[Entry Price]*FundManager[Amount Invested])) /
  SUMPRODUCT((FundManager[Ticker]=$N$3)*(FundManager[Date]&lt;=N248)*FundManager[Amount Invested])
)</f>
        <v>#N/A</v>
      </c>
      <c r="Q248">
        <f>SUMIFS(FundManager[Units Held], FundManager[Ticker], $N$3, FundManager[Date], "&lt;=" &amp; N248)</f>
        <v>0</v>
      </c>
      <c r="R248" s="20">
        <f t="shared" ca="1" si="3"/>
        <v>0</v>
      </c>
    </row>
    <row r="249" spans="16:18" x14ac:dyDescent="0.25">
      <c r="P249" s="20" t="e" cm="1">
        <f t="array" aca="1" ref="P249" ca="1">O249-IF(
  SUMPRODUCT((FundManager[Ticker]=$N$3)*(FundManager[Date]&lt;=N249)*FundManager[Amount Invested]) = 0,
  NA(),
  SUMPRODUCT((FundManager[Ticker]=$N$3)*(FundManager[Date]&lt;=N249)*(FundManager[Entry Price]*FundManager[Amount Invested])) /
  SUMPRODUCT((FundManager[Ticker]=$N$3)*(FundManager[Date]&lt;=N249)*FundManager[Amount Invested])
)</f>
        <v>#N/A</v>
      </c>
      <c r="Q249">
        <f>SUMIFS(FundManager[Units Held], FundManager[Ticker], $N$3, FundManager[Date], "&lt;=" &amp; N249)</f>
        <v>0</v>
      </c>
      <c r="R249" s="20">
        <f t="shared" ca="1" si="3"/>
        <v>0</v>
      </c>
    </row>
    <row r="250" spans="16:18" x14ac:dyDescent="0.25">
      <c r="P250" s="20" t="e" cm="1">
        <f t="array" aca="1" ref="P250" ca="1">O250-IF(
  SUMPRODUCT((FundManager[Ticker]=$N$3)*(FundManager[Date]&lt;=N250)*FundManager[Amount Invested]) = 0,
  NA(),
  SUMPRODUCT((FundManager[Ticker]=$N$3)*(FundManager[Date]&lt;=N250)*(FundManager[Entry Price]*FundManager[Amount Invested])) /
  SUMPRODUCT((FundManager[Ticker]=$N$3)*(FundManager[Date]&lt;=N250)*FundManager[Amount Invested])
)</f>
        <v>#N/A</v>
      </c>
      <c r="Q250">
        <f>SUMIFS(FundManager[Units Held], FundManager[Ticker], $N$3, FundManager[Date], "&lt;=" &amp; N250)</f>
        <v>0</v>
      </c>
      <c r="R250" s="20">
        <f t="shared" ca="1" si="3"/>
        <v>0</v>
      </c>
    </row>
    <row r="251" spans="16:18" x14ac:dyDescent="0.25">
      <c r="P251" s="20" t="e" cm="1">
        <f t="array" aca="1" ref="P251" ca="1">O251-IF(
  SUMPRODUCT((FundManager[Ticker]=$N$3)*(FundManager[Date]&lt;=N251)*FundManager[Amount Invested]) = 0,
  NA(),
  SUMPRODUCT((FundManager[Ticker]=$N$3)*(FundManager[Date]&lt;=N251)*(FundManager[Entry Price]*FundManager[Amount Invested])) /
  SUMPRODUCT((FundManager[Ticker]=$N$3)*(FundManager[Date]&lt;=N251)*FundManager[Amount Invested])
)</f>
        <v>#N/A</v>
      </c>
      <c r="Q251">
        <f>SUMIFS(FundManager[Units Held], FundManager[Ticker], $N$3, FundManager[Date], "&lt;=" &amp; N251)</f>
        <v>0</v>
      </c>
      <c r="R251" s="20">
        <f t="shared" ca="1" si="3"/>
        <v>0</v>
      </c>
    </row>
    <row r="252" spans="16:18" x14ac:dyDescent="0.25">
      <c r="P252" s="20" t="e" cm="1">
        <f t="array" aca="1" ref="P252" ca="1">O252-IF(
  SUMPRODUCT((FundManager[Ticker]=$N$3)*(FundManager[Date]&lt;=N252)*FundManager[Amount Invested]) = 0,
  NA(),
  SUMPRODUCT((FundManager[Ticker]=$N$3)*(FundManager[Date]&lt;=N252)*(FundManager[Entry Price]*FundManager[Amount Invested])) /
  SUMPRODUCT((FundManager[Ticker]=$N$3)*(FundManager[Date]&lt;=N252)*FundManager[Amount Invested])
)</f>
        <v>#N/A</v>
      </c>
      <c r="Q252">
        <f>SUMIFS(FundManager[Units Held], FundManager[Ticker], $N$3, FundManager[Date], "&lt;=" &amp; N252)</f>
        <v>0</v>
      </c>
      <c r="R252" s="20">
        <f t="shared" ca="1" si="3"/>
        <v>0</v>
      </c>
    </row>
    <row r="253" spans="16:18" x14ac:dyDescent="0.25">
      <c r="P253" s="20" t="e" cm="1">
        <f t="array" aca="1" ref="P253" ca="1">O253-IF(
  SUMPRODUCT((FundManager[Ticker]=$N$3)*(FundManager[Date]&lt;=N253)*FundManager[Amount Invested]) = 0,
  NA(),
  SUMPRODUCT((FundManager[Ticker]=$N$3)*(FundManager[Date]&lt;=N253)*(FundManager[Entry Price]*FundManager[Amount Invested])) /
  SUMPRODUCT((FundManager[Ticker]=$N$3)*(FundManager[Date]&lt;=N253)*FundManager[Amount Invested])
)</f>
        <v>#N/A</v>
      </c>
      <c r="Q253">
        <f>SUMIFS(FundManager[Units Held], FundManager[Ticker], $N$3, FundManager[Date], "&lt;=" &amp; N253)</f>
        <v>0</v>
      </c>
      <c r="R253" s="20">
        <f t="shared" ca="1" si="3"/>
        <v>0</v>
      </c>
    </row>
    <row r="254" spans="16:18" x14ac:dyDescent="0.25">
      <c r="P254" s="20" t="e" cm="1">
        <f t="array" aca="1" ref="P254" ca="1">O254-IF(
  SUMPRODUCT((FundManager[Ticker]=$N$3)*(FundManager[Date]&lt;=N254)*FundManager[Amount Invested]) = 0,
  NA(),
  SUMPRODUCT((FundManager[Ticker]=$N$3)*(FundManager[Date]&lt;=N254)*(FundManager[Entry Price]*FundManager[Amount Invested])) /
  SUMPRODUCT((FundManager[Ticker]=$N$3)*(FundManager[Date]&lt;=N254)*FundManager[Amount Invested])
)</f>
        <v>#N/A</v>
      </c>
      <c r="Q254">
        <f>SUMIFS(FundManager[Units Held], FundManager[Ticker], $N$3, FundManager[Date], "&lt;=" &amp; N254)</f>
        <v>0</v>
      </c>
      <c r="R254" s="20">
        <f t="shared" ca="1" si="3"/>
        <v>0</v>
      </c>
    </row>
    <row r="255" spans="16:18" x14ac:dyDescent="0.25">
      <c r="P255" s="20" t="e" cm="1">
        <f t="array" aca="1" ref="P255" ca="1">O255-IF(
  SUMPRODUCT((FundManager[Ticker]=$N$3)*(FundManager[Date]&lt;=N255)*FundManager[Amount Invested]) = 0,
  NA(),
  SUMPRODUCT((FundManager[Ticker]=$N$3)*(FundManager[Date]&lt;=N255)*(FundManager[Entry Price]*FundManager[Amount Invested])) /
  SUMPRODUCT((FundManager[Ticker]=$N$3)*(FundManager[Date]&lt;=N255)*FundManager[Amount Invested])
)</f>
        <v>#N/A</v>
      </c>
      <c r="Q255">
        <f>SUMIFS(FundManager[Units Held], FundManager[Ticker], $N$3, FundManager[Date], "&lt;=" &amp; N255)</f>
        <v>0</v>
      </c>
      <c r="R255" s="20">
        <f t="shared" ca="1" si="3"/>
        <v>0</v>
      </c>
    </row>
  </sheetData>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ACEB25-63DB-4A97-84DE-0AFCE343CD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Query1</vt:lpstr>
      <vt:lpstr>Manual</vt:lpstr>
      <vt:lpstr>Entries</vt:lpstr>
      <vt:lpstr>Calculations</vt:lpstr>
      <vt:lpstr>Dashboard</vt:lpstr>
      <vt:lpstr>Rough but Essential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Jesse Odafe-Ighele</dc:creator>
  <cp:lastModifiedBy>Jesse Odafe-Ighele</cp:lastModifiedBy>
  <dcterms:created xsi:type="dcterms:W3CDTF">2025-05-02T15:08:00Z</dcterms:created>
  <dcterms:modified xsi:type="dcterms:W3CDTF">2025-12-27T16:06:14Z</dcterms:modified>
</cp:coreProperties>
</file>